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大學\大二下\資料視覺化\"/>
    </mc:Choice>
  </mc:AlternateContent>
  <xr:revisionPtr revIDLastSave="0" documentId="13_ncr:1_{4D4CE270-1DB4-422B-9446-FE9A8615ACA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團隊分組" sheetId="1" r:id="rId1"/>
    <sheet name="交易處理資料 " sheetId="7" r:id="rId2"/>
    <sheet name="工作表1" sheetId="8" r:id="rId3"/>
    <sheet name="儀表板" sheetId="9" r:id="rId4"/>
  </sheets>
  <definedNames>
    <definedName name="NativeTimeline_數據日期_2">#N/A</definedName>
    <definedName name="Slicer_組別">#N/A</definedName>
    <definedName name="Slicer_部門別">#N/A</definedName>
    <definedName name="人員">團隊分組!$L$22:$BJ$22</definedName>
    <definedName name="外部資料_1" localSheetId="1" hidden="1">'交易處理資料 '!$A$1:$K$3535</definedName>
    <definedName name="快速保養團隊A">團隊分組!$N$21</definedName>
    <definedName name="快速保養團隊B">團隊分組!$O$21</definedName>
    <definedName name="查修團隊A">團隊分組!$L$21</definedName>
    <definedName name="查修團隊B">團隊分組!$M$21</definedName>
    <definedName name="部門">團隊分組!$L$21:$N$21</definedName>
    <definedName name="無效數據">團隊分組!$R$21</definedName>
    <definedName name="鈑金維修組">團隊分組!$P$21</definedName>
    <definedName name="團隊">團隊分組!$L$20:$R$20</definedName>
    <definedName name="噴漆維修組">團隊分組!$Q$21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7" l="1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990" i="7"/>
  <c r="O991" i="7"/>
  <c r="O992" i="7"/>
  <c r="O993" i="7"/>
  <c r="O994" i="7"/>
  <c r="O995" i="7"/>
  <c r="O996" i="7"/>
  <c r="O997" i="7"/>
  <c r="O998" i="7"/>
  <c r="O999" i="7"/>
  <c r="O1000" i="7"/>
  <c r="O1001" i="7"/>
  <c r="O1002" i="7"/>
  <c r="O1003" i="7"/>
  <c r="O1004" i="7"/>
  <c r="O1005" i="7"/>
  <c r="O1006" i="7"/>
  <c r="O1007" i="7"/>
  <c r="O1008" i="7"/>
  <c r="O1009" i="7"/>
  <c r="O1010" i="7"/>
  <c r="O1011" i="7"/>
  <c r="O1012" i="7"/>
  <c r="O1013" i="7"/>
  <c r="O1014" i="7"/>
  <c r="O1015" i="7"/>
  <c r="O1016" i="7"/>
  <c r="O1017" i="7"/>
  <c r="O1018" i="7"/>
  <c r="O1019" i="7"/>
  <c r="O1020" i="7"/>
  <c r="O1021" i="7"/>
  <c r="O1022" i="7"/>
  <c r="O1023" i="7"/>
  <c r="O1024" i="7"/>
  <c r="O1025" i="7"/>
  <c r="O1026" i="7"/>
  <c r="O1027" i="7"/>
  <c r="O1028" i="7"/>
  <c r="O1029" i="7"/>
  <c r="O1030" i="7"/>
  <c r="O1031" i="7"/>
  <c r="O1032" i="7"/>
  <c r="O1033" i="7"/>
  <c r="O1034" i="7"/>
  <c r="O1035" i="7"/>
  <c r="O1036" i="7"/>
  <c r="O1037" i="7"/>
  <c r="O1038" i="7"/>
  <c r="O1039" i="7"/>
  <c r="O1040" i="7"/>
  <c r="O1041" i="7"/>
  <c r="O1042" i="7"/>
  <c r="O1043" i="7"/>
  <c r="O1044" i="7"/>
  <c r="O1045" i="7"/>
  <c r="O1046" i="7"/>
  <c r="O1047" i="7"/>
  <c r="O1048" i="7"/>
  <c r="O1049" i="7"/>
  <c r="O1050" i="7"/>
  <c r="O1051" i="7"/>
  <c r="O1052" i="7"/>
  <c r="O1053" i="7"/>
  <c r="O1054" i="7"/>
  <c r="O1055" i="7"/>
  <c r="O1056" i="7"/>
  <c r="O1057" i="7"/>
  <c r="O1058" i="7"/>
  <c r="O1059" i="7"/>
  <c r="O1060" i="7"/>
  <c r="O1061" i="7"/>
  <c r="O1062" i="7"/>
  <c r="O1063" i="7"/>
  <c r="O1064" i="7"/>
  <c r="O1065" i="7"/>
  <c r="O1066" i="7"/>
  <c r="O1067" i="7"/>
  <c r="O1068" i="7"/>
  <c r="O1069" i="7"/>
  <c r="O1070" i="7"/>
  <c r="O1071" i="7"/>
  <c r="O1072" i="7"/>
  <c r="O1073" i="7"/>
  <c r="O1074" i="7"/>
  <c r="O1075" i="7"/>
  <c r="O1076" i="7"/>
  <c r="O1077" i="7"/>
  <c r="O1078" i="7"/>
  <c r="O1079" i="7"/>
  <c r="O1080" i="7"/>
  <c r="O1081" i="7"/>
  <c r="O1082" i="7"/>
  <c r="O1083" i="7"/>
  <c r="O1084" i="7"/>
  <c r="O1085" i="7"/>
  <c r="O1086" i="7"/>
  <c r="O1087" i="7"/>
  <c r="O1088" i="7"/>
  <c r="O1089" i="7"/>
  <c r="O1090" i="7"/>
  <c r="O1091" i="7"/>
  <c r="O1092" i="7"/>
  <c r="O1093" i="7"/>
  <c r="O1094" i="7"/>
  <c r="O1095" i="7"/>
  <c r="O1096" i="7"/>
  <c r="O1097" i="7"/>
  <c r="O1098" i="7"/>
  <c r="O1099" i="7"/>
  <c r="O1100" i="7"/>
  <c r="O1101" i="7"/>
  <c r="O1102" i="7"/>
  <c r="O1103" i="7"/>
  <c r="O1104" i="7"/>
  <c r="O1105" i="7"/>
  <c r="O1106" i="7"/>
  <c r="O1107" i="7"/>
  <c r="O1108" i="7"/>
  <c r="O1109" i="7"/>
  <c r="O1110" i="7"/>
  <c r="O1111" i="7"/>
  <c r="O1112" i="7"/>
  <c r="O1113" i="7"/>
  <c r="O1114" i="7"/>
  <c r="O1115" i="7"/>
  <c r="O1116" i="7"/>
  <c r="O1117" i="7"/>
  <c r="O1118" i="7"/>
  <c r="O1119" i="7"/>
  <c r="O1120" i="7"/>
  <c r="O1121" i="7"/>
  <c r="O1122" i="7"/>
  <c r="O1123" i="7"/>
  <c r="O1124" i="7"/>
  <c r="O1125" i="7"/>
  <c r="O1126" i="7"/>
  <c r="O1127" i="7"/>
  <c r="O1128" i="7"/>
  <c r="O1129" i="7"/>
  <c r="O1130" i="7"/>
  <c r="O1131" i="7"/>
  <c r="O1132" i="7"/>
  <c r="O1133" i="7"/>
  <c r="O1134" i="7"/>
  <c r="O1135" i="7"/>
  <c r="O1136" i="7"/>
  <c r="O1137" i="7"/>
  <c r="O1138" i="7"/>
  <c r="O1139" i="7"/>
  <c r="O1140" i="7"/>
  <c r="O1141" i="7"/>
  <c r="O1142" i="7"/>
  <c r="O1143" i="7"/>
  <c r="O1144" i="7"/>
  <c r="O1145" i="7"/>
  <c r="O1146" i="7"/>
  <c r="O1147" i="7"/>
  <c r="O1148" i="7"/>
  <c r="O1149" i="7"/>
  <c r="O1150" i="7"/>
  <c r="O1151" i="7"/>
  <c r="O1152" i="7"/>
  <c r="O1153" i="7"/>
  <c r="O1154" i="7"/>
  <c r="O1155" i="7"/>
  <c r="O1156" i="7"/>
  <c r="O1157" i="7"/>
  <c r="O1158" i="7"/>
  <c r="O1159" i="7"/>
  <c r="O1160" i="7"/>
  <c r="O1161" i="7"/>
  <c r="O1162" i="7"/>
  <c r="O1163" i="7"/>
  <c r="O1164" i="7"/>
  <c r="O1165" i="7"/>
  <c r="O1166" i="7"/>
  <c r="O1167" i="7"/>
  <c r="O1168" i="7"/>
  <c r="O1169" i="7"/>
  <c r="O1170" i="7"/>
  <c r="O1171" i="7"/>
  <c r="O1172" i="7"/>
  <c r="O1173" i="7"/>
  <c r="O1174" i="7"/>
  <c r="O1175" i="7"/>
  <c r="O1176" i="7"/>
  <c r="O1177" i="7"/>
  <c r="O1178" i="7"/>
  <c r="O1179" i="7"/>
  <c r="O1180" i="7"/>
  <c r="O1181" i="7"/>
  <c r="O1182" i="7"/>
  <c r="O1183" i="7"/>
  <c r="O1184" i="7"/>
  <c r="O1185" i="7"/>
  <c r="O1186" i="7"/>
  <c r="O1187" i="7"/>
  <c r="O1188" i="7"/>
  <c r="O1189" i="7"/>
  <c r="O1190" i="7"/>
  <c r="O1191" i="7"/>
  <c r="O1192" i="7"/>
  <c r="O1193" i="7"/>
  <c r="O1194" i="7"/>
  <c r="O1195" i="7"/>
  <c r="O1196" i="7"/>
  <c r="O1197" i="7"/>
  <c r="O1198" i="7"/>
  <c r="O1199" i="7"/>
  <c r="O1200" i="7"/>
  <c r="O1201" i="7"/>
  <c r="O1202" i="7"/>
  <c r="O1203" i="7"/>
  <c r="O1204" i="7"/>
  <c r="O1205" i="7"/>
  <c r="O1206" i="7"/>
  <c r="O1207" i="7"/>
  <c r="O1208" i="7"/>
  <c r="O1209" i="7"/>
  <c r="O1210" i="7"/>
  <c r="O1211" i="7"/>
  <c r="O1212" i="7"/>
  <c r="O1213" i="7"/>
  <c r="O1214" i="7"/>
  <c r="O1215" i="7"/>
  <c r="O1216" i="7"/>
  <c r="O1217" i="7"/>
  <c r="O1218" i="7"/>
  <c r="O1219" i="7"/>
  <c r="O1220" i="7"/>
  <c r="O1221" i="7"/>
  <c r="O1222" i="7"/>
  <c r="O1223" i="7"/>
  <c r="O1224" i="7"/>
  <c r="O1225" i="7"/>
  <c r="O1226" i="7"/>
  <c r="O1227" i="7"/>
  <c r="O1228" i="7"/>
  <c r="O1229" i="7"/>
  <c r="O1230" i="7"/>
  <c r="O1231" i="7"/>
  <c r="O1232" i="7"/>
  <c r="O1233" i="7"/>
  <c r="O1234" i="7"/>
  <c r="O1235" i="7"/>
  <c r="O1236" i="7"/>
  <c r="O1237" i="7"/>
  <c r="O1238" i="7"/>
  <c r="O1239" i="7"/>
  <c r="O1240" i="7"/>
  <c r="O1241" i="7"/>
  <c r="O1242" i="7"/>
  <c r="O1243" i="7"/>
  <c r="O1244" i="7"/>
  <c r="O1245" i="7"/>
  <c r="O1246" i="7"/>
  <c r="O1247" i="7"/>
  <c r="O1248" i="7"/>
  <c r="O1249" i="7"/>
  <c r="O1250" i="7"/>
  <c r="O1251" i="7"/>
  <c r="O1252" i="7"/>
  <c r="O1253" i="7"/>
  <c r="O1254" i="7"/>
  <c r="O1255" i="7"/>
  <c r="O1256" i="7"/>
  <c r="O1257" i="7"/>
  <c r="O1258" i="7"/>
  <c r="O1259" i="7"/>
  <c r="O1260" i="7"/>
  <c r="O1261" i="7"/>
  <c r="O1262" i="7"/>
  <c r="O1263" i="7"/>
  <c r="O1264" i="7"/>
  <c r="O1265" i="7"/>
  <c r="O1266" i="7"/>
  <c r="O1267" i="7"/>
  <c r="O1268" i="7"/>
  <c r="O1269" i="7"/>
  <c r="O1270" i="7"/>
  <c r="O1271" i="7"/>
  <c r="O1272" i="7"/>
  <c r="O1273" i="7"/>
  <c r="O1274" i="7"/>
  <c r="O1275" i="7"/>
  <c r="O1276" i="7"/>
  <c r="O1277" i="7"/>
  <c r="O1278" i="7"/>
  <c r="O1279" i="7"/>
  <c r="O1280" i="7"/>
  <c r="O1281" i="7"/>
  <c r="O1282" i="7"/>
  <c r="O1283" i="7"/>
  <c r="O1284" i="7"/>
  <c r="O1285" i="7"/>
  <c r="O1286" i="7"/>
  <c r="O1287" i="7"/>
  <c r="O1288" i="7"/>
  <c r="O1289" i="7"/>
  <c r="O1290" i="7"/>
  <c r="O1291" i="7"/>
  <c r="O1292" i="7"/>
  <c r="O1293" i="7"/>
  <c r="O1294" i="7"/>
  <c r="O1295" i="7"/>
  <c r="O1296" i="7"/>
  <c r="O1297" i="7"/>
  <c r="O1298" i="7"/>
  <c r="O1299" i="7"/>
  <c r="O1300" i="7"/>
  <c r="O1301" i="7"/>
  <c r="O1302" i="7"/>
  <c r="O1303" i="7"/>
  <c r="O1304" i="7"/>
  <c r="O1305" i="7"/>
  <c r="O1306" i="7"/>
  <c r="O1307" i="7"/>
  <c r="O1308" i="7"/>
  <c r="O1309" i="7"/>
  <c r="O1310" i="7"/>
  <c r="O1311" i="7"/>
  <c r="O1312" i="7"/>
  <c r="O1313" i="7"/>
  <c r="O1314" i="7"/>
  <c r="O1315" i="7"/>
  <c r="O1316" i="7"/>
  <c r="O1317" i="7"/>
  <c r="O1318" i="7"/>
  <c r="O1319" i="7"/>
  <c r="O1320" i="7"/>
  <c r="O1321" i="7"/>
  <c r="O1322" i="7"/>
  <c r="O1323" i="7"/>
  <c r="O1324" i="7"/>
  <c r="O1325" i="7"/>
  <c r="O1326" i="7"/>
  <c r="O1327" i="7"/>
  <c r="O1328" i="7"/>
  <c r="O1329" i="7"/>
  <c r="O1330" i="7"/>
  <c r="O1331" i="7"/>
  <c r="O1332" i="7"/>
  <c r="O1333" i="7"/>
  <c r="O1334" i="7"/>
  <c r="O1335" i="7"/>
  <c r="O1336" i="7"/>
  <c r="O1337" i="7"/>
  <c r="O1338" i="7"/>
  <c r="O1339" i="7"/>
  <c r="O1340" i="7"/>
  <c r="O1341" i="7"/>
  <c r="O1342" i="7"/>
  <c r="O1343" i="7"/>
  <c r="O1344" i="7"/>
  <c r="O1345" i="7"/>
  <c r="O1346" i="7"/>
  <c r="O1347" i="7"/>
  <c r="O1348" i="7"/>
  <c r="O1349" i="7"/>
  <c r="O1350" i="7"/>
  <c r="O1351" i="7"/>
  <c r="O1352" i="7"/>
  <c r="O1353" i="7"/>
  <c r="O1354" i="7"/>
  <c r="O1355" i="7"/>
  <c r="O1356" i="7"/>
  <c r="O1357" i="7"/>
  <c r="O1358" i="7"/>
  <c r="O1359" i="7"/>
  <c r="O1360" i="7"/>
  <c r="O1361" i="7"/>
  <c r="O1362" i="7"/>
  <c r="O1363" i="7"/>
  <c r="O1364" i="7"/>
  <c r="O1365" i="7"/>
  <c r="O1366" i="7"/>
  <c r="O1367" i="7"/>
  <c r="O1368" i="7"/>
  <c r="O1369" i="7"/>
  <c r="O1370" i="7"/>
  <c r="O1371" i="7"/>
  <c r="O1372" i="7"/>
  <c r="O1373" i="7"/>
  <c r="O1374" i="7"/>
  <c r="O1375" i="7"/>
  <c r="O1376" i="7"/>
  <c r="O1377" i="7"/>
  <c r="O1378" i="7"/>
  <c r="O1379" i="7"/>
  <c r="O1380" i="7"/>
  <c r="O1381" i="7"/>
  <c r="O1382" i="7"/>
  <c r="O1383" i="7"/>
  <c r="O1384" i="7"/>
  <c r="O1385" i="7"/>
  <c r="O1386" i="7"/>
  <c r="O1387" i="7"/>
  <c r="O1388" i="7"/>
  <c r="O1389" i="7"/>
  <c r="O1390" i="7"/>
  <c r="O1391" i="7"/>
  <c r="O1392" i="7"/>
  <c r="O1393" i="7"/>
  <c r="O1394" i="7"/>
  <c r="O1395" i="7"/>
  <c r="O1396" i="7"/>
  <c r="O1397" i="7"/>
  <c r="O1398" i="7"/>
  <c r="O1399" i="7"/>
  <c r="O1400" i="7"/>
  <c r="O1401" i="7"/>
  <c r="O1402" i="7"/>
  <c r="O1403" i="7"/>
  <c r="O1404" i="7"/>
  <c r="O1405" i="7"/>
  <c r="O1406" i="7"/>
  <c r="O1407" i="7"/>
  <c r="O1408" i="7"/>
  <c r="O1409" i="7"/>
  <c r="O1410" i="7"/>
  <c r="O1411" i="7"/>
  <c r="O1412" i="7"/>
  <c r="O1413" i="7"/>
  <c r="O1414" i="7"/>
  <c r="O1415" i="7"/>
  <c r="O1416" i="7"/>
  <c r="O1417" i="7"/>
  <c r="O1418" i="7"/>
  <c r="O1419" i="7"/>
  <c r="O1420" i="7"/>
  <c r="O1421" i="7"/>
  <c r="O1422" i="7"/>
  <c r="O1423" i="7"/>
  <c r="O1424" i="7"/>
  <c r="O1425" i="7"/>
  <c r="O1426" i="7"/>
  <c r="O1427" i="7"/>
  <c r="O1428" i="7"/>
  <c r="O1429" i="7"/>
  <c r="O1430" i="7"/>
  <c r="O1431" i="7"/>
  <c r="O1432" i="7"/>
  <c r="O1433" i="7"/>
  <c r="O1434" i="7"/>
  <c r="O1435" i="7"/>
  <c r="O1436" i="7"/>
  <c r="O1437" i="7"/>
  <c r="O1438" i="7"/>
  <c r="O1439" i="7"/>
  <c r="O1440" i="7"/>
  <c r="O1441" i="7"/>
  <c r="O1442" i="7"/>
  <c r="O1443" i="7"/>
  <c r="O1444" i="7"/>
  <c r="O1445" i="7"/>
  <c r="O1446" i="7"/>
  <c r="O1447" i="7"/>
  <c r="O1448" i="7"/>
  <c r="O1449" i="7"/>
  <c r="O1450" i="7"/>
  <c r="O1451" i="7"/>
  <c r="O1452" i="7"/>
  <c r="O1453" i="7"/>
  <c r="O1454" i="7"/>
  <c r="O1455" i="7"/>
  <c r="O1456" i="7"/>
  <c r="O1457" i="7"/>
  <c r="O1458" i="7"/>
  <c r="O1459" i="7"/>
  <c r="O1460" i="7"/>
  <c r="O1461" i="7"/>
  <c r="O1462" i="7"/>
  <c r="O1463" i="7"/>
  <c r="O1464" i="7"/>
  <c r="O1465" i="7"/>
  <c r="O1466" i="7"/>
  <c r="O1467" i="7"/>
  <c r="O1468" i="7"/>
  <c r="O1469" i="7"/>
  <c r="O1470" i="7"/>
  <c r="O1471" i="7"/>
  <c r="O1472" i="7"/>
  <c r="O1473" i="7"/>
  <c r="O1474" i="7"/>
  <c r="O1475" i="7"/>
  <c r="O1476" i="7"/>
  <c r="O1477" i="7"/>
  <c r="O1478" i="7"/>
  <c r="O1479" i="7"/>
  <c r="O1480" i="7"/>
  <c r="O1481" i="7"/>
  <c r="O1482" i="7"/>
  <c r="O1483" i="7"/>
  <c r="O1484" i="7"/>
  <c r="O1485" i="7"/>
  <c r="O1486" i="7"/>
  <c r="O1487" i="7"/>
  <c r="O1488" i="7"/>
  <c r="O1489" i="7"/>
  <c r="O1490" i="7"/>
  <c r="O1491" i="7"/>
  <c r="O1492" i="7"/>
  <c r="O1493" i="7"/>
  <c r="O1494" i="7"/>
  <c r="O1495" i="7"/>
  <c r="O1496" i="7"/>
  <c r="O1497" i="7"/>
  <c r="O1498" i="7"/>
  <c r="O1499" i="7"/>
  <c r="O1500" i="7"/>
  <c r="O1501" i="7"/>
  <c r="O1502" i="7"/>
  <c r="O1503" i="7"/>
  <c r="O1504" i="7"/>
  <c r="O1505" i="7"/>
  <c r="O1506" i="7"/>
  <c r="O1507" i="7"/>
  <c r="O1508" i="7"/>
  <c r="O1509" i="7"/>
  <c r="O1510" i="7"/>
  <c r="O1511" i="7"/>
  <c r="O1512" i="7"/>
  <c r="O1513" i="7"/>
  <c r="O1514" i="7"/>
  <c r="O1515" i="7"/>
  <c r="O1516" i="7"/>
  <c r="O1517" i="7"/>
  <c r="O1518" i="7"/>
  <c r="O1519" i="7"/>
  <c r="O1520" i="7"/>
  <c r="O1521" i="7"/>
  <c r="O1522" i="7"/>
  <c r="O1523" i="7"/>
  <c r="O1524" i="7"/>
  <c r="O1525" i="7"/>
  <c r="O1526" i="7"/>
  <c r="O1527" i="7"/>
  <c r="O1528" i="7"/>
  <c r="O1529" i="7"/>
  <c r="O1530" i="7"/>
  <c r="O1531" i="7"/>
  <c r="O1532" i="7"/>
  <c r="O1533" i="7"/>
  <c r="O1534" i="7"/>
  <c r="O1535" i="7"/>
  <c r="O1536" i="7"/>
  <c r="O1537" i="7"/>
  <c r="O1538" i="7"/>
  <c r="O1539" i="7"/>
  <c r="O1540" i="7"/>
  <c r="O1541" i="7"/>
  <c r="O1542" i="7"/>
  <c r="O1543" i="7"/>
  <c r="O1544" i="7"/>
  <c r="O1545" i="7"/>
  <c r="O1546" i="7"/>
  <c r="O1547" i="7"/>
  <c r="O1548" i="7"/>
  <c r="O1549" i="7"/>
  <c r="O1550" i="7"/>
  <c r="O1551" i="7"/>
  <c r="O1552" i="7"/>
  <c r="O1553" i="7"/>
  <c r="O1554" i="7"/>
  <c r="O1555" i="7"/>
  <c r="O1556" i="7"/>
  <c r="O1557" i="7"/>
  <c r="O1558" i="7"/>
  <c r="O1559" i="7"/>
  <c r="O1560" i="7"/>
  <c r="O1561" i="7"/>
  <c r="O1562" i="7"/>
  <c r="O1563" i="7"/>
  <c r="O1564" i="7"/>
  <c r="O1565" i="7"/>
  <c r="O1566" i="7"/>
  <c r="O1567" i="7"/>
  <c r="O1568" i="7"/>
  <c r="O1569" i="7"/>
  <c r="O1570" i="7"/>
  <c r="O1571" i="7"/>
  <c r="O1572" i="7"/>
  <c r="O1573" i="7"/>
  <c r="O1574" i="7"/>
  <c r="O1575" i="7"/>
  <c r="O1576" i="7"/>
  <c r="O1577" i="7"/>
  <c r="O1578" i="7"/>
  <c r="O1579" i="7"/>
  <c r="O1580" i="7"/>
  <c r="O1581" i="7"/>
  <c r="O1582" i="7"/>
  <c r="O1583" i="7"/>
  <c r="O1584" i="7"/>
  <c r="O1585" i="7"/>
  <c r="O1586" i="7"/>
  <c r="O1587" i="7"/>
  <c r="O1588" i="7"/>
  <c r="O1589" i="7"/>
  <c r="O1590" i="7"/>
  <c r="O1591" i="7"/>
  <c r="O1592" i="7"/>
  <c r="O1593" i="7"/>
  <c r="O1594" i="7"/>
  <c r="O1595" i="7"/>
  <c r="O1596" i="7"/>
  <c r="O1597" i="7"/>
  <c r="O1598" i="7"/>
  <c r="O1599" i="7"/>
  <c r="O1600" i="7"/>
  <c r="O1601" i="7"/>
  <c r="O1602" i="7"/>
  <c r="O1603" i="7"/>
  <c r="O1604" i="7"/>
  <c r="O1605" i="7"/>
  <c r="O1606" i="7"/>
  <c r="O1607" i="7"/>
  <c r="O1608" i="7"/>
  <c r="O1609" i="7"/>
  <c r="O1610" i="7"/>
  <c r="O1611" i="7"/>
  <c r="O1612" i="7"/>
  <c r="O1613" i="7"/>
  <c r="O1614" i="7"/>
  <c r="O1615" i="7"/>
  <c r="O1616" i="7"/>
  <c r="O1617" i="7"/>
  <c r="O1618" i="7"/>
  <c r="O1619" i="7"/>
  <c r="O1620" i="7"/>
  <c r="O1621" i="7"/>
  <c r="O1622" i="7"/>
  <c r="O1623" i="7"/>
  <c r="O1624" i="7"/>
  <c r="O1625" i="7"/>
  <c r="O1626" i="7"/>
  <c r="O1627" i="7"/>
  <c r="O1628" i="7"/>
  <c r="O1629" i="7"/>
  <c r="O1630" i="7"/>
  <c r="O1631" i="7"/>
  <c r="O1632" i="7"/>
  <c r="O1633" i="7"/>
  <c r="O1634" i="7"/>
  <c r="O1635" i="7"/>
  <c r="O1636" i="7"/>
  <c r="O1637" i="7"/>
  <c r="O1638" i="7"/>
  <c r="O1639" i="7"/>
  <c r="O1640" i="7"/>
  <c r="O1641" i="7"/>
  <c r="O1642" i="7"/>
  <c r="O1643" i="7"/>
  <c r="O1644" i="7"/>
  <c r="O1645" i="7"/>
  <c r="O1646" i="7"/>
  <c r="O1647" i="7"/>
  <c r="O1648" i="7"/>
  <c r="O1649" i="7"/>
  <c r="O1650" i="7"/>
  <c r="O1651" i="7"/>
  <c r="O1652" i="7"/>
  <c r="O1653" i="7"/>
  <c r="O1654" i="7"/>
  <c r="O1655" i="7"/>
  <c r="O1656" i="7"/>
  <c r="O1657" i="7"/>
  <c r="O1658" i="7"/>
  <c r="O1659" i="7"/>
  <c r="O1660" i="7"/>
  <c r="O1661" i="7"/>
  <c r="O1662" i="7"/>
  <c r="O1663" i="7"/>
  <c r="O1664" i="7"/>
  <c r="O1665" i="7"/>
  <c r="O1666" i="7"/>
  <c r="O1667" i="7"/>
  <c r="O1668" i="7"/>
  <c r="O1669" i="7"/>
  <c r="O1670" i="7"/>
  <c r="O1671" i="7"/>
  <c r="O1672" i="7"/>
  <c r="O1673" i="7"/>
  <c r="O1674" i="7"/>
  <c r="O1675" i="7"/>
  <c r="O1676" i="7"/>
  <c r="O1677" i="7"/>
  <c r="O1678" i="7"/>
  <c r="O1679" i="7"/>
  <c r="O1680" i="7"/>
  <c r="O1681" i="7"/>
  <c r="O1682" i="7"/>
  <c r="O1683" i="7"/>
  <c r="O1684" i="7"/>
  <c r="O1685" i="7"/>
  <c r="O1686" i="7"/>
  <c r="O1687" i="7"/>
  <c r="O1688" i="7"/>
  <c r="O1689" i="7"/>
  <c r="O1690" i="7"/>
  <c r="O1691" i="7"/>
  <c r="O1692" i="7"/>
  <c r="O1693" i="7"/>
  <c r="O1694" i="7"/>
  <c r="O1695" i="7"/>
  <c r="O1696" i="7"/>
  <c r="O1697" i="7"/>
  <c r="O1698" i="7"/>
  <c r="O1699" i="7"/>
  <c r="O1700" i="7"/>
  <c r="O1701" i="7"/>
  <c r="O1702" i="7"/>
  <c r="O1703" i="7"/>
  <c r="O1704" i="7"/>
  <c r="O1705" i="7"/>
  <c r="O1706" i="7"/>
  <c r="O1707" i="7"/>
  <c r="O1708" i="7"/>
  <c r="O1709" i="7"/>
  <c r="O1710" i="7"/>
  <c r="O1711" i="7"/>
  <c r="O1712" i="7"/>
  <c r="O1713" i="7"/>
  <c r="O1714" i="7"/>
  <c r="O1715" i="7"/>
  <c r="O1716" i="7"/>
  <c r="O1717" i="7"/>
  <c r="O1718" i="7"/>
  <c r="O1719" i="7"/>
  <c r="O1720" i="7"/>
  <c r="O1721" i="7"/>
  <c r="O1722" i="7"/>
  <c r="O1723" i="7"/>
  <c r="O1724" i="7"/>
  <c r="O1725" i="7"/>
  <c r="O1726" i="7"/>
  <c r="O1727" i="7"/>
  <c r="O1728" i="7"/>
  <c r="O1729" i="7"/>
  <c r="O1730" i="7"/>
  <c r="O1731" i="7"/>
  <c r="O1732" i="7"/>
  <c r="O1733" i="7"/>
  <c r="O1734" i="7"/>
  <c r="O1735" i="7"/>
  <c r="O1736" i="7"/>
  <c r="O1737" i="7"/>
  <c r="O1738" i="7"/>
  <c r="O1739" i="7"/>
  <c r="O1740" i="7"/>
  <c r="O1741" i="7"/>
  <c r="O1742" i="7"/>
  <c r="O1743" i="7"/>
  <c r="O1744" i="7"/>
  <c r="O1745" i="7"/>
  <c r="O1746" i="7"/>
  <c r="O1747" i="7"/>
  <c r="O1748" i="7"/>
  <c r="O1749" i="7"/>
  <c r="O1750" i="7"/>
  <c r="O1751" i="7"/>
  <c r="O1752" i="7"/>
  <c r="O1753" i="7"/>
  <c r="O1754" i="7"/>
  <c r="O1755" i="7"/>
  <c r="O1756" i="7"/>
  <c r="O1757" i="7"/>
  <c r="O1758" i="7"/>
  <c r="O1759" i="7"/>
  <c r="O1760" i="7"/>
  <c r="O1761" i="7"/>
  <c r="O1762" i="7"/>
  <c r="O1763" i="7"/>
  <c r="O1764" i="7"/>
  <c r="O1765" i="7"/>
  <c r="O1766" i="7"/>
  <c r="O1767" i="7"/>
  <c r="O1768" i="7"/>
  <c r="O1769" i="7"/>
  <c r="O1770" i="7"/>
  <c r="O1771" i="7"/>
  <c r="O1772" i="7"/>
  <c r="O1773" i="7"/>
  <c r="O1774" i="7"/>
  <c r="O1775" i="7"/>
  <c r="O1776" i="7"/>
  <c r="O1777" i="7"/>
  <c r="O1778" i="7"/>
  <c r="O1779" i="7"/>
  <c r="O1780" i="7"/>
  <c r="O1781" i="7"/>
  <c r="O1782" i="7"/>
  <c r="O1783" i="7"/>
  <c r="O1784" i="7"/>
  <c r="O1785" i="7"/>
  <c r="O1786" i="7"/>
  <c r="O1787" i="7"/>
  <c r="O1788" i="7"/>
  <c r="O1789" i="7"/>
  <c r="O1790" i="7"/>
  <c r="O1791" i="7"/>
  <c r="O1792" i="7"/>
  <c r="O1793" i="7"/>
  <c r="O1794" i="7"/>
  <c r="O1795" i="7"/>
  <c r="O1796" i="7"/>
  <c r="O1797" i="7"/>
  <c r="O1798" i="7"/>
  <c r="O1799" i="7"/>
  <c r="O1800" i="7"/>
  <c r="O1801" i="7"/>
  <c r="O1802" i="7"/>
  <c r="O1803" i="7"/>
  <c r="O1804" i="7"/>
  <c r="O1805" i="7"/>
  <c r="O1806" i="7"/>
  <c r="O1807" i="7"/>
  <c r="O1808" i="7"/>
  <c r="O1809" i="7"/>
  <c r="O1810" i="7"/>
  <c r="O1811" i="7"/>
  <c r="O1812" i="7"/>
  <c r="O1813" i="7"/>
  <c r="O1814" i="7"/>
  <c r="O1815" i="7"/>
  <c r="O1816" i="7"/>
  <c r="O1817" i="7"/>
  <c r="O1818" i="7"/>
  <c r="O1819" i="7"/>
  <c r="O1820" i="7"/>
  <c r="O1821" i="7"/>
  <c r="O1822" i="7"/>
  <c r="O1823" i="7"/>
  <c r="O1824" i="7"/>
  <c r="O1825" i="7"/>
  <c r="O1826" i="7"/>
  <c r="O1827" i="7"/>
  <c r="O1828" i="7"/>
  <c r="O1829" i="7"/>
  <c r="O1830" i="7"/>
  <c r="O1831" i="7"/>
  <c r="O1832" i="7"/>
  <c r="O1833" i="7"/>
  <c r="O1834" i="7"/>
  <c r="O1835" i="7"/>
  <c r="O1836" i="7"/>
  <c r="O1837" i="7"/>
  <c r="O1838" i="7"/>
  <c r="O1839" i="7"/>
  <c r="O1840" i="7"/>
  <c r="O1841" i="7"/>
  <c r="O1842" i="7"/>
  <c r="O1843" i="7"/>
  <c r="O1844" i="7"/>
  <c r="O1845" i="7"/>
  <c r="O1846" i="7"/>
  <c r="O1847" i="7"/>
  <c r="O1848" i="7"/>
  <c r="O1849" i="7"/>
  <c r="O1850" i="7"/>
  <c r="O1851" i="7"/>
  <c r="O1852" i="7"/>
  <c r="O1853" i="7"/>
  <c r="O1854" i="7"/>
  <c r="O1855" i="7"/>
  <c r="O1856" i="7"/>
  <c r="O1857" i="7"/>
  <c r="O1858" i="7"/>
  <c r="O1859" i="7"/>
  <c r="O1860" i="7"/>
  <c r="O1861" i="7"/>
  <c r="O1862" i="7"/>
  <c r="O1863" i="7"/>
  <c r="O1864" i="7"/>
  <c r="O1865" i="7"/>
  <c r="O1866" i="7"/>
  <c r="O1867" i="7"/>
  <c r="O1868" i="7"/>
  <c r="O1869" i="7"/>
  <c r="O1870" i="7"/>
  <c r="O1871" i="7"/>
  <c r="O1872" i="7"/>
  <c r="O1873" i="7"/>
  <c r="O1874" i="7"/>
  <c r="O1875" i="7"/>
  <c r="O1876" i="7"/>
  <c r="O1877" i="7"/>
  <c r="O1878" i="7"/>
  <c r="O1879" i="7"/>
  <c r="O1880" i="7"/>
  <c r="O1881" i="7"/>
  <c r="O1882" i="7"/>
  <c r="O1883" i="7"/>
  <c r="O1884" i="7"/>
  <c r="O1885" i="7"/>
  <c r="O1886" i="7"/>
  <c r="O1887" i="7"/>
  <c r="O1888" i="7"/>
  <c r="O1889" i="7"/>
  <c r="O1890" i="7"/>
  <c r="O1891" i="7"/>
  <c r="O1892" i="7"/>
  <c r="O1893" i="7"/>
  <c r="O1894" i="7"/>
  <c r="O1895" i="7"/>
  <c r="O1896" i="7"/>
  <c r="O1897" i="7"/>
  <c r="O1898" i="7"/>
  <c r="O1899" i="7"/>
  <c r="O1900" i="7"/>
  <c r="O1901" i="7"/>
  <c r="O1902" i="7"/>
  <c r="O1903" i="7"/>
  <c r="O1904" i="7"/>
  <c r="O1905" i="7"/>
  <c r="O1906" i="7"/>
  <c r="O1907" i="7"/>
  <c r="O1908" i="7"/>
  <c r="O1909" i="7"/>
  <c r="O1910" i="7"/>
  <c r="O1911" i="7"/>
  <c r="O1912" i="7"/>
  <c r="O1913" i="7"/>
  <c r="O1914" i="7"/>
  <c r="O1915" i="7"/>
  <c r="O1916" i="7"/>
  <c r="O1917" i="7"/>
  <c r="O1918" i="7"/>
  <c r="O1919" i="7"/>
  <c r="O1920" i="7"/>
  <c r="O1921" i="7"/>
  <c r="O1922" i="7"/>
  <c r="O1923" i="7"/>
  <c r="O1924" i="7"/>
  <c r="O1925" i="7"/>
  <c r="O1926" i="7"/>
  <c r="O1927" i="7"/>
  <c r="O1928" i="7"/>
  <c r="O1929" i="7"/>
  <c r="O1930" i="7"/>
  <c r="O1931" i="7"/>
  <c r="O1932" i="7"/>
  <c r="O1933" i="7"/>
  <c r="O1934" i="7"/>
  <c r="O1935" i="7"/>
  <c r="O1936" i="7"/>
  <c r="O1937" i="7"/>
  <c r="O1938" i="7"/>
  <c r="O1939" i="7"/>
  <c r="O1940" i="7"/>
  <c r="O1941" i="7"/>
  <c r="O1942" i="7"/>
  <c r="O1943" i="7"/>
  <c r="O1944" i="7"/>
  <c r="O1945" i="7"/>
  <c r="O1946" i="7"/>
  <c r="O1947" i="7"/>
  <c r="O1948" i="7"/>
  <c r="O1949" i="7"/>
  <c r="O1950" i="7"/>
  <c r="O1951" i="7"/>
  <c r="O1952" i="7"/>
  <c r="O1953" i="7"/>
  <c r="O1954" i="7"/>
  <c r="O1955" i="7"/>
  <c r="O1956" i="7"/>
  <c r="O1957" i="7"/>
  <c r="O1958" i="7"/>
  <c r="O1959" i="7"/>
  <c r="O1960" i="7"/>
  <c r="O1961" i="7"/>
  <c r="O1962" i="7"/>
  <c r="O1963" i="7"/>
  <c r="O1964" i="7"/>
  <c r="O1965" i="7"/>
  <c r="O1966" i="7"/>
  <c r="O1967" i="7"/>
  <c r="O1968" i="7"/>
  <c r="O1969" i="7"/>
  <c r="O1970" i="7"/>
  <c r="O1971" i="7"/>
  <c r="O1972" i="7"/>
  <c r="O1973" i="7"/>
  <c r="O1974" i="7"/>
  <c r="O1975" i="7"/>
  <c r="O1976" i="7"/>
  <c r="O1977" i="7"/>
  <c r="O1978" i="7"/>
  <c r="O1979" i="7"/>
  <c r="O1980" i="7"/>
  <c r="O1981" i="7"/>
  <c r="O1982" i="7"/>
  <c r="O1983" i="7"/>
  <c r="O1984" i="7"/>
  <c r="O1985" i="7"/>
  <c r="O1986" i="7"/>
  <c r="O1987" i="7"/>
  <c r="O1988" i="7"/>
  <c r="O1989" i="7"/>
  <c r="O1990" i="7"/>
  <c r="O1991" i="7"/>
  <c r="O1992" i="7"/>
  <c r="O1993" i="7"/>
  <c r="O1994" i="7"/>
  <c r="O1995" i="7"/>
  <c r="O1996" i="7"/>
  <c r="O1997" i="7"/>
  <c r="O1998" i="7"/>
  <c r="O1999" i="7"/>
  <c r="O2000" i="7"/>
  <c r="O2001" i="7"/>
  <c r="O2002" i="7"/>
  <c r="O2003" i="7"/>
  <c r="O2004" i="7"/>
  <c r="O2005" i="7"/>
  <c r="O2006" i="7"/>
  <c r="O2007" i="7"/>
  <c r="O2008" i="7"/>
  <c r="O2009" i="7"/>
  <c r="O2010" i="7"/>
  <c r="O2011" i="7"/>
  <c r="O2012" i="7"/>
  <c r="O2013" i="7"/>
  <c r="O2014" i="7"/>
  <c r="O2015" i="7"/>
  <c r="O2016" i="7"/>
  <c r="O2017" i="7"/>
  <c r="O2018" i="7"/>
  <c r="O2019" i="7"/>
  <c r="O2020" i="7"/>
  <c r="O2021" i="7"/>
  <c r="O2022" i="7"/>
  <c r="O2023" i="7"/>
  <c r="O2024" i="7"/>
  <c r="O2025" i="7"/>
  <c r="O2026" i="7"/>
  <c r="O2027" i="7"/>
  <c r="O2028" i="7"/>
  <c r="O2029" i="7"/>
  <c r="O2030" i="7"/>
  <c r="O2031" i="7"/>
  <c r="O2032" i="7"/>
  <c r="O2033" i="7"/>
  <c r="O2034" i="7"/>
  <c r="O2035" i="7"/>
  <c r="O2036" i="7"/>
  <c r="O2037" i="7"/>
  <c r="O2038" i="7"/>
  <c r="O2039" i="7"/>
  <c r="O2040" i="7"/>
  <c r="O2041" i="7"/>
  <c r="O2042" i="7"/>
  <c r="O2043" i="7"/>
  <c r="O2044" i="7"/>
  <c r="O2045" i="7"/>
  <c r="O2046" i="7"/>
  <c r="O2047" i="7"/>
  <c r="O2048" i="7"/>
  <c r="O2049" i="7"/>
  <c r="O2050" i="7"/>
  <c r="O2051" i="7"/>
  <c r="O2052" i="7"/>
  <c r="O2053" i="7"/>
  <c r="O2054" i="7"/>
  <c r="O2055" i="7"/>
  <c r="O2056" i="7"/>
  <c r="O2057" i="7"/>
  <c r="O2058" i="7"/>
  <c r="O2059" i="7"/>
  <c r="O2060" i="7"/>
  <c r="O2061" i="7"/>
  <c r="O2062" i="7"/>
  <c r="O2063" i="7"/>
  <c r="O2064" i="7"/>
  <c r="O2065" i="7"/>
  <c r="O2066" i="7"/>
  <c r="O2067" i="7"/>
  <c r="O2068" i="7"/>
  <c r="O2069" i="7"/>
  <c r="O2070" i="7"/>
  <c r="O2071" i="7"/>
  <c r="O2072" i="7"/>
  <c r="O2073" i="7"/>
  <c r="O2074" i="7"/>
  <c r="O2075" i="7"/>
  <c r="O2076" i="7"/>
  <c r="O2077" i="7"/>
  <c r="O2078" i="7"/>
  <c r="O2079" i="7"/>
  <c r="O2080" i="7"/>
  <c r="O2081" i="7"/>
  <c r="O2082" i="7"/>
  <c r="O2083" i="7"/>
  <c r="O2084" i="7"/>
  <c r="O2085" i="7"/>
  <c r="O2086" i="7"/>
  <c r="O2087" i="7"/>
  <c r="O2088" i="7"/>
  <c r="O2089" i="7"/>
  <c r="O2090" i="7"/>
  <c r="O2091" i="7"/>
  <c r="O2092" i="7"/>
  <c r="O2093" i="7"/>
  <c r="O2094" i="7"/>
  <c r="O2095" i="7"/>
  <c r="O2096" i="7"/>
  <c r="O2097" i="7"/>
  <c r="O2098" i="7"/>
  <c r="O2099" i="7"/>
  <c r="O2100" i="7"/>
  <c r="O2101" i="7"/>
  <c r="O2102" i="7"/>
  <c r="O2103" i="7"/>
  <c r="O2104" i="7"/>
  <c r="O2105" i="7"/>
  <c r="O2106" i="7"/>
  <c r="O2107" i="7"/>
  <c r="O2108" i="7"/>
  <c r="O2109" i="7"/>
  <c r="O2110" i="7"/>
  <c r="O2111" i="7"/>
  <c r="O2112" i="7"/>
  <c r="O2113" i="7"/>
  <c r="O2114" i="7"/>
  <c r="O2115" i="7"/>
  <c r="O2116" i="7"/>
  <c r="O2117" i="7"/>
  <c r="O2118" i="7"/>
  <c r="O2119" i="7"/>
  <c r="O2120" i="7"/>
  <c r="O2121" i="7"/>
  <c r="O2122" i="7"/>
  <c r="O2123" i="7"/>
  <c r="O2124" i="7"/>
  <c r="O2125" i="7"/>
  <c r="O2126" i="7"/>
  <c r="O2127" i="7"/>
  <c r="O2128" i="7"/>
  <c r="O2129" i="7"/>
  <c r="O2130" i="7"/>
  <c r="O2131" i="7"/>
  <c r="O2132" i="7"/>
  <c r="O2133" i="7"/>
  <c r="O2134" i="7"/>
  <c r="O2135" i="7"/>
  <c r="O2136" i="7"/>
  <c r="O2137" i="7"/>
  <c r="O2138" i="7"/>
  <c r="O2139" i="7"/>
  <c r="O2140" i="7"/>
  <c r="O2141" i="7"/>
  <c r="O2142" i="7"/>
  <c r="O2143" i="7"/>
  <c r="O2144" i="7"/>
  <c r="O2145" i="7"/>
  <c r="O2146" i="7"/>
  <c r="O2147" i="7"/>
  <c r="O2148" i="7"/>
  <c r="O2149" i="7"/>
  <c r="O2150" i="7"/>
  <c r="O2151" i="7"/>
  <c r="O2152" i="7"/>
  <c r="O2153" i="7"/>
  <c r="O2154" i="7"/>
  <c r="O2155" i="7"/>
  <c r="O2156" i="7"/>
  <c r="O2157" i="7"/>
  <c r="O2158" i="7"/>
  <c r="O2159" i="7"/>
  <c r="O2160" i="7"/>
  <c r="O2161" i="7"/>
  <c r="O2162" i="7"/>
  <c r="O2163" i="7"/>
  <c r="O2164" i="7"/>
  <c r="O2165" i="7"/>
  <c r="O2166" i="7"/>
  <c r="O2167" i="7"/>
  <c r="O2168" i="7"/>
  <c r="O2169" i="7"/>
  <c r="O2170" i="7"/>
  <c r="O2171" i="7"/>
  <c r="O2172" i="7"/>
  <c r="O2173" i="7"/>
  <c r="O2174" i="7"/>
  <c r="O2175" i="7"/>
  <c r="O2176" i="7"/>
  <c r="O2177" i="7"/>
  <c r="O2178" i="7"/>
  <c r="O2179" i="7"/>
  <c r="O2180" i="7"/>
  <c r="O2181" i="7"/>
  <c r="O2182" i="7"/>
  <c r="O2183" i="7"/>
  <c r="O2184" i="7"/>
  <c r="O2185" i="7"/>
  <c r="O2186" i="7"/>
  <c r="O2187" i="7"/>
  <c r="O2188" i="7"/>
  <c r="O2189" i="7"/>
  <c r="O2190" i="7"/>
  <c r="O2191" i="7"/>
  <c r="O2192" i="7"/>
  <c r="O2193" i="7"/>
  <c r="O2194" i="7"/>
  <c r="O2195" i="7"/>
  <c r="O2196" i="7"/>
  <c r="O2197" i="7"/>
  <c r="O2198" i="7"/>
  <c r="O2199" i="7"/>
  <c r="O2200" i="7"/>
  <c r="O2201" i="7"/>
  <c r="O2202" i="7"/>
  <c r="O2203" i="7"/>
  <c r="O2204" i="7"/>
  <c r="O2205" i="7"/>
  <c r="O2206" i="7"/>
  <c r="O2207" i="7"/>
  <c r="O2208" i="7"/>
  <c r="O2209" i="7"/>
  <c r="O2210" i="7"/>
  <c r="O2211" i="7"/>
  <c r="O2212" i="7"/>
  <c r="O2213" i="7"/>
  <c r="O2214" i="7"/>
  <c r="O2215" i="7"/>
  <c r="O2216" i="7"/>
  <c r="O2217" i="7"/>
  <c r="O2218" i="7"/>
  <c r="O2219" i="7"/>
  <c r="O2220" i="7"/>
  <c r="O2221" i="7"/>
  <c r="O2222" i="7"/>
  <c r="O2223" i="7"/>
  <c r="O2224" i="7"/>
  <c r="O2225" i="7"/>
  <c r="O2226" i="7"/>
  <c r="O2227" i="7"/>
  <c r="O2228" i="7"/>
  <c r="O2229" i="7"/>
  <c r="O2230" i="7"/>
  <c r="O2231" i="7"/>
  <c r="O2232" i="7"/>
  <c r="O2233" i="7"/>
  <c r="O2234" i="7"/>
  <c r="O2235" i="7"/>
  <c r="O2236" i="7"/>
  <c r="O2237" i="7"/>
  <c r="O2238" i="7"/>
  <c r="O2239" i="7"/>
  <c r="O2240" i="7"/>
  <c r="O2241" i="7"/>
  <c r="O2242" i="7"/>
  <c r="O2243" i="7"/>
  <c r="O2244" i="7"/>
  <c r="O2245" i="7"/>
  <c r="O2246" i="7"/>
  <c r="O2247" i="7"/>
  <c r="O2248" i="7"/>
  <c r="O2249" i="7"/>
  <c r="O2250" i="7"/>
  <c r="O2251" i="7"/>
  <c r="O2252" i="7"/>
  <c r="O2253" i="7"/>
  <c r="O2254" i="7"/>
  <c r="O2255" i="7"/>
  <c r="O2256" i="7"/>
  <c r="O2257" i="7"/>
  <c r="O2258" i="7"/>
  <c r="O2259" i="7"/>
  <c r="O2260" i="7"/>
  <c r="O2261" i="7"/>
  <c r="O2262" i="7"/>
  <c r="O2263" i="7"/>
  <c r="O2264" i="7"/>
  <c r="O2265" i="7"/>
  <c r="O2266" i="7"/>
  <c r="O2267" i="7"/>
  <c r="O2268" i="7"/>
  <c r="O2269" i="7"/>
  <c r="O2270" i="7"/>
  <c r="O2271" i="7"/>
  <c r="O2272" i="7"/>
  <c r="O2273" i="7"/>
  <c r="O2274" i="7"/>
  <c r="O2275" i="7"/>
  <c r="O2276" i="7"/>
  <c r="O2277" i="7"/>
  <c r="O2278" i="7"/>
  <c r="O2279" i="7"/>
  <c r="O2280" i="7"/>
  <c r="O2281" i="7"/>
  <c r="O2282" i="7"/>
  <c r="O2283" i="7"/>
  <c r="O2284" i="7"/>
  <c r="O2285" i="7"/>
  <c r="O2286" i="7"/>
  <c r="O2287" i="7"/>
  <c r="O2288" i="7"/>
  <c r="O2289" i="7"/>
  <c r="O2290" i="7"/>
  <c r="O2291" i="7"/>
  <c r="O2292" i="7"/>
  <c r="O2293" i="7"/>
  <c r="O2294" i="7"/>
  <c r="O2295" i="7"/>
  <c r="O2296" i="7"/>
  <c r="O2297" i="7"/>
  <c r="O2298" i="7"/>
  <c r="O2299" i="7"/>
  <c r="O2300" i="7"/>
  <c r="O2301" i="7"/>
  <c r="O2302" i="7"/>
  <c r="O2303" i="7"/>
  <c r="O2304" i="7"/>
  <c r="O2305" i="7"/>
  <c r="O2306" i="7"/>
  <c r="O2307" i="7"/>
  <c r="O2308" i="7"/>
  <c r="O2309" i="7"/>
  <c r="O2310" i="7"/>
  <c r="O2311" i="7"/>
  <c r="O2312" i="7"/>
  <c r="O2313" i="7"/>
  <c r="O2314" i="7"/>
  <c r="O2315" i="7"/>
  <c r="O2316" i="7"/>
  <c r="O2317" i="7"/>
  <c r="O2318" i="7"/>
  <c r="O2319" i="7"/>
  <c r="O2320" i="7"/>
  <c r="O2321" i="7"/>
  <c r="O2322" i="7"/>
  <c r="O2323" i="7"/>
  <c r="O2324" i="7"/>
  <c r="O2325" i="7"/>
  <c r="O2326" i="7"/>
  <c r="O2327" i="7"/>
  <c r="O2328" i="7"/>
  <c r="O2329" i="7"/>
  <c r="O2330" i="7"/>
  <c r="O2331" i="7"/>
  <c r="O2332" i="7"/>
  <c r="O2333" i="7"/>
  <c r="O2334" i="7"/>
  <c r="O2335" i="7"/>
  <c r="O2336" i="7"/>
  <c r="O2337" i="7"/>
  <c r="O2338" i="7"/>
  <c r="O2339" i="7"/>
  <c r="O2340" i="7"/>
  <c r="O2341" i="7"/>
  <c r="O2342" i="7"/>
  <c r="O2343" i="7"/>
  <c r="O2344" i="7"/>
  <c r="O2345" i="7"/>
  <c r="O2346" i="7"/>
  <c r="O2347" i="7"/>
  <c r="O2348" i="7"/>
  <c r="O2349" i="7"/>
  <c r="O2350" i="7"/>
  <c r="O2351" i="7"/>
  <c r="O2352" i="7"/>
  <c r="O2353" i="7"/>
  <c r="O2354" i="7"/>
  <c r="O2355" i="7"/>
  <c r="O2356" i="7"/>
  <c r="O2357" i="7"/>
  <c r="O2358" i="7"/>
  <c r="O2359" i="7"/>
  <c r="O2360" i="7"/>
  <c r="O2361" i="7"/>
  <c r="O2362" i="7"/>
  <c r="O2363" i="7"/>
  <c r="O2364" i="7"/>
  <c r="O2365" i="7"/>
  <c r="O2366" i="7"/>
  <c r="O2367" i="7"/>
  <c r="O2368" i="7"/>
  <c r="O2369" i="7"/>
  <c r="O2370" i="7"/>
  <c r="O2371" i="7"/>
  <c r="O2372" i="7"/>
  <c r="O2373" i="7"/>
  <c r="O2374" i="7"/>
  <c r="O2375" i="7"/>
  <c r="O2376" i="7"/>
  <c r="O2377" i="7"/>
  <c r="O2378" i="7"/>
  <c r="O2379" i="7"/>
  <c r="O2380" i="7"/>
  <c r="O2381" i="7"/>
  <c r="O2382" i="7"/>
  <c r="O2383" i="7"/>
  <c r="O2384" i="7"/>
  <c r="O2385" i="7"/>
  <c r="O2386" i="7"/>
  <c r="O2387" i="7"/>
  <c r="O2388" i="7"/>
  <c r="O2389" i="7"/>
  <c r="O2390" i="7"/>
  <c r="O2391" i="7"/>
  <c r="O2392" i="7"/>
  <c r="O2393" i="7"/>
  <c r="O2394" i="7"/>
  <c r="O2395" i="7"/>
  <c r="O2396" i="7"/>
  <c r="O2397" i="7"/>
  <c r="O2398" i="7"/>
  <c r="O2399" i="7"/>
  <c r="O2400" i="7"/>
  <c r="O2401" i="7"/>
  <c r="O2402" i="7"/>
  <c r="O2403" i="7"/>
  <c r="O2404" i="7"/>
  <c r="O2405" i="7"/>
  <c r="O2406" i="7"/>
  <c r="O2407" i="7"/>
  <c r="O2408" i="7"/>
  <c r="O2409" i="7"/>
  <c r="O2410" i="7"/>
  <c r="O2411" i="7"/>
  <c r="O2412" i="7"/>
  <c r="O2413" i="7"/>
  <c r="O2414" i="7"/>
  <c r="O2415" i="7"/>
  <c r="O2416" i="7"/>
  <c r="O2417" i="7"/>
  <c r="O2418" i="7"/>
  <c r="O2419" i="7"/>
  <c r="O2420" i="7"/>
  <c r="O2421" i="7"/>
  <c r="O2422" i="7"/>
  <c r="O2423" i="7"/>
  <c r="O2424" i="7"/>
  <c r="O2425" i="7"/>
  <c r="O2426" i="7"/>
  <c r="O2427" i="7"/>
  <c r="O2428" i="7"/>
  <c r="O2429" i="7"/>
  <c r="O2430" i="7"/>
  <c r="O2431" i="7"/>
  <c r="O2432" i="7"/>
  <c r="O2433" i="7"/>
  <c r="O2434" i="7"/>
  <c r="O2435" i="7"/>
  <c r="O2436" i="7"/>
  <c r="O2437" i="7"/>
  <c r="O2438" i="7"/>
  <c r="O2439" i="7"/>
  <c r="O2440" i="7"/>
  <c r="O2441" i="7"/>
  <c r="O2442" i="7"/>
  <c r="O2443" i="7"/>
  <c r="O2444" i="7"/>
  <c r="O2445" i="7"/>
  <c r="O2446" i="7"/>
  <c r="O2447" i="7"/>
  <c r="O2448" i="7"/>
  <c r="O2449" i="7"/>
  <c r="O2450" i="7"/>
  <c r="O2451" i="7"/>
  <c r="O2452" i="7"/>
  <c r="O2453" i="7"/>
  <c r="O2454" i="7"/>
  <c r="O2455" i="7"/>
  <c r="O2456" i="7"/>
  <c r="O2457" i="7"/>
  <c r="O2458" i="7"/>
  <c r="O2459" i="7"/>
  <c r="O2460" i="7"/>
  <c r="O2461" i="7"/>
  <c r="O2462" i="7"/>
  <c r="O2463" i="7"/>
  <c r="O2464" i="7"/>
  <c r="O2465" i="7"/>
  <c r="O2466" i="7"/>
  <c r="O2467" i="7"/>
  <c r="O2468" i="7"/>
  <c r="O2469" i="7"/>
  <c r="O2470" i="7"/>
  <c r="O2471" i="7"/>
  <c r="O2472" i="7"/>
  <c r="O2473" i="7"/>
  <c r="O2474" i="7"/>
  <c r="O2475" i="7"/>
  <c r="O2476" i="7"/>
  <c r="O2477" i="7"/>
  <c r="O2478" i="7"/>
  <c r="O2479" i="7"/>
  <c r="O2480" i="7"/>
  <c r="O2481" i="7"/>
  <c r="O2482" i="7"/>
  <c r="O2483" i="7"/>
  <c r="O2484" i="7"/>
  <c r="O2485" i="7"/>
  <c r="O2486" i="7"/>
  <c r="O2487" i="7"/>
  <c r="O2488" i="7"/>
  <c r="O2489" i="7"/>
  <c r="O2490" i="7"/>
  <c r="O2491" i="7"/>
  <c r="O2492" i="7"/>
  <c r="O2493" i="7"/>
  <c r="O2494" i="7"/>
  <c r="O2495" i="7"/>
  <c r="O2496" i="7"/>
  <c r="O2497" i="7"/>
  <c r="O2498" i="7"/>
  <c r="O2499" i="7"/>
  <c r="O2500" i="7"/>
  <c r="O2501" i="7"/>
  <c r="O2502" i="7"/>
  <c r="O2503" i="7"/>
  <c r="O2504" i="7"/>
  <c r="O2505" i="7"/>
  <c r="O2506" i="7"/>
  <c r="O2507" i="7"/>
  <c r="O2508" i="7"/>
  <c r="O2509" i="7"/>
  <c r="O2510" i="7"/>
  <c r="O2511" i="7"/>
  <c r="O2512" i="7"/>
  <c r="O2513" i="7"/>
  <c r="O2514" i="7"/>
  <c r="O2515" i="7"/>
  <c r="O2516" i="7"/>
  <c r="O2517" i="7"/>
  <c r="O2518" i="7"/>
  <c r="O2519" i="7"/>
  <c r="O2520" i="7"/>
  <c r="O2521" i="7"/>
  <c r="O2522" i="7"/>
  <c r="O2523" i="7"/>
  <c r="O2524" i="7"/>
  <c r="O2525" i="7"/>
  <c r="O2526" i="7"/>
  <c r="O2527" i="7"/>
  <c r="O2528" i="7"/>
  <c r="O2529" i="7"/>
  <c r="O2530" i="7"/>
  <c r="O2531" i="7"/>
  <c r="O2532" i="7"/>
  <c r="O2533" i="7"/>
  <c r="O2534" i="7"/>
  <c r="O2535" i="7"/>
  <c r="O2536" i="7"/>
  <c r="O2537" i="7"/>
  <c r="O2538" i="7"/>
  <c r="O2539" i="7"/>
  <c r="O2540" i="7"/>
  <c r="O2541" i="7"/>
  <c r="O2542" i="7"/>
  <c r="O2543" i="7"/>
  <c r="O2544" i="7"/>
  <c r="O2545" i="7"/>
  <c r="O2546" i="7"/>
  <c r="O2547" i="7"/>
  <c r="O2548" i="7"/>
  <c r="O2549" i="7"/>
  <c r="O2550" i="7"/>
  <c r="O2551" i="7"/>
  <c r="O2552" i="7"/>
  <c r="O2553" i="7"/>
  <c r="O2554" i="7"/>
  <c r="O2555" i="7"/>
  <c r="O2556" i="7"/>
  <c r="O2557" i="7"/>
  <c r="O2558" i="7"/>
  <c r="O2559" i="7"/>
  <c r="O2560" i="7"/>
  <c r="O2561" i="7"/>
  <c r="O2562" i="7"/>
  <c r="O2563" i="7"/>
  <c r="O2564" i="7"/>
  <c r="O2565" i="7"/>
  <c r="O2566" i="7"/>
  <c r="O2567" i="7"/>
  <c r="O2568" i="7"/>
  <c r="O2569" i="7"/>
  <c r="O2570" i="7"/>
  <c r="O2571" i="7"/>
  <c r="O2572" i="7"/>
  <c r="O2573" i="7"/>
  <c r="O2574" i="7"/>
  <c r="O2575" i="7"/>
  <c r="O2576" i="7"/>
  <c r="O2577" i="7"/>
  <c r="O2578" i="7"/>
  <c r="O2579" i="7"/>
  <c r="O2580" i="7"/>
  <c r="O2581" i="7"/>
  <c r="O2582" i="7"/>
  <c r="O2583" i="7"/>
  <c r="O2584" i="7"/>
  <c r="O2585" i="7"/>
  <c r="O2586" i="7"/>
  <c r="O2587" i="7"/>
  <c r="O2588" i="7"/>
  <c r="O2589" i="7"/>
  <c r="O2590" i="7"/>
  <c r="O2591" i="7"/>
  <c r="O2592" i="7"/>
  <c r="O2593" i="7"/>
  <c r="O2594" i="7"/>
  <c r="O2595" i="7"/>
  <c r="O2596" i="7"/>
  <c r="O2597" i="7"/>
  <c r="O2598" i="7"/>
  <c r="O2599" i="7"/>
  <c r="O2600" i="7"/>
  <c r="O2601" i="7"/>
  <c r="O2602" i="7"/>
  <c r="O2603" i="7"/>
  <c r="O2604" i="7"/>
  <c r="O2605" i="7"/>
  <c r="O2606" i="7"/>
  <c r="O2607" i="7"/>
  <c r="O2608" i="7"/>
  <c r="O2609" i="7"/>
  <c r="O2610" i="7"/>
  <c r="O2611" i="7"/>
  <c r="O2612" i="7"/>
  <c r="O2613" i="7"/>
  <c r="O2614" i="7"/>
  <c r="O2615" i="7"/>
  <c r="O2616" i="7"/>
  <c r="O2617" i="7"/>
  <c r="O2618" i="7"/>
  <c r="O2619" i="7"/>
  <c r="O2620" i="7"/>
  <c r="O2621" i="7"/>
  <c r="O2622" i="7"/>
  <c r="O2623" i="7"/>
  <c r="O2624" i="7"/>
  <c r="O2625" i="7"/>
  <c r="O2626" i="7"/>
  <c r="O2627" i="7"/>
  <c r="O2628" i="7"/>
  <c r="O2629" i="7"/>
  <c r="O2630" i="7"/>
  <c r="O2631" i="7"/>
  <c r="O2632" i="7"/>
  <c r="O2633" i="7"/>
  <c r="O2634" i="7"/>
  <c r="O2635" i="7"/>
  <c r="O2636" i="7"/>
  <c r="O2637" i="7"/>
  <c r="O2638" i="7"/>
  <c r="O2639" i="7"/>
  <c r="O2640" i="7"/>
  <c r="O2641" i="7"/>
  <c r="O2642" i="7"/>
  <c r="O2643" i="7"/>
  <c r="O2644" i="7"/>
  <c r="O2645" i="7"/>
  <c r="O2646" i="7"/>
  <c r="O2647" i="7"/>
  <c r="O2648" i="7"/>
  <c r="O2649" i="7"/>
  <c r="O2650" i="7"/>
  <c r="O2651" i="7"/>
  <c r="O2652" i="7"/>
  <c r="O2653" i="7"/>
  <c r="O2654" i="7"/>
  <c r="O2655" i="7"/>
  <c r="O2656" i="7"/>
  <c r="O2657" i="7"/>
  <c r="O2658" i="7"/>
  <c r="O2659" i="7"/>
  <c r="O2660" i="7"/>
  <c r="O2661" i="7"/>
  <c r="O2662" i="7"/>
  <c r="O2663" i="7"/>
  <c r="O2664" i="7"/>
  <c r="O2665" i="7"/>
  <c r="O2666" i="7"/>
  <c r="O2667" i="7"/>
  <c r="O2668" i="7"/>
  <c r="O2669" i="7"/>
  <c r="O2670" i="7"/>
  <c r="O2671" i="7"/>
  <c r="O2672" i="7"/>
  <c r="O2673" i="7"/>
  <c r="O2674" i="7"/>
  <c r="O2675" i="7"/>
  <c r="O2676" i="7"/>
  <c r="O2677" i="7"/>
  <c r="O2678" i="7"/>
  <c r="O2679" i="7"/>
  <c r="O2680" i="7"/>
  <c r="O2681" i="7"/>
  <c r="O2682" i="7"/>
  <c r="O2683" i="7"/>
  <c r="O2684" i="7"/>
  <c r="O2685" i="7"/>
  <c r="O2686" i="7"/>
  <c r="O2687" i="7"/>
  <c r="O2688" i="7"/>
  <c r="O2689" i="7"/>
  <c r="O2690" i="7"/>
  <c r="O2691" i="7"/>
  <c r="O2692" i="7"/>
  <c r="O2693" i="7"/>
  <c r="O2694" i="7"/>
  <c r="O2695" i="7"/>
  <c r="O2696" i="7"/>
  <c r="O2697" i="7"/>
  <c r="O2698" i="7"/>
  <c r="O2699" i="7"/>
  <c r="O2700" i="7"/>
  <c r="O2701" i="7"/>
  <c r="O2702" i="7"/>
  <c r="O2703" i="7"/>
  <c r="O2704" i="7"/>
  <c r="O2705" i="7"/>
  <c r="O2706" i="7"/>
  <c r="O2707" i="7"/>
  <c r="O2708" i="7"/>
  <c r="O2709" i="7"/>
  <c r="O2710" i="7"/>
  <c r="O2711" i="7"/>
  <c r="O2712" i="7"/>
  <c r="O2713" i="7"/>
  <c r="O2714" i="7"/>
  <c r="O2715" i="7"/>
  <c r="O2716" i="7"/>
  <c r="O2717" i="7"/>
  <c r="O2718" i="7"/>
  <c r="O2719" i="7"/>
  <c r="O2720" i="7"/>
  <c r="O2721" i="7"/>
  <c r="O2722" i="7"/>
  <c r="O2723" i="7"/>
  <c r="O2724" i="7"/>
  <c r="O2725" i="7"/>
  <c r="O2726" i="7"/>
  <c r="O2727" i="7"/>
  <c r="O2728" i="7"/>
  <c r="O2729" i="7"/>
  <c r="O2730" i="7"/>
  <c r="O2731" i="7"/>
  <c r="O2732" i="7"/>
  <c r="O2733" i="7"/>
  <c r="O2734" i="7"/>
  <c r="O2735" i="7"/>
  <c r="O2736" i="7"/>
  <c r="O2737" i="7"/>
  <c r="O2738" i="7"/>
  <c r="O2739" i="7"/>
  <c r="O2740" i="7"/>
  <c r="O2741" i="7"/>
  <c r="O2742" i="7"/>
  <c r="O2743" i="7"/>
  <c r="O2744" i="7"/>
  <c r="O2745" i="7"/>
  <c r="O2746" i="7"/>
  <c r="O2747" i="7"/>
  <c r="O2748" i="7"/>
  <c r="O2749" i="7"/>
  <c r="O2750" i="7"/>
  <c r="O2751" i="7"/>
  <c r="O2752" i="7"/>
  <c r="O2753" i="7"/>
  <c r="O2754" i="7"/>
  <c r="O2755" i="7"/>
  <c r="O2756" i="7"/>
  <c r="O2757" i="7"/>
  <c r="O2758" i="7"/>
  <c r="O2759" i="7"/>
  <c r="O2760" i="7"/>
  <c r="O2761" i="7"/>
  <c r="O2762" i="7"/>
  <c r="O2763" i="7"/>
  <c r="O2764" i="7"/>
  <c r="O2765" i="7"/>
  <c r="O2766" i="7"/>
  <c r="O2767" i="7"/>
  <c r="O2768" i="7"/>
  <c r="O2769" i="7"/>
  <c r="O2770" i="7"/>
  <c r="O2771" i="7"/>
  <c r="O2772" i="7"/>
  <c r="O2773" i="7"/>
  <c r="O2774" i="7"/>
  <c r="O2775" i="7"/>
  <c r="O2776" i="7"/>
  <c r="O2777" i="7"/>
  <c r="O2778" i="7"/>
  <c r="O2779" i="7"/>
  <c r="O2780" i="7"/>
  <c r="O2781" i="7"/>
  <c r="O2782" i="7"/>
  <c r="O2783" i="7"/>
  <c r="O2784" i="7"/>
  <c r="O2785" i="7"/>
  <c r="O2786" i="7"/>
  <c r="O2787" i="7"/>
  <c r="O2788" i="7"/>
  <c r="O2789" i="7"/>
  <c r="O2790" i="7"/>
  <c r="O2791" i="7"/>
  <c r="O2792" i="7"/>
  <c r="O2793" i="7"/>
  <c r="O2794" i="7"/>
  <c r="O2795" i="7"/>
  <c r="O2796" i="7"/>
  <c r="O2797" i="7"/>
  <c r="O2798" i="7"/>
  <c r="O2799" i="7"/>
  <c r="O2800" i="7"/>
  <c r="O2801" i="7"/>
  <c r="O2802" i="7"/>
  <c r="O2803" i="7"/>
  <c r="O2804" i="7"/>
  <c r="O2805" i="7"/>
  <c r="O2806" i="7"/>
  <c r="O2807" i="7"/>
  <c r="O2808" i="7"/>
  <c r="O2809" i="7"/>
  <c r="O2810" i="7"/>
  <c r="O2811" i="7"/>
  <c r="O2812" i="7"/>
  <c r="O2813" i="7"/>
  <c r="O2814" i="7"/>
  <c r="O2815" i="7"/>
  <c r="O2816" i="7"/>
  <c r="O2817" i="7"/>
  <c r="O2818" i="7"/>
  <c r="O2819" i="7"/>
  <c r="O2820" i="7"/>
  <c r="O2821" i="7"/>
  <c r="O2822" i="7"/>
  <c r="O2823" i="7"/>
  <c r="O2824" i="7"/>
  <c r="O2825" i="7"/>
  <c r="O2826" i="7"/>
  <c r="O2827" i="7"/>
  <c r="O2828" i="7"/>
  <c r="O2829" i="7"/>
  <c r="O2830" i="7"/>
  <c r="O2831" i="7"/>
  <c r="O2832" i="7"/>
  <c r="O2833" i="7"/>
  <c r="O2834" i="7"/>
  <c r="O2835" i="7"/>
  <c r="O2836" i="7"/>
  <c r="O2837" i="7"/>
  <c r="O2838" i="7"/>
  <c r="O2839" i="7"/>
  <c r="O2840" i="7"/>
  <c r="O2841" i="7"/>
  <c r="O2842" i="7"/>
  <c r="O2843" i="7"/>
  <c r="O2844" i="7"/>
  <c r="O2845" i="7"/>
  <c r="O2846" i="7"/>
  <c r="O2847" i="7"/>
  <c r="O2848" i="7"/>
  <c r="O2849" i="7"/>
  <c r="O2850" i="7"/>
  <c r="O2851" i="7"/>
  <c r="O2852" i="7"/>
  <c r="O2853" i="7"/>
  <c r="O2854" i="7"/>
  <c r="O2855" i="7"/>
  <c r="O2856" i="7"/>
  <c r="O2857" i="7"/>
  <c r="O2858" i="7"/>
  <c r="O2859" i="7"/>
  <c r="O2860" i="7"/>
  <c r="O2861" i="7"/>
  <c r="O2862" i="7"/>
  <c r="O2863" i="7"/>
  <c r="O2864" i="7"/>
  <c r="O2865" i="7"/>
  <c r="O2866" i="7"/>
  <c r="O2867" i="7"/>
  <c r="O2868" i="7"/>
  <c r="O2869" i="7"/>
  <c r="O2870" i="7"/>
  <c r="O2871" i="7"/>
  <c r="O2872" i="7"/>
  <c r="O2873" i="7"/>
  <c r="O2874" i="7"/>
  <c r="O2875" i="7"/>
  <c r="O2876" i="7"/>
  <c r="O2877" i="7"/>
  <c r="O2878" i="7"/>
  <c r="O2879" i="7"/>
  <c r="O2880" i="7"/>
  <c r="O2881" i="7"/>
  <c r="O2882" i="7"/>
  <c r="O2883" i="7"/>
  <c r="O2884" i="7"/>
  <c r="O2885" i="7"/>
  <c r="O2886" i="7"/>
  <c r="O2887" i="7"/>
  <c r="O2888" i="7"/>
  <c r="O2889" i="7"/>
  <c r="O2890" i="7"/>
  <c r="O2891" i="7"/>
  <c r="O2892" i="7"/>
  <c r="O2893" i="7"/>
  <c r="O2894" i="7"/>
  <c r="O2895" i="7"/>
  <c r="O2896" i="7"/>
  <c r="O2897" i="7"/>
  <c r="O2898" i="7"/>
  <c r="O2899" i="7"/>
  <c r="O2900" i="7"/>
  <c r="O2901" i="7"/>
  <c r="O2902" i="7"/>
  <c r="O2903" i="7"/>
  <c r="O2904" i="7"/>
  <c r="O2905" i="7"/>
  <c r="O2906" i="7"/>
  <c r="O2907" i="7"/>
  <c r="O2908" i="7"/>
  <c r="O2909" i="7"/>
  <c r="O2910" i="7"/>
  <c r="O2911" i="7"/>
  <c r="O2912" i="7"/>
  <c r="O2913" i="7"/>
  <c r="O2914" i="7"/>
  <c r="O2915" i="7"/>
  <c r="O2916" i="7"/>
  <c r="O2917" i="7"/>
  <c r="O2918" i="7"/>
  <c r="O2919" i="7"/>
  <c r="O2920" i="7"/>
  <c r="O2921" i="7"/>
  <c r="O2922" i="7"/>
  <c r="O2923" i="7"/>
  <c r="O2924" i="7"/>
  <c r="O2925" i="7"/>
  <c r="O2926" i="7"/>
  <c r="O2927" i="7"/>
  <c r="O2928" i="7"/>
  <c r="O2929" i="7"/>
  <c r="O2930" i="7"/>
  <c r="O2931" i="7"/>
  <c r="O2932" i="7"/>
  <c r="O2933" i="7"/>
  <c r="O2934" i="7"/>
  <c r="O2935" i="7"/>
  <c r="O2936" i="7"/>
  <c r="O2937" i="7"/>
  <c r="O2938" i="7"/>
  <c r="O2939" i="7"/>
  <c r="O2940" i="7"/>
  <c r="O2941" i="7"/>
  <c r="O2942" i="7"/>
  <c r="O2943" i="7"/>
  <c r="O2944" i="7"/>
  <c r="O2945" i="7"/>
  <c r="O2946" i="7"/>
  <c r="O2947" i="7"/>
  <c r="O2948" i="7"/>
  <c r="O2949" i="7"/>
  <c r="O2950" i="7"/>
  <c r="O2951" i="7"/>
  <c r="O2952" i="7"/>
  <c r="O2953" i="7"/>
  <c r="O2954" i="7"/>
  <c r="O2955" i="7"/>
  <c r="O2956" i="7"/>
  <c r="O2957" i="7"/>
  <c r="O2958" i="7"/>
  <c r="O2959" i="7"/>
  <c r="O2960" i="7"/>
  <c r="O2961" i="7"/>
  <c r="O2962" i="7"/>
  <c r="O2963" i="7"/>
  <c r="O2964" i="7"/>
  <c r="O2965" i="7"/>
  <c r="O2966" i="7"/>
  <c r="O2967" i="7"/>
  <c r="O2968" i="7"/>
  <c r="O2969" i="7"/>
  <c r="O2970" i="7"/>
  <c r="O2971" i="7"/>
  <c r="O2972" i="7"/>
  <c r="O2973" i="7"/>
  <c r="O2974" i="7"/>
  <c r="O2975" i="7"/>
  <c r="O2976" i="7"/>
  <c r="O2977" i="7"/>
  <c r="O2978" i="7"/>
  <c r="O2979" i="7"/>
  <c r="O2980" i="7"/>
  <c r="O2981" i="7"/>
  <c r="O2982" i="7"/>
  <c r="O2983" i="7"/>
  <c r="O2984" i="7"/>
  <c r="O2985" i="7"/>
  <c r="O2986" i="7"/>
  <c r="O2987" i="7"/>
  <c r="O2988" i="7"/>
  <c r="O2989" i="7"/>
  <c r="O2990" i="7"/>
  <c r="O2991" i="7"/>
  <c r="O2992" i="7"/>
  <c r="O2993" i="7"/>
  <c r="O2994" i="7"/>
  <c r="O2995" i="7"/>
  <c r="O2996" i="7"/>
  <c r="O2997" i="7"/>
  <c r="O2998" i="7"/>
  <c r="O2999" i="7"/>
  <c r="O3000" i="7"/>
  <c r="O3001" i="7"/>
  <c r="O3002" i="7"/>
  <c r="O3003" i="7"/>
  <c r="O3004" i="7"/>
  <c r="O3005" i="7"/>
  <c r="O3006" i="7"/>
  <c r="O3007" i="7"/>
  <c r="O3008" i="7"/>
  <c r="O3009" i="7"/>
  <c r="O3010" i="7"/>
  <c r="O3011" i="7"/>
  <c r="O3012" i="7"/>
  <c r="O3013" i="7"/>
  <c r="O3014" i="7"/>
  <c r="O3015" i="7"/>
  <c r="O3016" i="7"/>
  <c r="O3017" i="7"/>
  <c r="O3018" i="7"/>
  <c r="O3019" i="7"/>
  <c r="O3020" i="7"/>
  <c r="O3021" i="7"/>
  <c r="O3022" i="7"/>
  <c r="O3023" i="7"/>
  <c r="O3024" i="7"/>
  <c r="O3025" i="7"/>
  <c r="O3026" i="7"/>
  <c r="O3027" i="7"/>
  <c r="O3028" i="7"/>
  <c r="O3029" i="7"/>
  <c r="O3030" i="7"/>
  <c r="O3031" i="7"/>
  <c r="O3032" i="7"/>
  <c r="O3033" i="7"/>
  <c r="O3034" i="7"/>
  <c r="O3035" i="7"/>
  <c r="O3036" i="7"/>
  <c r="O3037" i="7"/>
  <c r="O3038" i="7"/>
  <c r="O3039" i="7"/>
  <c r="O3040" i="7"/>
  <c r="O3041" i="7"/>
  <c r="O3042" i="7"/>
  <c r="O3043" i="7"/>
  <c r="O3044" i="7"/>
  <c r="O3045" i="7"/>
  <c r="O3046" i="7"/>
  <c r="O3047" i="7"/>
  <c r="O3048" i="7"/>
  <c r="O3049" i="7"/>
  <c r="O3050" i="7"/>
  <c r="O3051" i="7"/>
  <c r="O3052" i="7"/>
  <c r="O3053" i="7"/>
  <c r="O3054" i="7"/>
  <c r="O3055" i="7"/>
  <c r="O3056" i="7"/>
  <c r="O3057" i="7"/>
  <c r="O3058" i="7"/>
  <c r="O3059" i="7"/>
  <c r="O3060" i="7"/>
  <c r="O3061" i="7"/>
  <c r="O3062" i="7"/>
  <c r="O3063" i="7"/>
  <c r="O3064" i="7"/>
  <c r="O3065" i="7"/>
  <c r="O3066" i="7"/>
  <c r="O3067" i="7"/>
  <c r="O3068" i="7"/>
  <c r="O3069" i="7"/>
  <c r="O3070" i="7"/>
  <c r="O3071" i="7"/>
  <c r="O3072" i="7"/>
  <c r="O3073" i="7"/>
  <c r="O3074" i="7"/>
  <c r="O3075" i="7"/>
  <c r="O3076" i="7"/>
  <c r="O3077" i="7"/>
  <c r="O3078" i="7"/>
  <c r="O3079" i="7"/>
  <c r="O3080" i="7"/>
  <c r="O3081" i="7"/>
  <c r="O3082" i="7"/>
  <c r="O3083" i="7"/>
  <c r="O3084" i="7"/>
  <c r="O3085" i="7"/>
  <c r="O3086" i="7"/>
  <c r="O3087" i="7"/>
  <c r="O3088" i="7"/>
  <c r="O3089" i="7"/>
  <c r="O3090" i="7"/>
  <c r="O3091" i="7"/>
  <c r="O3092" i="7"/>
  <c r="O3093" i="7"/>
  <c r="O3094" i="7"/>
  <c r="O3095" i="7"/>
  <c r="O3096" i="7"/>
  <c r="O3097" i="7"/>
  <c r="O3098" i="7"/>
  <c r="O3099" i="7"/>
  <c r="O3100" i="7"/>
  <c r="O3101" i="7"/>
  <c r="O3102" i="7"/>
  <c r="O3103" i="7"/>
  <c r="O3104" i="7"/>
  <c r="O3105" i="7"/>
  <c r="O3106" i="7"/>
  <c r="O3107" i="7"/>
  <c r="O3108" i="7"/>
  <c r="O3109" i="7"/>
  <c r="O3110" i="7"/>
  <c r="O3111" i="7"/>
  <c r="O3112" i="7"/>
  <c r="O3113" i="7"/>
  <c r="O3114" i="7"/>
  <c r="O3115" i="7"/>
  <c r="O3116" i="7"/>
  <c r="O3117" i="7"/>
  <c r="O3118" i="7"/>
  <c r="O3119" i="7"/>
  <c r="O3120" i="7"/>
  <c r="O3121" i="7"/>
  <c r="O3122" i="7"/>
  <c r="O3123" i="7"/>
  <c r="O3124" i="7"/>
  <c r="O3125" i="7"/>
  <c r="O3126" i="7"/>
  <c r="O3127" i="7"/>
  <c r="O3128" i="7"/>
  <c r="O3129" i="7"/>
  <c r="O3130" i="7"/>
  <c r="O3131" i="7"/>
  <c r="O3132" i="7"/>
  <c r="O3133" i="7"/>
  <c r="O3134" i="7"/>
  <c r="O3135" i="7"/>
  <c r="O3136" i="7"/>
  <c r="O3137" i="7"/>
  <c r="O3138" i="7"/>
  <c r="O3139" i="7"/>
  <c r="O3140" i="7"/>
  <c r="O3141" i="7"/>
  <c r="O3142" i="7"/>
  <c r="O3143" i="7"/>
  <c r="O3144" i="7"/>
  <c r="O3145" i="7"/>
  <c r="O3146" i="7"/>
  <c r="O3147" i="7"/>
  <c r="O3148" i="7"/>
  <c r="O3149" i="7"/>
  <c r="O3150" i="7"/>
  <c r="O3151" i="7"/>
  <c r="O3152" i="7"/>
  <c r="O3153" i="7"/>
  <c r="O3154" i="7"/>
  <c r="O3155" i="7"/>
  <c r="O3156" i="7"/>
  <c r="O3157" i="7"/>
  <c r="O3158" i="7"/>
  <c r="O3159" i="7"/>
  <c r="O3160" i="7"/>
  <c r="O3161" i="7"/>
  <c r="O3162" i="7"/>
  <c r="O3163" i="7"/>
  <c r="O3164" i="7"/>
  <c r="O3165" i="7"/>
  <c r="O3166" i="7"/>
  <c r="O3167" i="7"/>
  <c r="O3168" i="7"/>
  <c r="O3169" i="7"/>
  <c r="O3170" i="7"/>
  <c r="O3171" i="7"/>
  <c r="O3172" i="7"/>
  <c r="O3173" i="7"/>
  <c r="O3174" i="7"/>
  <c r="O3175" i="7"/>
  <c r="O3176" i="7"/>
  <c r="O3177" i="7"/>
  <c r="O3178" i="7"/>
  <c r="O3179" i="7"/>
  <c r="O3180" i="7"/>
  <c r="O3181" i="7"/>
  <c r="O3182" i="7"/>
  <c r="O3183" i="7"/>
  <c r="O3184" i="7"/>
  <c r="O3185" i="7"/>
  <c r="O3186" i="7"/>
  <c r="O3187" i="7"/>
  <c r="O3188" i="7"/>
  <c r="O3189" i="7"/>
  <c r="O3190" i="7"/>
  <c r="O3191" i="7"/>
  <c r="O3192" i="7"/>
  <c r="O3193" i="7"/>
  <c r="O3194" i="7"/>
  <c r="O3195" i="7"/>
  <c r="O3196" i="7"/>
  <c r="O3197" i="7"/>
  <c r="O3198" i="7"/>
  <c r="O3199" i="7"/>
  <c r="O3200" i="7"/>
  <c r="O3201" i="7"/>
  <c r="O3202" i="7"/>
  <c r="O3203" i="7"/>
  <c r="O3204" i="7"/>
  <c r="O3205" i="7"/>
  <c r="O3206" i="7"/>
  <c r="O3207" i="7"/>
  <c r="O3208" i="7"/>
  <c r="O3209" i="7"/>
  <c r="O3210" i="7"/>
  <c r="O3211" i="7"/>
  <c r="O3212" i="7"/>
  <c r="O3213" i="7"/>
  <c r="O3214" i="7"/>
  <c r="O3215" i="7"/>
  <c r="O3216" i="7"/>
  <c r="O3217" i="7"/>
  <c r="O3218" i="7"/>
  <c r="O3219" i="7"/>
  <c r="O3220" i="7"/>
  <c r="O3221" i="7"/>
  <c r="O3222" i="7"/>
  <c r="O3223" i="7"/>
  <c r="O3224" i="7"/>
  <c r="O3225" i="7"/>
  <c r="O3226" i="7"/>
  <c r="O3227" i="7"/>
  <c r="O3228" i="7"/>
  <c r="O3229" i="7"/>
  <c r="O3230" i="7"/>
  <c r="O3231" i="7"/>
  <c r="O3232" i="7"/>
  <c r="O3233" i="7"/>
  <c r="O3234" i="7"/>
  <c r="O3235" i="7"/>
  <c r="O3236" i="7"/>
  <c r="O3237" i="7"/>
  <c r="O3238" i="7"/>
  <c r="O3239" i="7"/>
  <c r="O3240" i="7"/>
  <c r="O3241" i="7"/>
  <c r="O3242" i="7"/>
  <c r="O3243" i="7"/>
  <c r="O3244" i="7"/>
  <c r="O3245" i="7"/>
  <c r="O3246" i="7"/>
  <c r="O3247" i="7"/>
  <c r="O3248" i="7"/>
  <c r="O3249" i="7"/>
  <c r="O3250" i="7"/>
  <c r="O3251" i="7"/>
  <c r="O3252" i="7"/>
  <c r="O3253" i="7"/>
  <c r="O3254" i="7"/>
  <c r="O3255" i="7"/>
  <c r="O3256" i="7"/>
  <c r="O3257" i="7"/>
  <c r="O3258" i="7"/>
  <c r="O3259" i="7"/>
  <c r="O3260" i="7"/>
  <c r="O3261" i="7"/>
  <c r="O3262" i="7"/>
  <c r="O3263" i="7"/>
  <c r="O3264" i="7"/>
  <c r="O3265" i="7"/>
  <c r="O3266" i="7"/>
  <c r="O3267" i="7"/>
  <c r="O3268" i="7"/>
  <c r="O3269" i="7"/>
  <c r="O3270" i="7"/>
  <c r="O3271" i="7"/>
  <c r="O3272" i="7"/>
  <c r="O3273" i="7"/>
  <c r="O3274" i="7"/>
  <c r="O3275" i="7"/>
  <c r="O3276" i="7"/>
  <c r="O3277" i="7"/>
  <c r="O3278" i="7"/>
  <c r="O3279" i="7"/>
  <c r="O3280" i="7"/>
  <c r="O3281" i="7"/>
  <c r="O3282" i="7"/>
  <c r="O3283" i="7"/>
  <c r="O3284" i="7"/>
  <c r="O3285" i="7"/>
  <c r="O3286" i="7"/>
  <c r="O3287" i="7"/>
  <c r="O3288" i="7"/>
  <c r="O3289" i="7"/>
  <c r="O3290" i="7"/>
  <c r="O3291" i="7"/>
  <c r="O3292" i="7"/>
  <c r="O3293" i="7"/>
  <c r="O3294" i="7"/>
  <c r="O3295" i="7"/>
  <c r="O3296" i="7"/>
  <c r="O3297" i="7"/>
  <c r="O3298" i="7"/>
  <c r="O3299" i="7"/>
  <c r="O3300" i="7"/>
  <c r="O3301" i="7"/>
  <c r="O3302" i="7"/>
  <c r="O3303" i="7"/>
  <c r="O3304" i="7"/>
  <c r="O3305" i="7"/>
  <c r="O3306" i="7"/>
  <c r="O3307" i="7"/>
  <c r="O3308" i="7"/>
  <c r="O3309" i="7"/>
  <c r="O3310" i="7"/>
  <c r="O3311" i="7"/>
  <c r="O3312" i="7"/>
  <c r="O3313" i="7"/>
  <c r="O3314" i="7"/>
  <c r="O3315" i="7"/>
  <c r="O3316" i="7"/>
  <c r="O3317" i="7"/>
  <c r="O3318" i="7"/>
  <c r="O3319" i="7"/>
  <c r="O3320" i="7"/>
  <c r="O3321" i="7"/>
  <c r="O3322" i="7"/>
  <c r="O3323" i="7"/>
  <c r="O3324" i="7"/>
  <c r="O3325" i="7"/>
  <c r="O3326" i="7"/>
  <c r="O3327" i="7"/>
  <c r="O3328" i="7"/>
  <c r="O3329" i="7"/>
  <c r="O3330" i="7"/>
  <c r="O3331" i="7"/>
  <c r="O3332" i="7"/>
  <c r="O3333" i="7"/>
  <c r="O3334" i="7"/>
  <c r="O3335" i="7"/>
  <c r="O3336" i="7"/>
  <c r="O3337" i="7"/>
  <c r="O3338" i="7"/>
  <c r="O3339" i="7"/>
  <c r="O3340" i="7"/>
  <c r="O3341" i="7"/>
  <c r="O3342" i="7"/>
  <c r="O3343" i="7"/>
  <c r="O3344" i="7"/>
  <c r="O3345" i="7"/>
  <c r="O3346" i="7"/>
  <c r="O3347" i="7"/>
  <c r="O3348" i="7"/>
  <c r="O3349" i="7"/>
  <c r="O3350" i="7"/>
  <c r="O3351" i="7"/>
  <c r="O3352" i="7"/>
  <c r="O3353" i="7"/>
  <c r="O3354" i="7"/>
  <c r="O3355" i="7"/>
  <c r="O3356" i="7"/>
  <c r="O3357" i="7"/>
  <c r="O3358" i="7"/>
  <c r="O3359" i="7"/>
  <c r="O3360" i="7"/>
  <c r="O3361" i="7"/>
  <c r="O3362" i="7"/>
  <c r="O3363" i="7"/>
  <c r="O3364" i="7"/>
  <c r="O3365" i="7"/>
  <c r="O3366" i="7"/>
  <c r="O3367" i="7"/>
  <c r="O3368" i="7"/>
  <c r="O3369" i="7"/>
  <c r="O3370" i="7"/>
  <c r="O3371" i="7"/>
  <c r="O3372" i="7"/>
  <c r="O3373" i="7"/>
  <c r="O3374" i="7"/>
  <c r="O3375" i="7"/>
  <c r="O3376" i="7"/>
  <c r="O3377" i="7"/>
  <c r="O3378" i="7"/>
  <c r="O3379" i="7"/>
  <c r="O3380" i="7"/>
  <c r="O3381" i="7"/>
  <c r="O3382" i="7"/>
  <c r="O3383" i="7"/>
  <c r="O3384" i="7"/>
  <c r="O3385" i="7"/>
  <c r="O3386" i="7"/>
  <c r="O3387" i="7"/>
  <c r="O3388" i="7"/>
  <c r="O3389" i="7"/>
  <c r="O3390" i="7"/>
  <c r="O3391" i="7"/>
  <c r="O3392" i="7"/>
  <c r="O3393" i="7"/>
  <c r="O3394" i="7"/>
  <c r="O3395" i="7"/>
  <c r="O3396" i="7"/>
  <c r="O3397" i="7"/>
  <c r="O3398" i="7"/>
  <c r="O3399" i="7"/>
  <c r="O3400" i="7"/>
  <c r="O3401" i="7"/>
  <c r="O3402" i="7"/>
  <c r="O3403" i="7"/>
  <c r="O3404" i="7"/>
  <c r="O3405" i="7"/>
  <c r="O3406" i="7"/>
  <c r="O3407" i="7"/>
  <c r="O3408" i="7"/>
  <c r="O3409" i="7"/>
  <c r="O3410" i="7"/>
  <c r="O3411" i="7"/>
  <c r="O3412" i="7"/>
  <c r="O3413" i="7"/>
  <c r="O3414" i="7"/>
  <c r="O3415" i="7"/>
  <c r="O3416" i="7"/>
  <c r="O3417" i="7"/>
  <c r="O3418" i="7"/>
  <c r="O3419" i="7"/>
  <c r="O3420" i="7"/>
  <c r="O3421" i="7"/>
  <c r="O3422" i="7"/>
  <c r="O3423" i="7"/>
  <c r="O3424" i="7"/>
  <c r="O3425" i="7"/>
  <c r="O3426" i="7"/>
  <c r="O3427" i="7"/>
  <c r="O3428" i="7"/>
  <c r="O3429" i="7"/>
  <c r="O3430" i="7"/>
  <c r="O3431" i="7"/>
  <c r="O3432" i="7"/>
  <c r="O3433" i="7"/>
  <c r="O3434" i="7"/>
  <c r="O3435" i="7"/>
  <c r="O3436" i="7"/>
  <c r="O3437" i="7"/>
  <c r="O3438" i="7"/>
  <c r="O3439" i="7"/>
  <c r="O3440" i="7"/>
  <c r="O3441" i="7"/>
  <c r="O3442" i="7"/>
  <c r="O3443" i="7"/>
  <c r="O3444" i="7"/>
  <c r="O3445" i="7"/>
  <c r="O3446" i="7"/>
  <c r="O3447" i="7"/>
  <c r="O3448" i="7"/>
  <c r="O3449" i="7"/>
  <c r="O3450" i="7"/>
  <c r="O3451" i="7"/>
  <c r="O3452" i="7"/>
  <c r="O3453" i="7"/>
  <c r="O3454" i="7"/>
  <c r="O3455" i="7"/>
  <c r="O3456" i="7"/>
  <c r="O3457" i="7"/>
  <c r="O3458" i="7"/>
  <c r="O3459" i="7"/>
  <c r="O3460" i="7"/>
  <c r="O3461" i="7"/>
  <c r="O3462" i="7"/>
  <c r="O3463" i="7"/>
  <c r="O3464" i="7"/>
  <c r="O3465" i="7"/>
  <c r="O3466" i="7"/>
  <c r="O3467" i="7"/>
  <c r="O3468" i="7"/>
  <c r="O3469" i="7"/>
  <c r="O3470" i="7"/>
  <c r="O3471" i="7"/>
  <c r="O3472" i="7"/>
  <c r="O3473" i="7"/>
  <c r="O3474" i="7"/>
  <c r="O3475" i="7"/>
  <c r="O3476" i="7"/>
  <c r="O3477" i="7"/>
  <c r="O3478" i="7"/>
  <c r="O3479" i="7"/>
  <c r="O3480" i="7"/>
  <c r="O3481" i="7"/>
  <c r="O3482" i="7"/>
  <c r="O3483" i="7"/>
  <c r="O3484" i="7"/>
  <c r="O3485" i="7"/>
  <c r="O3486" i="7"/>
  <c r="O3487" i="7"/>
  <c r="O3488" i="7"/>
  <c r="O3489" i="7"/>
  <c r="O3490" i="7"/>
  <c r="O3491" i="7"/>
  <c r="O3492" i="7"/>
  <c r="O3493" i="7"/>
  <c r="O3494" i="7"/>
  <c r="O3495" i="7"/>
  <c r="O3496" i="7"/>
  <c r="O3497" i="7"/>
  <c r="O3498" i="7"/>
  <c r="O3499" i="7"/>
  <c r="O3500" i="7"/>
  <c r="O3501" i="7"/>
  <c r="O3502" i="7"/>
  <c r="O3503" i="7"/>
  <c r="O3504" i="7"/>
  <c r="O3505" i="7"/>
  <c r="O3506" i="7"/>
  <c r="O3507" i="7"/>
  <c r="O3508" i="7"/>
  <c r="O3509" i="7"/>
  <c r="O3510" i="7"/>
  <c r="O3511" i="7"/>
  <c r="O3512" i="7"/>
  <c r="O3513" i="7"/>
  <c r="O3514" i="7"/>
  <c r="O3515" i="7"/>
  <c r="O3516" i="7"/>
  <c r="O3517" i="7"/>
  <c r="O3518" i="7"/>
  <c r="O3519" i="7"/>
  <c r="O3520" i="7"/>
  <c r="O3521" i="7"/>
  <c r="O3522" i="7"/>
  <c r="O3523" i="7"/>
  <c r="O3524" i="7"/>
  <c r="O3525" i="7"/>
  <c r="O3526" i="7"/>
  <c r="O3527" i="7"/>
  <c r="O3528" i="7"/>
  <c r="O3529" i="7"/>
  <c r="O3530" i="7"/>
  <c r="O3531" i="7"/>
  <c r="O3532" i="7"/>
  <c r="O3533" i="7"/>
  <c r="O3534" i="7"/>
  <c r="O3535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1" i="7"/>
  <c r="N1112" i="7"/>
  <c r="N1113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N1149" i="7"/>
  <c r="N1150" i="7"/>
  <c r="N1151" i="7"/>
  <c r="N1152" i="7"/>
  <c r="N1153" i="7"/>
  <c r="N1154" i="7"/>
  <c r="N1155" i="7"/>
  <c r="N1156" i="7"/>
  <c r="N1157" i="7"/>
  <c r="N1158" i="7"/>
  <c r="N1159" i="7"/>
  <c r="N1160" i="7"/>
  <c r="N1161" i="7"/>
  <c r="N1162" i="7"/>
  <c r="N1163" i="7"/>
  <c r="N1164" i="7"/>
  <c r="N1165" i="7"/>
  <c r="N1166" i="7"/>
  <c r="N1167" i="7"/>
  <c r="N1168" i="7"/>
  <c r="N1169" i="7"/>
  <c r="N1170" i="7"/>
  <c r="N1171" i="7"/>
  <c r="N1172" i="7"/>
  <c r="N1173" i="7"/>
  <c r="N1174" i="7"/>
  <c r="N1175" i="7"/>
  <c r="N1176" i="7"/>
  <c r="N1177" i="7"/>
  <c r="N1178" i="7"/>
  <c r="N1179" i="7"/>
  <c r="N1180" i="7"/>
  <c r="N1181" i="7"/>
  <c r="N1182" i="7"/>
  <c r="N1183" i="7"/>
  <c r="N1184" i="7"/>
  <c r="N1185" i="7"/>
  <c r="N1186" i="7"/>
  <c r="N1187" i="7"/>
  <c r="N1188" i="7"/>
  <c r="N1189" i="7"/>
  <c r="N1190" i="7"/>
  <c r="N1191" i="7"/>
  <c r="N1192" i="7"/>
  <c r="N1193" i="7"/>
  <c r="N1194" i="7"/>
  <c r="N1195" i="7"/>
  <c r="N1196" i="7"/>
  <c r="N1197" i="7"/>
  <c r="N1198" i="7"/>
  <c r="N1199" i="7"/>
  <c r="N1200" i="7"/>
  <c r="N1201" i="7"/>
  <c r="N1202" i="7"/>
  <c r="N1203" i="7"/>
  <c r="N1204" i="7"/>
  <c r="N1205" i="7"/>
  <c r="N1206" i="7"/>
  <c r="N1207" i="7"/>
  <c r="N1208" i="7"/>
  <c r="N1209" i="7"/>
  <c r="N1210" i="7"/>
  <c r="N1211" i="7"/>
  <c r="N1212" i="7"/>
  <c r="N1213" i="7"/>
  <c r="N1214" i="7"/>
  <c r="N1215" i="7"/>
  <c r="N1216" i="7"/>
  <c r="N1217" i="7"/>
  <c r="N1218" i="7"/>
  <c r="N1219" i="7"/>
  <c r="N1220" i="7"/>
  <c r="N1221" i="7"/>
  <c r="N1222" i="7"/>
  <c r="N1223" i="7"/>
  <c r="N1224" i="7"/>
  <c r="N1225" i="7"/>
  <c r="N1226" i="7"/>
  <c r="N1227" i="7"/>
  <c r="N1228" i="7"/>
  <c r="N1229" i="7"/>
  <c r="N1230" i="7"/>
  <c r="N1231" i="7"/>
  <c r="N1232" i="7"/>
  <c r="N1233" i="7"/>
  <c r="N1234" i="7"/>
  <c r="N1235" i="7"/>
  <c r="N1236" i="7"/>
  <c r="N1237" i="7"/>
  <c r="N1238" i="7"/>
  <c r="N1239" i="7"/>
  <c r="N1240" i="7"/>
  <c r="N1241" i="7"/>
  <c r="N1242" i="7"/>
  <c r="N1243" i="7"/>
  <c r="N1244" i="7"/>
  <c r="N1245" i="7"/>
  <c r="N1246" i="7"/>
  <c r="N1247" i="7"/>
  <c r="N1248" i="7"/>
  <c r="N1249" i="7"/>
  <c r="N1250" i="7"/>
  <c r="N1251" i="7"/>
  <c r="N1252" i="7"/>
  <c r="N1253" i="7"/>
  <c r="N1254" i="7"/>
  <c r="N1255" i="7"/>
  <c r="N1256" i="7"/>
  <c r="N1257" i="7"/>
  <c r="N1258" i="7"/>
  <c r="N1259" i="7"/>
  <c r="N1260" i="7"/>
  <c r="N1261" i="7"/>
  <c r="N1262" i="7"/>
  <c r="N1263" i="7"/>
  <c r="N1264" i="7"/>
  <c r="N1265" i="7"/>
  <c r="N1266" i="7"/>
  <c r="N1267" i="7"/>
  <c r="N1268" i="7"/>
  <c r="N1269" i="7"/>
  <c r="N1270" i="7"/>
  <c r="N1271" i="7"/>
  <c r="N1272" i="7"/>
  <c r="N1273" i="7"/>
  <c r="N1274" i="7"/>
  <c r="N1275" i="7"/>
  <c r="N1276" i="7"/>
  <c r="N1277" i="7"/>
  <c r="N1278" i="7"/>
  <c r="N1279" i="7"/>
  <c r="N1280" i="7"/>
  <c r="N1281" i="7"/>
  <c r="N1282" i="7"/>
  <c r="N1283" i="7"/>
  <c r="N1284" i="7"/>
  <c r="N1285" i="7"/>
  <c r="N1286" i="7"/>
  <c r="N1287" i="7"/>
  <c r="N1288" i="7"/>
  <c r="N1289" i="7"/>
  <c r="N1290" i="7"/>
  <c r="N1291" i="7"/>
  <c r="N1292" i="7"/>
  <c r="N1293" i="7"/>
  <c r="N1294" i="7"/>
  <c r="N1295" i="7"/>
  <c r="N1296" i="7"/>
  <c r="N1297" i="7"/>
  <c r="N1298" i="7"/>
  <c r="N1299" i="7"/>
  <c r="N1300" i="7"/>
  <c r="N1301" i="7"/>
  <c r="N1302" i="7"/>
  <c r="N1303" i="7"/>
  <c r="N1304" i="7"/>
  <c r="N1305" i="7"/>
  <c r="N1306" i="7"/>
  <c r="N1307" i="7"/>
  <c r="N1308" i="7"/>
  <c r="N1309" i="7"/>
  <c r="N1310" i="7"/>
  <c r="N1311" i="7"/>
  <c r="N1312" i="7"/>
  <c r="N1313" i="7"/>
  <c r="N1314" i="7"/>
  <c r="N1315" i="7"/>
  <c r="N1316" i="7"/>
  <c r="N1317" i="7"/>
  <c r="N1318" i="7"/>
  <c r="N1319" i="7"/>
  <c r="N1320" i="7"/>
  <c r="N1321" i="7"/>
  <c r="N1322" i="7"/>
  <c r="N1323" i="7"/>
  <c r="N1324" i="7"/>
  <c r="N1325" i="7"/>
  <c r="N1326" i="7"/>
  <c r="N1327" i="7"/>
  <c r="N1328" i="7"/>
  <c r="N1329" i="7"/>
  <c r="N1330" i="7"/>
  <c r="N1331" i="7"/>
  <c r="N1332" i="7"/>
  <c r="N1333" i="7"/>
  <c r="N1334" i="7"/>
  <c r="N1335" i="7"/>
  <c r="N1336" i="7"/>
  <c r="N1337" i="7"/>
  <c r="N1338" i="7"/>
  <c r="N1339" i="7"/>
  <c r="N1340" i="7"/>
  <c r="N1341" i="7"/>
  <c r="N1342" i="7"/>
  <c r="N1343" i="7"/>
  <c r="N1344" i="7"/>
  <c r="N1345" i="7"/>
  <c r="N1346" i="7"/>
  <c r="N1347" i="7"/>
  <c r="N1348" i="7"/>
  <c r="N1349" i="7"/>
  <c r="N1350" i="7"/>
  <c r="N1351" i="7"/>
  <c r="N1352" i="7"/>
  <c r="N1353" i="7"/>
  <c r="N1354" i="7"/>
  <c r="N1355" i="7"/>
  <c r="N1356" i="7"/>
  <c r="N1357" i="7"/>
  <c r="N1358" i="7"/>
  <c r="N1359" i="7"/>
  <c r="N1360" i="7"/>
  <c r="N1361" i="7"/>
  <c r="N1362" i="7"/>
  <c r="N1363" i="7"/>
  <c r="N1364" i="7"/>
  <c r="N1365" i="7"/>
  <c r="N1366" i="7"/>
  <c r="N1367" i="7"/>
  <c r="N1368" i="7"/>
  <c r="N1369" i="7"/>
  <c r="N1370" i="7"/>
  <c r="N1371" i="7"/>
  <c r="N1372" i="7"/>
  <c r="N1373" i="7"/>
  <c r="N1374" i="7"/>
  <c r="N1375" i="7"/>
  <c r="N1376" i="7"/>
  <c r="N1377" i="7"/>
  <c r="N1378" i="7"/>
  <c r="N1379" i="7"/>
  <c r="N1380" i="7"/>
  <c r="N1381" i="7"/>
  <c r="N1382" i="7"/>
  <c r="N1383" i="7"/>
  <c r="N1384" i="7"/>
  <c r="N1385" i="7"/>
  <c r="N1386" i="7"/>
  <c r="N1387" i="7"/>
  <c r="N1388" i="7"/>
  <c r="N1389" i="7"/>
  <c r="N1390" i="7"/>
  <c r="N1391" i="7"/>
  <c r="N1392" i="7"/>
  <c r="N1393" i="7"/>
  <c r="N1394" i="7"/>
  <c r="N1395" i="7"/>
  <c r="N1396" i="7"/>
  <c r="N1397" i="7"/>
  <c r="N1398" i="7"/>
  <c r="N1399" i="7"/>
  <c r="N1400" i="7"/>
  <c r="N1401" i="7"/>
  <c r="N1402" i="7"/>
  <c r="N1403" i="7"/>
  <c r="N1404" i="7"/>
  <c r="N1405" i="7"/>
  <c r="N1406" i="7"/>
  <c r="N1407" i="7"/>
  <c r="N1408" i="7"/>
  <c r="N1409" i="7"/>
  <c r="N1410" i="7"/>
  <c r="N1411" i="7"/>
  <c r="N1412" i="7"/>
  <c r="N1413" i="7"/>
  <c r="N1414" i="7"/>
  <c r="N1415" i="7"/>
  <c r="N1416" i="7"/>
  <c r="N1417" i="7"/>
  <c r="N1418" i="7"/>
  <c r="N1419" i="7"/>
  <c r="N1420" i="7"/>
  <c r="N1421" i="7"/>
  <c r="N1422" i="7"/>
  <c r="N1423" i="7"/>
  <c r="N1424" i="7"/>
  <c r="N1425" i="7"/>
  <c r="N1426" i="7"/>
  <c r="N1427" i="7"/>
  <c r="N1428" i="7"/>
  <c r="N1429" i="7"/>
  <c r="N1430" i="7"/>
  <c r="N1431" i="7"/>
  <c r="N1432" i="7"/>
  <c r="N1433" i="7"/>
  <c r="N1434" i="7"/>
  <c r="N1435" i="7"/>
  <c r="N1436" i="7"/>
  <c r="N1437" i="7"/>
  <c r="N1438" i="7"/>
  <c r="N1439" i="7"/>
  <c r="N1440" i="7"/>
  <c r="N1441" i="7"/>
  <c r="N1442" i="7"/>
  <c r="N1443" i="7"/>
  <c r="N1444" i="7"/>
  <c r="N1445" i="7"/>
  <c r="N1446" i="7"/>
  <c r="N1447" i="7"/>
  <c r="N1448" i="7"/>
  <c r="N1449" i="7"/>
  <c r="N1450" i="7"/>
  <c r="N1451" i="7"/>
  <c r="N1452" i="7"/>
  <c r="N1453" i="7"/>
  <c r="N1454" i="7"/>
  <c r="N1455" i="7"/>
  <c r="N1456" i="7"/>
  <c r="N1457" i="7"/>
  <c r="N1458" i="7"/>
  <c r="N1459" i="7"/>
  <c r="N1460" i="7"/>
  <c r="N1461" i="7"/>
  <c r="N1462" i="7"/>
  <c r="N1463" i="7"/>
  <c r="N1464" i="7"/>
  <c r="N1465" i="7"/>
  <c r="N1466" i="7"/>
  <c r="N1467" i="7"/>
  <c r="N1468" i="7"/>
  <c r="N1469" i="7"/>
  <c r="N1470" i="7"/>
  <c r="N1471" i="7"/>
  <c r="N1472" i="7"/>
  <c r="N1473" i="7"/>
  <c r="N1474" i="7"/>
  <c r="N1475" i="7"/>
  <c r="N1476" i="7"/>
  <c r="N1477" i="7"/>
  <c r="N1478" i="7"/>
  <c r="N1479" i="7"/>
  <c r="N1480" i="7"/>
  <c r="N1481" i="7"/>
  <c r="N1482" i="7"/>
  <c r="N1483" i="7"/>
  <c r="N1484" i="7"/>
  <c r="N1485" i="7"/>
  <c r="N1486" i="7"/>
  <c r="N1487" i="7"/>
  <c r="N1488" i="7"/>
  <c r="N1489" i="7"/>
  <c r="N1490" i="7"/>
  <c r="N1491" i="7"/>
  <c r="N1492" i="7"/>
  <c r="N1493" i="7"/>
  <c r="N1494" i="7"/>
  <c r="N1495" i="7"/>
  <c r="N1496" i="7"/>
  <c r="N1497" i="7"/>
  <c r="N1498" i="7"/>
  <c r="N1499" i="7"/>
  <c r="N1500" i="7"/>
  <c r="N1501" i="7"/>
  <c r="N1502" i="7"/>
  <c r="N1503" i="7"/>
  <c r="N1504" i="7"/>
  <c r="N1505" i="7"/>
  <c r="N1506" i="7"/>
  <c r="N1507" i="7"/>
  <c r="N1508" i="7"/>
  <c r="N1509" i="7"/>
  <c r="N1510" i="7"/>
  <c r="N1511" i="7"/>
  <c r="N1512" i="7"/>
  <c r="N1513" i="7"/>
  <c r="N1514" i="7"/>
  <c r="N1515" i="7"/>
  <c r="N1516" i="7"/>
  <c r="N1517" i="7"/>
  <c r="N1518" i="7"/>
  <c r="N1519" i="7"/>
  <c r="N1520" i="7"/>
  <c r="N1521" i="7"/>
  <c r="N1522" i="7"/>
  <c r="N1523" i="7"/>
  <c r="N1524" i="7"/>
  <c r="N1525" i="7"/>
  <c r="N1526" i="7"/>
  <c r="N1527" i="7"/>
  <c r="N1528" i="7"/>
  <c r="N1529" i="7"/>
  <c r="N1530" i="7"/>
  <c r="N1531" i="7"/>
  <c r="N1532" i="7"/>
  <c r="N1533" i="7"/>
  <c r="N1534" i="7"/>
  <c r="N1535" i="7"/>
  <c r="N1536" i="7"/>
  <c r="N1537" i="7"/>
  <c r="N1538" i="7"/>
  <c r="N1539" i="7"/>
  <c r="N1540" i="7"/>
  <c r="N1541" i="7"/>
  <c r="N1542" i="7"/>
  <c r="N1543" i="7"/>
  <c r="N1544" i="7"/>
  <c r="N1545" i="7"/>
  <c r="N1546" i="7"/>
  <c r="N1547" i="7"/>
  <c r="N1548" i="7"/>
  <c r="N1549" i="7"/>
  <c r="N1550" i="7"/>
  <c r="N1551" i="7"/>
  <c r="N1552" i="7"/>
  <c r="N1553" i="7"/>
  <c r="N1554" i="7"/>
  <c r="N1555" i="7"/>
  <c r="N1556" i="7"/>
  <c r="N1557" i="7"/>
  <c r="N1558" i="7"/>
  <c r="N1559" i="7"/>
  <c r="N1560" i="7"/>
  <c r="N1561" i="7"/>
  <c r="N1562" i="7"/>
  <c r="N1563" i="7"/>
  <c r="N1564" i="7"/>
  <c r="N1565" i="7"/>
  <c r="N1566" i="7"/>
  <c r="N1567" i="7"/>
  <c r="N1568" i="7"/>
  <c r="N1569" i="7"/>
  <c r="N1570" i="7"/>
  <c r="N1571" i="7"/>
  <c r="N1572" i="7"/>
  <c r="N1573" i="7"/>
  <c r="N1574" i="7"/>
  <c r="N1575" i="7"/>
  <c r="N1576" i="7"/>
  <c r="N1577" i="7"/>
  <c r="N1578" i="7"/>
  <c r="N1579" i="7"/>
  <c r="N1580" i="7"/>
  <c r="N1581" i="7"/>
  <c r="N1582" i="7"/>
  <c r="N1583" i="7"/>
  <c r="N1584" i="7"/>
  <c r="N1585" i="7"/>
  <c r="N1586" i="7"/>
  <c r="N1587" i="7"/>
  <c r="N1588" i="7"/>
  <c r="N1589" i="7"/>
  <c r="N1590" i="7"/>
  <c r="N1591" i="7"/>
  <c r="N1592" i="7"/>
  <c r="N1593" i="7"/>
  <c r="N1594" i="7"/>
  <c r="N1595" i="7"/>
  <c r="N1596" i="7"/>
  <c r="N1597" i="7"/>
  <c r="N1598" i="7"/>
  <c r="N1599" i="7"/>
  <c r="N1600" i="7"/>
  <c r="N1601" i="7"/>
  <c r="N1602" i="7"/>
  <c r="N1603" i="7"/>
  <c r="N1604" i="7"/>
  <c r="N1605" i="7"/>
  <c r="N1606" i="7"/>
  <c r="N1607" i="7"/>
  <c r="N1608" i="7"/>
  <c r="N1609" i="7"/>
  <c r="N1610" i="7"/>
  <c r="N1611" i="7"/>
  <c r="N1612" i="7"/>
  <c r="N1613" i="7"/>
  <c r="N1614" i="7"/>
  <c r="N1615" i="7"/>
  <c r="N1616" i="7"/>
  <c r="N1617" i="7"/>
  <c r="N1618" i="7"/>
  <c r="N1619" i="7"/>
  <c r="N1620" i="7"/>
  <c r="N1621" i="7"/>
  <c r="N1622" i="7"/>
  <c r="N1623" i="7"/>
  <c r="N1624" i="7"/>
  <c r="N1625" i="7"/>
  <c r="N1626" i="7"/>
  <c r="N1627" i="7"/>
  <c r="N1628" i="7"/>
  <c r="N1629" i="7"/>
  <c r="N1630" i="7"/>
  <c r="N1631" i="7"/>
  <c r="N1632" i="7"/>
  <c r="N1633" i="7"/>
  <c r="N1634" i="7"/>
  <c r="N1635" i="7"/>
  <c r="N1636" i="7"/>
  <c r="N1637" i="7"/>
  <c r="N1638" i="7"/>
  <c r="N1639" i="7"/>
  <c r="N1640" i="7"/>
  <c r="N1641" i="7"/>
  <c r="N1642" i="7"/>
  <c r="N1643" i="7"/>
  <c r="N1644" i="7"/>
  <c r="N1645" i="7"/>
  <c r="N1646" i="7"/>
  <c r="N1647" i="7"/>
  <c r="N1648" i="7"/>
  <c r="N1649" i="7"/>
  <c r="N1650" i="7"/>
  <c r="N1651" i="7"/>
  <c r="N1652" i="7"/>
  <c r="N1653" i="7"/>
  <c r="N1654" i="7"/>
  <c r="N1655" i="7"/>
  <c r="N1656" i="7"/>
  <c r="N1657" i="7"/>
  <c r="N1658" i="7"/>
  <c r="N1659" i="7"/>
  <c r="N1660" i="7"/>
  <c r="N1661" i="7"/>
  <c r="N1662" i="7"/>
  <c r="N1663" i="7"/>
  <c r="N1664" i="7"/>
  <c r="N1665" i="7"/>
  <c r="N1666" i="7"/>
  <c r="N1667" i="7"/>
  <c r="N1668" i="7"/>
  <c r="N1669" i="7"/>
  <c r="N1670" i="7"/>
  <c r="N1671" i="7"/>
  <c r="N1672" i="7"/>
  <c r="N1673" i="7"/>
  <c r="N1674" i="7"/>
  <c r="N1675" i="7"/>
  <c r="N1676" i="7"/>
  <c r="N1677" i="7"/>
  <c r="N1678" i="7"/>
  <c r="N1679" i="7"/>
  <c r="N1680" i="7"/>
  <c r="N1681" i="7"/>
  <c r="N1682" i="7"/>
  <c r="N1683" i="7"/>
  <c r="N1684" i="7"/>
  <c r="N1685" i="7"/>
  <c r="N1686" i="7"/>
  <c r="N1687" i="7"/>
  <c r="N1688" i="7"/>
  <c r="N1689" i="7"/>
  <c r="N1690" i="7"/>
  <c r="N1691" i="7"/>
  <c r="N1692" i="7"/>
  <c r="N1693" i="7"/>
  <c r="N1694" i="7"/>
  <c r="N1695" i="7"/>
  <c r="N1696" i="7"/>
  <c r="N1697" i="7"/>
  <c r="N1698" i="7"/>
  <c r="N1699" i="7"/>
  <c r="N1700" i="7"/>
  <c r="N1701" i="7"/>
  <c r="N1702" i="7"/>
  <c r="N1703" i="7"/>
  <c r="N1704" i="7"/>
  <c r="N1705" i="7"/>
  <c r="N1706" i="7"/>
  <c r="N1707" i="7"/>
  <c r="N1708" i="7"/>
  <c r="N1709" i="7"/>
  <c r="N1710" i="7"/>
  <c r="N1711" i="7"/>
  <c r="N1712" i="7"/>
  <c r="N1713" i="7"/>
  <c r="N1714" i="7"/>
  <c r="N1715" i="7"/>
  <c r="N1716" i="7"/>
  <c r="N1717" i="7"/>
  <c r="N1718" i="7"/>
  <c r="N1719" i="7"/>
  <c r="N1720" i="7"/>
  <c r="N1721" i="7"/>
  <c r="N1722" i="7"/>
  <c r="N1723" i="7"/>
  <c r="N1724" i="7"/>
  <c r="N1725" i="7"/>
  <c r="N1726" i="7"/>
  <c r="N1727" i="7"/>
  <c r="N1728" i="7"/>
  <c r="N1729" i="7"/>
  <c r="N1730" i="7"/>
  <c r="N1731" i="7"/>
  <c r="N1732" i="7"/>
  <c r="N1733" i="7"/>
  <c r="N1734" i="7"/>
  <c r="N1735" i="7"/>
  <c r="N1736" i="7"/>
  <c r="N1737" i="7"/>
  <c r="N1738" i="7"/>
  <c r="N1739" i="7"/>
  <c r="N1740" i="7"/>
  <c r="N1741" i="7"/>
  <c r="N1742" i="7"/>
  <c r="N1743" i="7"/>
  <c r="N1744" i="7"/>
  <c r="N1745" i="7"/>
  <c r="N1746" i="7"/>
  <c r="N1747" i="7"/>
  <c r="N1748" i="7"/>
  <c r="N1749" i="7"/>
  <c r="N1750" i="7"/>
  <c r="N1751" i="7"/>
  <c r="N1752" i="7"/>
  <c r="N1753" i="7"/>
  <c r="N1754" i="7"/>
  <c r="N1755" i="7"/>
  <c r="N1756" i="7"/>
  <c r="N1757" i="7"/>
  <c r="N1758" i="7"/>
  <c r="N1759" i="7"/>
  <c r="N1760" i="7"/>
  <c r="N1761" i="7"/>
  <c r="N1762" i="7"/>
  <c r="N1763" i="7"/>
  <c r="N1764" i="7"/>
  <c r="N1765" i="7"/>
  <c r="N1766" i="7"/>
  <c r="N1767" i="7"/>
  <c r="N1768" i="7"/>
  <c r="N1769" i="7"/>
  <c r="N1770" i="7"/>
  <c r="N1771" i="7"/>
  <c r="N1772" i="7"/>
  <c r="N1773" i="7"/>
  <c r="N1774" i="7"/>
  <c r="N1775" i="7"/>
  <c r="N1776" i="7"/>
  <c r="N1777" i="7"/>
  <c r="N1778" i="7"/>
  <c r="N1779" i="7"/>
  <c r="N1780" i="7"/>
  <c r="N1781" i="7"/>
  <c r="N1782" i="7"/>
  <c r="N1783" i="7"/>
  <c r="N1784" i="7"/>
  <c r="N1785" i="7"/>
  <c r="N1786" i="7"/>
  <c r="N1787" i="7"/>
  <c r="N1788" i="7"/>
  <c r="N1789" i="7"/>
  <c r="N1790" i="7"/>
  <c r="N1791" i="7"/>
  <c r="N1792" i="7"/>
  <c r="N1793" i="7"/>
  <c r="N1794" i="7"/>
  <c r="N1795" i="7"/>
  <c r="N1796" i="7"/>
  <c r="N1797" i="7"/>
  <c r="N1798" i="7"/>
  <c r="N1799" i="7"/>
  <c r="N1800" i="7"/>
  <c r="N1801" i="7"/>
  <c r="N1802" i="7"/>
  <c r="N1803" i="7"/>
  <c r="N1804" i="7"/>
  <c r="N1805" i="7"/>
  <c r="N1806" i="7"/>
  <c r="N1807" i="7"/>
  <c r="N1808" i="7"/>
  <c r="N1809" i="7"/>
  <c r="N1810" i="7"/>
  <c r="N1811" i="7"/>
  <c r="N1812" i="7"/>
  <c r="N1813" i="7"/>
  <c r="N1814" i="7"/>
  <c r="N1815" i="7"/>
  <c r="N1816" i="7"/>
  <c r="N1817" i="7"/>
  <c r="N1818" i="7"/>
  <c r="N1819" i="7"/>
  <c r="N1820" i="7"/>
  <c r="N1821" i="7"/>
  <c r="N1822" i="7"/>
  <c r="N1823" i="7"/>
  <c r="N1824" i="7"/>
  <c r="N1825" i="7"/>
  <c r="N1826" i="7"/>
  <c r="N1827" i="7"/>
  <c r="N1828" i="7"/>
  <c r="N1829" i="7"/>
  <c r="N1830" i="7"/>
  <c r="N1831" i="7"/>
  <c r="N1832" i="7"/>
  <c r="N1833" i="7"/>
  <c r="N1834" i="7"/>
  <c r="N1835" i="7"/>
  <c r="N1836" i="7"/>
  <c r="N1837" i="7"/>
  <c r="N1838" i="7"/>
  <c r="N1839" i="7"/>
  <c r="N1840" i="7"/>
  <c r="N1841" i="7"/>
  <c r="N1842" i="7"/>
  <c r="N1843" i="7"/>
  <c r="N1844" i="7"/>
  <c r="N1845" i="7"/>
  <c r="N1846" i="7"/>
  <c r="N1847" i="7"/>
  <c r="N1848" i="7"/>
  <c r="N1849" i="7"/>
  <c r="N1850" i="7"/>
  <c r="N1851" i="7"/>
  <c r="N1852" i="7"/>
  <c r="N1853" i="7"/>
  <c r="N1854" i="7"/>
  <c r="N1855" i="7"/>
  <c r="N1856" i="7"/>
  <c r="N1857" i="7"/>
  <c r="N1858" i="7"/>
  <c r="N1859" i="7"/>
  <c r="N1860" i="7"/>
  <c r="N1861" i="7"/>
  <c r="N1862" i="7"/>
  <c r="N1863" i="7"/>
  <c r="N1864" i="7"/>
  <c r="N1865" i="7"/>
  <c r="N1866" i="7"/>
  <c r="N1867" i="7"/>
  <c r="N1868" i="7"/>
  <c r="N1869" i="7"/>
  <c r="N1870" i="7"/>
  <c r="N1871" i="7"/>
  <c r="N1872" i="7"/>
  <c r="N1873" i="7"/>
  <c r="N1874" i="7"/>
  <c r="N1875" i="7"/>
  <c r="N1876" i="7"/>
  <c r="N1877" i="7"/>
  <c r="N1878" i="7"/>
  <c r="N1879" i="7"/>
  <c r="N1880" i="7"/>
  <c r="N1881" i="7"/>
  <c r="N1882" i="7"/>
  <c r="N1883" i="7"/>
  <c r="N1884" i="7"/>
  <c r="N1885" i="7"/>
  <c r="N1886" i="7"/>
  <c r="N1887" i="7"/>
  <c r="N1888" i="7"/>
  <c r="N1889" i="7"/>
  <c r="N1890" i="7"/>
  <c r="N1891" i="7"/>
  <c r="N1892" i="7"/>
  <c r="N1893" i="7"/>
  <c r="N1894" i="7"/>
  <c r="N1895" i="7"/>
  <c r="N1896" i="7"/>
  <c r="N1897" i="7"/>
  <c r="N1898" i="7"/>
  <c r="N1899" i="7"/>
  <c r="N1900" i="7"/>
  <c r="N1901" i="7"/>
  <c r="N1902" i="7"/>
  <c r="N1903" i="7"/>
  <c r="N1904" i="7"/>
  <c r="N1905" i="7"/>
  <c r="N1906" i="7"/>
  <c r="N1907" i="7"/>
  <c r="N1908" i="7"/>
  <c r="N1909" i="7"/>
  <c r="N1910" i="7"/>
  <c r="N1911" i="7"/>
  <c r="N1912" i="7"/>
  <c r="N1913" i="7"/>
  <c r="N1914" i="7"/>
  <c r="N1915" i="7"/>
  <c r="N1916" i="7"/>
  <c r="N1917" i="7"/>
  <c r="N1918" i="7"/>
  <c r="N1919" i="7"/>
  <c r="N1920" i="7"/>
  <c r="N1921" i="7"/>
  <c r="N1922" i="7"/>
  <c r="N1923" i="7"/>
  <c r="N1924" i="7"/>
  <c r="N1925" i="7"/>
  <c r="N1926" i="7"/>
  <c r="N1927" i="7"/>
  <c r="N1928" i="7"/>
  <c r="N1929" i="7"/>
  <c r="N1930" i="7"/>
  <c r="N1931" i="7"/>
  <c r="N1932" i="7"/>
  <c r="N1933" i="7"/>
  <c r="N1934" i="7"/>
  <c r="N1935" i="7"/>
  <c r="N1936" i="7"/>
  <c r="N1937" i="7"/>
  <c r="N1938" i="7"/>
  <c r="N1939" i="7"/>
  <c r="N1940" i="7"/>
  <c r="N1941" i="7"/>
  <c r="N1942" i="7"/>
  <c r="N1943" i="7"/>
  <c r="N1944" i="7"/>
  <c r="N1945" i="7"/>
  <c r="N1946" i="7"/>
  <c r="N1947" i="7"/>
  <c r="N1948" i="7"/>
  <c r="N1949" i="7"/>
  <c r="N1950" i="7"/>
  <c r="N1951" i="7"/>
  <c r="N1952" i="7"/>
  <c r="N1953" i="7"/>
  <c r="N1954" i="7"/>
  <c r="N1955" i="7"/>
  <c r="N1956" i="7"/>
  <c r="N1957" i="7"/>
  <c r="N1958" i="7"/>
  <c r="N1959" i="7"/>
  <c r="N1960" i="7"/>
  <c r="N1961" i="7"/>
  <c r="N1962" i="7"/>
  <c r="N1963" i="7"/>
  <c r="N1964" i="7"/>
  <c r="N1965" i="7"/>
  <c r="N1966" i="7"/>
  <c r="N1967" i="7"/>
  <c r="N1968" i="7"/>
  <c r="N1969" i="7"/>
  <c r="N1970" i="7"/>
  <c r="N1971" i="7"/>
  <c r="N1972" i="7"/>
  <c r="N1973" i="7"/>
  <c r="N1974" i="7"/>
  <c r="N1975" i="7"/>
  <c r="N1976" i="7"/>
  <c r="N1977" i="7"/>
  <c r="N1978" i="7"/>
  <c r="N1979" i="7"/>
  <c r="N1980" i="7"/>
  <c r="N1981" i="7"/>
  <c r="N1982" i="7"/>
  <c r="N1983" i="7"/>
  <c r="N1984" i="7"/>
  <c r="N1985" i="7"/>
  <c r="N1986" i="7"/>
  <c r="N1987" i="7"/>
  <c r="N1988" i="7"/>
  <c r="N1989" i="7"/>
  <c r="N1990" i="7"/>
  <c r="N1991" i="7"/>
  <c r="N1992" i="7"/>
  <c r="N1993" i="7"/>
  <c r="N1994" i="7"/>
  <c r="N1995" i="7"/>
  <c r="N1996" i="7"/>
  <c r="N1997" i="7"/>
  <c r="N1998" i="7"/>
  <c r="N1999" i="7"/>
  <c r="N2000" i="7"/>
  <c r="N2001" i="7"/>
  <c r="N2002" i="7"/>
  <c r="N2003" i="7"/>
  <c r="N2004" i="7"/>
  <c r="N2005" i="7"/>
  <c r="N2006" i="7"/>
  <c r="N2007" i="7"/>
  <c r="N2008" i="7"/>
  <c r="N2009" i="7"/>
  <c r="N2010" i="7"/>
  <c r="N2011" i="7"/>
  <c r="N2012" i="7"/>
  <c r="N2013" i="7"/>
  <c r="N2014" i="7"/>
  <c r="N2015" i="7"/>
  <c r="N2016" i="7"/>
  <c r="N2017" i="7"/>
  <c r="N2018" i="7"/>
  <c r="N2019" i="7"/>
  <c r="N2020" i="7"/>
  <c r="N2021" i="7"/>
  <c r="N2022" i="7"/>
  <c r="N2023" i="7"/>
  <c r="N2024" i="7"/>
  <c r="N2025" i="7"/>
  <c r="N2026" i="7"/>
  <c r="N2027" i="7"/>
  <c r="N2028" i="7"/>
  <c r="N2029" i="7"/>
  <c r="N2030" i="7"/>
  <c r="N2031" i="7"/>
  <c r="N2032" i="7"/>
  <c r="N2033" i="7"/>
  <c r="N2034" i="7"/>
  <c r="N2035" i="7"/>
  <c r="N2036" i="7"/>
  <c r="N2037" i="7"/>
  <c r="N2038" i="7"/>
  <c r="N2039" i="7"/>
  <c r="N2040" i="7"/>
  <c r="N2041" i="7"/>
  <c r="N2042" i="7"/>
  <c r="N2043" i="7"/>
  <c r="N2044" i="7"/>
  <c r="N2045" i="7"/>
  <c r="N2046" i="7"/>
  <c r="N2047" i="7"/>
  <c r="N2048" i="7"/>
  <c r="N2049" i="7"/>
  <c r="N2050" i="7"/>
  <c r="N2051" i="7"/>
  <c r="N2052" i="7"/>
  <c r="N2053" i="7"/>
  <c r="N2054" i="7"/>
  <c r="N2055" i="7"/>
  <c r="N2056" i="7"/>
  <c r="N2057" i="7"/>
  <c r="N2058" i="7"/>
  <c r="N2059" i="7"/>
  <c r="N2060" i="7"/>
  <c r="N2061" i="7"/>
  <c r="N2062" i="7"/>
  <c r="N2063" i="7"/>
  <c r="N2064" i="7"/>
  <c r="N2065" i="7"/>
  <c r="N2066" i="7"/>
  <c r="N2067" i="7"/>
  <c r="N2068" i="7"/>
  <c r="N2069" i="7"/>
  <c r="N2070" i="7"/>
  <c r="N2071" i="7"/>
  <c r="N2072" i="7"/>
  <c r="N2073" i="7"/>
  <c r="N2074" i="7"/>
  <c r="N2075" i="7"/>
  <c r="N2076" i="7"/>
  <c r="N2077" i="7"/>
  <c r="N2078" i="7"/>
  <c r="N2079" i="7"/>
  <c r="N2080" i="7"/>
  <c r="N2081" i="7"/>
  <c r="N2082" i="7"/>
  <c r="N2083" i="7"/>
  <c r="N2084" i="7"/>
  <c r="N2085" i="7"/>
  <c r="N2086" i="7"/>
  <c r="N2087" i="7"/>
  <c r="N2088" i="7"/>
  <c r="N2089" i="7"/>
  <c r="N2090" i="7"/>
  <c r="N2091" i="7"/>
  <c r="N2092" i="7"/>
  <c r="N2093" i="7"/>
  <c r="N2094" i="7"/>
  <c r="N2095" i="7"/>
  <c r="N2096" i="7"/>
  <c r="N2097" i="7"/>
  <c r="N2098" i="7"/>
  <c r="N2099" i="7"/>
  <c r="N2100" i="7"/>
  <c r="N2101" i="7"/>
  <c r="N2102" i="7"/>
  <c r="N2103" i="7"/>
  <c r="N2104" i="7"/>
  <c r="N2105" i="7"/>
  <c r="N2106" i="7"/>
  <c r="N2107" i="7"/>
  <c r="N2108" i="7"/>
  <c r="N2109" i="7"/>
  <c r="N2110" i="7"/>
  <c r="N2111" i="7"/>
  <c r="N2112" i="7"/>
  <c r="N2113" i="7"/>
  <c r="N2114" i="7"/>
  <c r="N2115" i="7"/>
  <c r="N2116" i="7"/>
  <c r="N2117" i="7"/>
  <c r="N2118" i="7"/>
  <c r="N2119" i="7"/>
  <c r="N2120" i="7"/>
  <c r="N2121" i="7"/>
  <c r="N2122" i="7"/>
  <c r="N2123" i="7"/>
  <c r="N2124" i="7"/>
  <c r="N2125" i="7"/>
  <c r="N2126" i="7"/>
  <c r="N2127" i="7"/>
  <c r="N2128" i="7"/>
  <c r="N2129" i="7"/>
  <c r="N2130" i="7"/>
  <c r="N2131" i="7"/>
  <c r="N2132" i="7"/>
  <c r="N2133" i="7"/>
  <c r="N2134" i="7"/>
  <c r="N2135" i="7"/>
  <c r="N2136" i="7"/>
  <c r="N2137" i="7"/>
  <c r="N2138" i="7"/>
  <c r="N2139" i="7"/>
  <c r="N2140" i="7"/>
  <c r="N2141" i="7"/>
  <c r="N2142" i="7"/>
  <c r="N2143" i="7"/>
  <c r="N2144" i="7"/>
  <c r="N2145" i="7"/>
  <c r="N2146" i="7"/>
  <c r="N2147" i="7"/>
  <c r="N2148" i="7"/>
  <c r="N2149" i="7"/>
  <c r="N2150" i="7"/>
  <c r="N2151" i="7"/>
  <c r="N2152" i="7"/>
  <c r="N2153" i="7"/>
  <c r="N2154" i="7"/>
  <c r="N2155" i="7"/>
  <c r="N2156" i="7"/>
  <c r="N2157" i="7"/>
  <c r="N2158" i="7"/>
  <c r="N2159" i="7"/>
  <c r="N2160" i="7"/>
  <c r="N2161" i="7"/>
  <c r="N2162" i="7"/>
  <c r="N2163" i="7"/>
  <c r="N2164" i="7"/>
  <c r="N2165" i="7"/>
  <c r="N2166" i="7"/>
  <c r="N2167" i="7"/>
  <c r="N2168" i="7"/>
  <c r="N2169" i="7"/>
  <c r="N2170" i="7"/>
  <c r="N2171" i="7"/>
  <c r="N2172" i="7"/>
  <c r="N2173" i="7"/>
  <c r="N2174" i="7"/>
  <c r="N2175" i="7"/>
  <c r="N2176" i="7"/>
  <c r="N2177" i="7"/>
  <c r="N2178" i="7"/>
  <c r="N2179" i="7"/>
  <c r="N2180" i="7"/>
  <c r="N2181" i="7"/>
  <c r="N2182" i="7"/>
  <c r="N2183" i="7"/>
  <c r="N2184" i="7"/>
  <c r="N2185" i="7"/>
  <c r="N2186" i="7"/>
  <c r="N2187" i="7"/>
  <c r="N2188" i="7"/>
  <c r="N2189" i="7"/>
  <c r="N2190" i="7"/>
  <c r="N2191" i="7"/>
  <c r="N2192" i="7"/>
  <c r="N2193" i="7"/>
  <c r="N2194" i="7"/>
  <c r="N2195" i="7"/>
  <c r="N2196" i="7"/>
  <c r="N2197" i="7"/>
  <c r="N2198" i="7"/>
  <c r="N2199" i="7"/>
  <c r="N2200" i="7"/>
  <c r="N2201" i="7"/>
  <c r="N2202" i="7"/>
  <c r="N2203" i="7"/>
  <c r="N2204" i="7"/>
  <c r="N2205" i="7"/>
  <c r="N2206" i="7"/>
  <c r="N2207" i="7"/>
  <c r="N2208" i="7"/>
  <c r="N2209" i="7"/>
  <c r="N2210" i="7"/>
  <c r="N2211" i="7"/>
  <c r="N2212" i="7"/>
  <c r="N2213" i="7"/>
  <c r="N2214" i="7"/>
  <c r="N2215" i="7"/>
  <c r="N2216" i="7"/>
  <c r="N2217" i="7"/>
  <c r="N2218" i="7"/>
  <c r="N2219" i="7"/>
  <c r="N2220" i="7"/>
  <c r="N2221" i="7"/>
  <c r="N2222" i="7"/>
  <c r="N2223" i="7"/>
  <c r="N2224" i="7"/>
  <c r="N2225" i="7"/>
  <c r="N2226" i="7"/>
  <c r="N2227" i="7"/>
  <c r="N2228" i="7"/>
  <c r="N2229" i="7"/>
  <c r="N2230" i="7"/>
  <c r="N2231" i="7"/>
  <c r="N2232" i="7"/>
  <c r="N2233" i="7"/>
  <c r="N2234" i="7"/>
  <c r="N2235" i="7"/>
  <c r="N2236" i="7"/>
  <c r="N2237" i="7"/>
  <c r="N2238" i="7"/>
  <c r="N2239" i="7"/>
  <c r="N2240" i="7"/>
  <c r="N2241" i="7"/>
  <c r="N2242" i="7"/>
  <c r="N2243" i="7"/>
  <c r="N2244" i="7"/>
  <c r="N2245" i="7"/>
  <c r="N2246" i="7"/>
  <c r="N2247" i="7"/>
  <c r="N2248" i="7"/>
  <c r="N2249" i="7"/>
  <c r="N2250" i="7"/>
  <c r="N2251" i="7"/>
  <c r="N2252" i="7"/>
  <c r="N2253" i="7"/>
  <c r="N2254" i="7"/>
  <c r="N2255" i="7"/>
  <c r="N2256" i="7"/>
  <c r="N2257" i="7"/>
  <c r="N2258" i="7"/>
  <c r="N2259" i="7"/>
  <c r="N2260" i="7"/>
  <c r="N2261" i="7"/>
  <c r="N2262" i="7"/>
  <c r="N2263" i="7"/>
  <c r="N2264" i="7"/>
  <c r="N2265" i="7"/>
  <c r="N2266" i="7"/>
  <c r="N2267" i="7"/>
  <c r="N2268" i="7"/>
  <c r="N2269" i="7"/>
  <c r="N2270" i="7"/>
  <c r="N2271" i="7"/>
  <c r="N2272" i="7"/>
  <c r="N2273" i="7"/>
  <c r="N2274" i="7"/>
  <c r="N2275" i="7"/>
  <c r="N2276" i="7"/>
  <c r="N2277" i="7"/>
  <c r="N2278" i="7"/>
  <c r="N2279" i="7"/>
  <c r="N2280" i="7"/>
  <c r="N2281" i="7"/>
  <c r="N2282" i="7"/>
  <c r="N2283" i="7"/>
  <c r="N2284" i="7"/>
  <c r="N2285" i="7"/>
  <c r="N2286" i="7"/>
  <c r="N2287" i="7"/>
  <c r="N2288" i="7"/>
  <c r="N2289" i="7"/>
  <c r="N2290" i="7"/>
  <c r="N2291" i="7"/>
  <c r="N2292" i="7"/>
  <c r="N2293" i="7"/>
  <c r="N2294" i="7"/>
  <c r="N2295" i="7"/>
  <c r="N2296" i="7"/>
  <c r="N2297" i="7"/>
  <c r="N2298" i="7"/>
  <c r="N2299" i="7"/>
  <c r="N2300" i="7"/>
  <c r="N2301" i="7"/>
  <c r="N2302" i="7"/>
  <c r="N2303" i="7"/>
  <c r="N2304" i="7"/>
  <c r="N2305" i="7"/>
  <c r="N2306" i="7"/>
  <c r="N2307" i="7"/>
  <c r="N2308" i="7"/>
  <c r="N2309" i="7"/>
  <c r="N2310" i="7"/>
  <c r="N2311" i="7"/>
  <c r="N2312" i="7"/>
  <c r="N2313" i="7"/>
  <c r="N2314" i="7"/>
  <c r="N2315" i="7"/>
  <c r="N2316" i="7"/>
  <c r="N2317" i="7"/>
  <c r="N2318" i="7"/>
  <c r="N2319" i="7"/>
  <c r="N2320" i="7"/>
  <c r="N2321" i="7"/>
  <c r="N2322" i="7"/>
  <c r="N2323" i="7"/>
  <c r="N2324" i="7"/>
  <c r="N2325" i="7"/>
  <c r="N2326" i="7"/>
  <c r="N2327" i="7"/>
  <c r="N2328" i="7"/>
  <c r="N2329" i="7"/>
  <c r="N2330" i="7"/>
  <c r="N2331" i="7"/>
  <c r="N2332" i="7"/>
  <c r="N2333" i="7"/>
  <c r="N2334" i="7"/>
  <c r="N2335" i="7"/>
  <c r="N2336" i="7"/>
  <c r="N2337" i="7"/>
  <c r="N2338" i="7"/>
  <c r="N2339" i="7"/>
  <c r="N2340" i="7"/>
  <c r="N2341" i="7"/>
  <c r="N2342" i="7"/>
  <c r="N2343" i="7"/>
  <c r="N2344" i="7"/>
  <c r="N2345" i="7"/>
  <c r="N2346" i="7"/>
  <c r="N2347" i="7"/>
  <c r="N2348" i="7"/>
  <c r="N2349" i="7"/>
  <c r="N2350" i="7"/>
  <c r="N2351" i="7"/>
  <c r="N2352" i="7"/>
  <c r="N2353" i="7"/>
  <c r="N2354" i="7"/>
  <c r="N2355" i="7"/>
  <c r="N2356" i="7"/>
  <c r="N2357" i="7"/>
  <c r="N2358" i="7"/>
  <c r="N2359" i="7"/>
  <c r="N2360" i="7"/>
  <c r="N2361" i="7"/>
  <c r="N2362" i="7"/>
  <c r="N2363" i="7"/>
  <c r="N2364" i="7"/>
  <c r="N2365" i="7"/>
  <c r="N2366" i="7"/>
  <c r="N2367" i="7"/>
  <c r="N2368" i="7"/>
  <c r="N2369" i="7"/>
  <c r="N2370" i="7"/>
  <c r="N2371" i="7"/>
  <c r="N2372" i="7"/>
  <c r="N2373" i="7"/>
  <c r="N2374" i="7"/>
  <c r="N2375" i="7"/>
  <c r="N2376" i="7"/>
  <c r="N2377" i="7"/>
  <c r="N2378" i="7"/>
  <c r="N2379" i="7"/>
  <c r="N2380" i="7"/>
  <c r="N2381" i="7"/>
  <c r="N2382" i="7"/>
  <c r="N2383" i="7"/>
  <c r="N2384" i="7"/>
  <c r="N2385" i="7"/>
  <c r="N2386" i="7"/>
  <c r="N2387" i="7"/>
  <c r="N2388" i="7"/>
  <c r="N2389" i="7"/>
  <c r="N2390" i="7"/>
  <c r="N2391" i="7"/>
  <c r="N2392" i="7"/>
  <c r="N2393" i="7"/>
  <c r="N2394" i="7"/>
  <c r="N2395" i="7"/>
  <c r="N2396" i="7"/>
  <c r="N2397" i="7"/>
  <c r="N2398" i="7"/>
  <c r="N2399" i="7"/>
  <c r="N2400" i="7"/>
  <c r="N2401" i="7"/>
  <c r="N2402" i="7"/>
  <c r="N2403" i="7"/>
  <c r="N2404" i="7"/>
  <c r="N2405" i="7"/>
  <c r="N2406" i="7"/>
  <c r="N2407" i="7"/>
  <c r="N2408" i="7"/>
  <c r="N2409" i="7"/>
  <c r="N2410" i="7"/>
  <c r="N2411" i="7"/>
  <c r="N2412" i="7"/>
  <c r="N2413" i="7"/>
  <c r="N2414" i="7"/>
  <c r="N2415" i="7"/>
  <c r="N2416" i="7"/>
  <c r="N2417" i="7"/>
  <c r="N2418" i="7"/>
  <c r="N2419" i="7"/>
  <c r="N2420" i="7"/>
  <c r="N2421" i="7"/>
  <c r="N2422" i="7"/>
  <c r="N2423" i="7"/>
  <c r="N2424" i="7"/>
  <c r="N2425" i="7"/>
  <c r="N2426" i="7"/>
  <c r="N2427" i="7"/>
  <c r="N2428" i="7"/>
  <c r="N2429" i="7"/>
  <c r="N2430" i="7"/>
  <c r="N2431" i="7"/>
  <c r="N2432" i="7"/>
  <c r="N2433" i="7"/>
  <c r="N2434" i="7"/>
  <c r="N2435" i="7"/>
  <c r="N2436" i="7"/>
  <c r="N2437" i="7"/>
  <c r="N2438" i="7"/>
  <c r="N2439" i="7"/>
  <c r="N2440" i="7"/>
  <c r="N2441" i="7"/>
  <c r="N2442" i="7"/>
  <c r="N2443" i="7"/>
  <c r="N2444" i="7"/>
  <c r="N2445" i="7"/>
  <c r="N2446" i="7"/>
  <c r="N2447" i="7"/>
  <c r="N2448" i="7"/>
  <c r="N2449" i="7"/>
  <c r="N2450" i="7"/>
  <c r="N2451" i="7"/>
  <c r="N2452" i="7"/>
  <c r="N2453" i="7"/>
  <c r="N2454" i="7"/>
  <c r="N2455" i="7"/>
  <c r="N2456" i="7"/>
  <c r="N2457" i="7"/>
  <c r="N2458" i="7"/>
  <c r="N2459" i="7"/>
  <c r="N2460" i="7"/>
  <c r="N2461" i="7"/>
  <c r="N2462" i="7"/>
  <c r="N2463" i="7"/>
  <c r="N2464" i="7"/>
  <c r="N2465" i="7"/>
  <c r="N2466" i="7"/>
  <c r="N2467" i="7"/>
  <c r="N2468" i="7"/>
  <c r="N2469" i="7"/>
  <c r="N2470" i="7"/>
  <c r="N2471" i="7"/>
  <c r="N2472" i="7"/>
  <c r="N2473" i="7"/>
  <c r="N2474" i="7"/>
  <c r="N2475" i="7"/>
  <c r="N2476" i="7"/>
  <c r="N2477" i="7"/>
  <c r="N2478" i="7"/>
  <c r="N2479" i="7"/>
  <c r="N2480" i="7"/>
  <c r="N2481" i="7"/>
  <c r="N2482" i="7"/>
  <c r="N2483" i="7"/>
  <c r="N2484" i="7"/>
  <c r="N2485" i="7"/>
  <c r="N2486" i="7"/>
  <c r="N2487" i="7"/>
  <c r="N2488" i="7"/>
  <c r="N2489" i="7"/>
  <c r="N2490" i="7"/>
  <c r="N2491" i="7"/>
  <c r="N2492" i="7"/>
  <c r="N2493" i="7"/>
  <c r="N2494" i="7"/>
  <c r="N2495" i="7"/>
  <c r="N2496" i="7"/>
  <c r="N2497" i="7"/>
  <c r="N2498" i="7"/>
  <c r="N2499" i="7"/>
  <c r="N2500" i="7"/>
  <c r="N2501" i="7"/>
  <c r="N2502" i="7"/>
  <c r="N2503" i="7"/>
  <c r="N2504" i="7"/>
  <c r="N2505" i="7"/>
  <c r="N2506" i="7"/>
  <c r="N2507" i="7"/>
  <c r="N2508" i="7"/>
  <c r="N2509" i="7"/>
  <c r="N2510" i="7"/>
  <c r="N2511" i="7"/>
  <c r="N2512" i="7"/>
  <c r="N2513" i="7"/>
  <c r="N2514" i="7"/>
  <c r="N2515" i="7"/>
  <c r="N2516" i="7"/>
  <c r="N2517" i="7"/>
  <c r="N2518" i="7"/>
  <c r="N2519" i="7"/>
  <c r="N2520" i="7"/>
  <c r="N2521" i="7"/>
  <c r="N2522" i="7"/>
  <c r="N2523" i="7"/>
  <c r="N2524" i="7"/>
  <c r="N2525" i="7"/>
  <c r="N2526" i="7"/>
  <c r="N2527" i="7"/>
  <c r="N2528" i="7"/>
  <c r="N2529" i="7"/>
  <c r="N2530" i="7"/>
  <c r="N2531" i="7"/>
  <c r="N2532" i="7"/>
  <c r="N2533" i="7"/>
  <c r="N2534" i="7"/>
  <c r="N2535" i="7"/>
  <c r="N2536" i="7"/>
  <c r="N2537" i="7"/>
  <c r="N2538" i="7"/>
  <c r="N2539" i="7"/>
  <c r="N2540" i="7"/>
  <c r="N2541" i="7"/>
  <c r="N2542" i="7"/>
  <c r="N2543" i="7"/>
  <c r="N2544" i="7"/>
  <c r="N2545" i="7"/>
  <c r="N2546" i="7"/>
  <c r="N2547" i="7"/>
  <c r="N2548" i="7"/>
  <c r="N2549" i="7"/>
  <c r="N2550" i="7"/>
  <c r="N2551" i="7"/>
  <c r="N2552" i="7"/>
  <c r="N2553" i="7"/>
  <c r="N2554" i="7"/>
  <c r="N2555" i="7"/>
  <c r="N2556" i="7"/>
  <c r="N2557" i="7"/>
  <c r="N2558" i="7"/>
  <c r="N2559" i="7"/>
  <c r="N2560" i="7"/>
  <c r="N2561" i="7"/>
  <c r="N2562" i="7"/>
  <c r="N2563" i="7"/>
  <c r="N2564" i="7"/>
  <c r="N2565" i="7"/>
  <c r="N2566" i="7"/>
  <c r="N2567" i="7"/>
  <c r="N2568" i="7"/>
  <c r="N2569" i="7"/>
  <c r="N2570" i="7"/>
  <c r="N2571" i="7"/>
  <c r="N2572" i="7"/>
  <c r="N2573" i="7"/>
  <c r="N2574" i="7"/>
  <c r="N2575" i="7"/>
  <c r="N2576" i="7"/>
  <c r="N2577" i="7"/>
  <c r="N2578" i="7"/>
  <c r="N2579" i="7"/>
  <c r="N2580" i="7"/>
  <c r="N2581" i="7"/>
  <c r="N2582" i="7"/>
  <c r="N2583" i="7"/>
  <c r="N2584" i="7"/>
  <c r="N2585" i="7"/>
  <c r="N2586" i="7"/>
  <c r="N2587" i="7"/>
  <c r="N2588" i="7"/>
  <c r="N2589" i="7"/>
  <c r="N2590" i="7"/>
  <c r="N2591" i="7"/>
  <c r="N2592" i="7"/>
  <c r="N2593" i="7"/>
  <c r="N2594" i="7"/>
  <c r="N2595" i="7"/>
  <c r="N2596" i="7"/>
  <c r="N2597" i="7"/>
  <c r="N2598" i="7"/>
  <c r="N2599" i="7"/>
  <c r="N2600" i="7"/>
  <c r="N2601" i="7"/>
  <c r="N2602" i="7"/>
  <c r="N2603" i="7"/>
  <c r="N2604" i="7"/>
  <c r="N2605" i="7"/>
  <c r="N2606" i="7"/>
  <c r="N2607" i="7"/>
  <c r="N2608" i="7"/>
  <c r="N2609" i="7"/>
  <c r="N2610" i="7"/>
  <c r="N2611" i="7"/>
  <c r="N2612" i="7"/>
  <c r="N2613" i="7"/>
  <c r="N2614" i="7"/>
  <c r="N2615" i="7"/>
  <c r="N2616" i="7"/>
  <c r="N2617" i="7"/>
  <c r="N2618" i="7"/>
  <c r="N2619" i="7"/>
  <c r="N2620" i="7"/>
  <c r="N2621" i="7"/>
  <c r="N2622" i="7"/>
  <c r="N2623" i="7"/>
  <c r="N2624" i="7"/>
  <c r="N2625" i="7"/>
  <c r="N2626" i="7"/>
  <c r="N2627" i="7"/>
  <c r="N2628" i="7"/>
  <c r="N2629" i="7"/>
  <c r="N2630" i="7"/>
  <c r="N2631" i="7"/>
  <c r="N2632" i="7"/>
  <c r="N2633" i="7"/>
  <c r="N2634" i="7"/>
  <c r="N2635" i="7"/>
  <c r="N2636" i="7"/>
  <c r="N2637" i="7"/>
  <c r="N2638" i="7"/>
  <c r="N2639" i="7"/>
  <c r="N2640" i="7"/>
  <c r="N2641" i="7"/>
  <c r="N2642" i="7"/>
  <c r="N2643" i="7"/>
  <c r="N2644" i="7"/>
  <c r="N2645" i="7"/>
  <c r="N2646" i="7"/>
  <c r="N2647" i="7"/>
  <c r="N2648" i="7"/>
  <c r="N2649" i="7"/>
  <c r="N2650" i="7"/>
  <c r="N2651" i="7"/>
  <c r="N2652" i="7"/>
  <c r="N2653" i="7"/>
  <c r="N2654" i="7"/>
  <c r="N2655" i="7"/>
  <c r="N2656" i="7"/>
  <c r="N2657" i="7"/>
  <c r="N2658" i="7"/>
  <c r="N2659" i="7"/>
  <c r="N2660" i="7"/>
  <c r="N2661" i="7"/>
  <c r="N2662" i="7"/>
  <c r="N2663" i="7"/>
  <c r="N2664" i="7"/>
  <c r="N2665" i="7"/>
  <c r="N2666" i="7"/>
  <c r="N2667" i="7"/>
  <c r="N2668" i="7"/>
  <c r="N2669" i="7"/>
  <c r="N2670" i="7"/>
  <c r="N2671" i="7"/>
  <c r="N2672" i="7"/>
  <c r="N2673" i="7"/>
  <c r="N2674" i="7"/>
  <c r="N2675" i="7"/>
  <c r="N2676" i="7"/>
  <c r="N2677" i="7"/>
  <c r="N2678" i="7"/>
  <c r="N2679" i="7"/>
  <c r="N2680" i="7"/>
  <c r="N2681" i="7"/>
  <c r="N2682" i="7"/>
  <c r="N2683" i="7"/>
  <c r="N2684" i="7"/>
  <c r="N2685" i="7"/>
  <c r="N2686" i="7"/>
  <c r="N2687" i="7"/>
  <c r="N2688" i="7"/>
  <c r="N2689" i="7"/>
  <c r="N2690" i="7"/>
  <c r="N2691" i="7"/>
  <c r="N2692" i="7"/>
  <c r="N2693" i="7"/>
  <c r="N2694" i="7"/>
  <c r="N2695" i="7"/>
  <c r="N2696" i="7"/>
  <c r="N2697" i="7"/>
  <c r="N2698" i="7"/>
  <c r="N2699" i="7"/>
  <c r="N2700" i="7"/>
  <c r="N2701" i="7"/>
  <c r="N2702" i="7"/>
  <c r="N2703" i="7"/>
  <c r="N2704" i="7"/>
  <c r="N2705" i="7"/>
  <c r="N2706" i="7"/>
  <c r="N2707" i="7"/>
  <c r="N2708" i="7"/>
  <c r="N2709" i="7"/>
  <c r="N2710" i="7"/>
  <c r="N2711" i="7"/>
  <c r="N2712" i="7"/>
  <c r="N2713" i="7"/>
  <c r="N2714" i="7"/>
  <c r="N2715" i="7"/>
  <c r="N2716" i="7"/>
  <c r="N2717" i="7"/>
  <c r="N2718" i="7"/>
  <c r="N2719" i="7"/>
  <c r="N2720" i="7"/>
  <c r="N2721" i="7"/>
  <c r="N2722" i="7"/>
  <c r="N2723" i="7"/>
  <c r="N2724" i="7"/>
  <c r="N2725" i="7"/>
  <c r="N2726" i="7"/>
  <c r="N2727" i="7"/>
  <c r="N2728" i="7"/>
  <c r="N2729" i="7"/>
  <c r="N2730" i="7"/>
  <c r="N2731" i="7"/>
  <c r="N2732" i="7"/>
  <c r="N2733" i="7"/>
  <c r="N2734" i="7"/>
  <c r="N2735" i="7"/>
  <c r="N2736" i="7"/>
  <c r="N2737" i="7"/>
  <c r="N2738" i="7"/>
  <c r="N2739" i="7"/>
  <c r="N2740" i="7"/>
  <c r="N2741" i="7"/>
  <c r="N2742" i="7"/>
  <c r="N2743" i="7"/>
  <c r="N2744" i="7"/>
  <c r="N2745" i="7"/>
  <c r="N2746" i="7"/>
  <c r="N2747" i="7"/>
  <c r="N2748" i="7"/>
  <c r="N2749" i="7"/>
  <c r="N2750" i="7"/>
  <c r="N2751" i="7"/>
  <c r="N2752" i="7"/>
  <c r="N2753" i="7"/>
  <c r="N2754" i="7"/>
  <c r="N2755" i="7"/>
  <c r="N2756" i="7"/>
  <c r="N2757" i="7"/>
  <c r="N2758" i="7"/>
  <c r="N2759" i="7"/>
  <c r="N2760" i="7"/>
  <c r="N2761" i="7"/>
  <c r="N2762" i="7"/>
  <c r="N2763" i="7"/>
  <c r="N2764" i="7"/>
  <c r="N2765" i="7"/>
  <c r="N2766" i="7"/>
  <c r="N2767" i="7"/>
  <c r="N2768" i="7"/>
  <c r="N2769" i="7"/>
  <c r="N2770" i="7"/>
  <c r="N2771" i="7"/>
  <c r="N2772" i="7"/>
  <c r="N2773" i="7"/>
  <c r="N2774" i="7"/>
  <c r="N2775" i="7"/>
  <c r="N2776" i="7"/>
  <c r="N2777" i="7"/>
  <c r="N2778" i="7"/>
  <c r="N2779" i="7"/>
  <c r="N2780" i="7"/>
  <c r="N2781" i="7"/>
  <c r="N2782" i="7"/>
  <c r="N2783" i="7"/>
  <c r="N2784" i="7"/>
  <c r="N2785" i="7"/>
  <c r="N2786" i="7"/>
  <c r="N2787" i="7"/>
  <c r="N2788" i="7"/>
  <c r="N2789" i="7"/>
  <c r="N2790" i="7"/>
  <c r="N2791" i="7"/>
  <c r="N2792" i="7"/>
  <c r="N2793" i="7"/>
  <c r="N2794" i="7"/>
  <c r="N2795" i="7"/>
  <c r="N2796" i="7"/>
  <c r="N2797" i="7"/>
  <c r="N2798" i="7"/>
  <c r="N2799" i="7"/>
  <c r="N2800" i="7"/>
  <c r="N2801" i="7"/>
  <c r="N2802" i="7"/>
  <c r="N2803" i="7"/>
  <c r="N2804" i="7"/>
  <c r="N2805" i="7"/>
  <c r="N2806" i="7"/>
  <c r="N2807" i="7"/>
  <c r="N2808" i="7"/>
  <c r="N2809" i="7"/>
  <c r="N2810" i="7"/>
  <c r="N2811" i="7"/>
  <c r="N2812" i="7"/>
  <c r="N2813" i="7"/>
  <c r="N2814" i="7"/>
  <c r="N2815" i="7"/>
  <c r="N2816" i="7"/>
  <c r="N2817" i="7"/>
  <c r="N2818" i="7"/>
  <c r="N2819" i="7"/>
  <c r="N2820" i="7"/>
  <c r="N2821" i="7"/>
  <c r="N2822" i="7"/>
  <c r="N2823" i="7"/>
  <c r="N2824" i="7"/>
  <c r="N2825" i="7"/>
  <c r="N2826" i="7"/>
  <c r="N2827" i="7"/>
  <c r="N2828" i="7"/>
  <c r="N2829" i="7"/>
  <c r="N2830" i="7"/>
  <c r="N2831" i="7"/>
  <c r="N2832" i="7"/>
  <c r="N2833" i="7"/>
  <c r="N2834" i="7"/>
  <c r="N2835" i="7"/>
  <c r="N2836" i="7"/>
  <c r="N2837" i="7"/>
  <c r="N2838" i="7"/>
  <c r="N2839" i="7"/>
  <c r="N2840" i="7"/>
  <c r="N2841" i="7"/>
  <c r="N2842" i="7"/>
  <c r="N2843" i="7"/>
  <c r="N2844" i="7"/>
  <c r="N2845" i="7"/>
  <c r="N2846" i="7"/>
  <c r="N2847" i="7"/>
  <c r="N2848" i="7"/>
  <c r="N2849" i="7"/>
  <c r="N2850" i="7"/>
  <c r="N2851" i="7"/>
  <c r="N2852" i="7"/>
  <c r="N2853" i="7"/>
  <c r="N2854" i="7"/>
  <c r="N2855" i="7"/>
  <c r="N2856" i="7"/>
  <c r="N2857" i="7"/>
  <c r="N2858" i="7"/>
  <c r="N2859" i="7"/>
  <c r="N2860" i="7"/>
  <c r="N2861" i="7"/>
  <c r="N2862" i="7"/>
  <c r="N2863" i="7"/>
  <c r="N2864" i="7"/>
  <c r="N2865" i="7"/>
  <c r="N2866" i="7"/>
  <c r="N2867" i="7"/>
  <c r="N2868" i="7"/>
  <c r="N2869" i="7"/>
  <c r="N2870" i="7"/>
  <c r="N2871" i="7"/>
  <c r="N2872" i="7"/>
  <c r="N2873" i="7"/>
  <c r="N2874" i="7"/>
  <c r="N2875" i="7"/>
  <c r="N2876" i="7"/>
  <c r="N2877" i="7"/>
  <c r="N2878" i="7"/>
  <c r="N2879" i="7"/>
  <c r="N2880" i="7"/>
  <c r="N2881" i="7"/>
  <c r="N2882" i="7"/>
  <c r="N2883" i="7"/>
  <c r="N2884" i="7"/>
  <c r="N2885" i="7"/>
  <c r="N2886" i="7"/>
  <c r="N2887" i="7"/>
  <c r="N2888" i="7"/>
  <c r="N2889" i="7"/>
  <c r="N2890" i="7"/>
  <c r="N2891" i="7"/>
  <c r="N2892" i="7"/>
  <c r="N2893" i="7"/>
  <c r="N2894" i="7"/>
  <c r="N2895" i="7"/>
  <c r="N2896" i="7"/>
  <c r="N2897" i="7"/>
  <c r="N2898" i="7"/>
  <c r="N2899" i="7"/>
  <c r="N2900" i="7"/>
  <c r="N2901" i="7"/>
  <c r="N2902" i="7"/>
  <c r="N2903" i="7"/>
  <c r="N2904" i="7"/>
  <c r="N2905" i="7"/>
  <c r="N2906" i="7"/>
  <c r="N2907" i="7"/>
  <c r="N2908" i="7"/>
  <c r="N2909" i="7"/>
  <c r="N2910" i="7"/>
  <c r="N2911" i="7"/>
  <c r="N2912" i="7"/>
  <c r="N2913" i="7"/>
  <c r="N2914" i="7"/>
  <c r="N2915" i="7"/>
  <c r="N2916" i="7"/>
  <c r="N2917" i="7"/>
  <c r="N2918" i="7"/>
  <c r="N2919" i="7"/>
  <c r="N2920" i="7"/>
  <c r="N2921" i="7"/>
  <c r="N2922" i="7"/>
  <c r="N2923" i="7"/>
  <c r="N2924" i="7"/>
  <c r="N2925" i="7"/>
  <c r="N2926" i="7"/>
  <c r="N2927" i="7"/>
  <c r="N2928" i="7"/>
  <c r="N2929" i="7"/>
  <c r="N2930" i="7"/>
  <c r="N2931" i="7"/>
  <c r="N2932" i="7"/>
  <c r="N2933" i="7"/>
  <c r="N2934" i="7"/>
  <c r="N2935" i="7"/>
  <c r="N2936" i="7"/>
  <c r="N2937" i="7"/>
  <c r="N2938" i="7"/>
  <c r="N2939" i="7"/>
  <c r="N2940" i="7"/>
  <c r="N2941" i="7"/>
  <c r="N2942" i="7"/>
  <c r="N2943" i="7"/>
  <c r="N2944" i="7"/>
  <c r="N2945" i="7"/>
  <c r="N2946" i="7"/>
  <c r="N2947" i="7"/>
  <c r="N2948" i="7"/>
  <c r="N2949" i="7"/>
  <c r="N2950" i="7"/>
  <c r="N2951" i="7"/>
  <c r="N2952" i="7"/>
  <c r="N2953" i="7"/>
  <c r="N2954" i="7"/>
  <c r="N2955" i="7"/>
  <c r="N2956" i="7"/>
  <c r="N2957" i="7"/>
  <c r="N2958" i="7"/>
  <c r="N2959" i="7"/>
  <c r="N2960" i="7"/>
  <c r="N2961" i="7"/>
  <c r="N2962" i="7"/>
  <c r="N2963" i="7"/>
  <c r="N2964" i="7"/>
  <c r="N2965" i="7"/>
  <c r="N2966" i="7"/>
  <c r="N2967" i="7"/>
  <c r="N2968" i="7"/>
  <c r="N2969" i="7"/>
  <c r="N2970" i="7"/>
  <c r="N2971" i="7"/>
  <c r="N2972" i="7"/>
  <c r="N2973" i="7"/>
  <c r="N2974" i="7"/>
  <c r="N2975" i="7"/>
  <c r="N2976" i="7"/>
  <c r="N2977" i="7"/>
  <c r="N2978" i="7"/>
  <c r="N2979" i="7"/>
  <c r="N2980" i="7"/>
  <c r="N2981" i="7"/>
  <c r="N2982" i="7"/>
  <c r="N2983" i="7"/>
  <c r="N2984" i="7"/>
  <c r="N2985" i="7"/>
  <c r="N2986" i="7"/>
  <c r="N2987" i="7"/>
  <c r="N2988" i="7"/>
  <c r="N2989" i="7"/>
  <c r="N2990" i="7"/>
  <c r="N2991" i="7"/>
  <c r="N2992" i="7"/>
  <c r="N2993" i="7"/>
  <c r="N2994" i="7"/>
  <c r="N2995" i="7"/>
  <c r="N2996" i="7"/>
  <c r="N2997" i="7"/>
  <c r="N2998" i="7"/>
  <c r="N2999" i="7"/>
  <c r="N3000" i="7"/>
  <c r="N3001" i="7"/>
  <c r="N3002" i="7"/>
  <c r="N3003" i="7"/>
  <c r="N3004" i="7"/>
  <c r="N3005" i="7"/>
  <c r="N3006" i="7"/>
  <c r="N3007" i="7"/>
  <c r="N3008" i="7"/>
  <c r="N3009" i="7"/>
  <c r="N3010" i="7"/>
  <c r="N3011" i="7"/>
  <c r="N3012" i="7"/>
  <c r="N3013" i="7"/>
  <c r="N3014" i="7"/>
  <c r="N3015" i="7"/>
  <c r="N3016" i="7"/>
  <c r="N3017" i="7"/>
  <c r="N3018" i="7"/>
  <c r="N3019" i="7"/>
  <c r="N3020" i="7"/>
  <c r="N3021" i="7"/>
  <c r="N3022" i="7"/>
  <c r="N3023" i="7"/>
  <c r="N3024" i="7"/>
  <c r="N3025" i="7"/>
  <c r="N3026" i="7"/>
  <c r="N3027" i="7"/>
  <c r="N3028" i="7"/>
  <c r="N3029" i="7"/>
  <c r="N3030" i="7"/>
  <c r="N3031" i="7"/>
  <c r="N3032" i="7"/>
  <c r="N3033" i="7"/>
  <c r="N3034" i="7"/>
  <c r="N3035" i="7"/>
  <c r="N3036" i="7"/>
  <c r="N3037" i="7"/>
  <c r="N3038" i="7"/>
  <c r="N3039" i="7"/>
  <c r="N3040" i="7"/>
  <c r="N3041" i="7"/>
  <c r="N3042" i="7"/>
  <c r="N3043" i="7"/>
  <c r="N3044" i="7"/>
  <c r="N3045" i="7"/>
  <c r="N3046" i="7"/>
  <c r="N3047" i="7"/>
  <c r="N3048" i="7"/>
  <c r="N3049" i="7"/>
  <c r="N3050" i="7"/>
  <c r="N3051" i="7"/>
  <c r="N3052" i="7"/>
  <c r="N3053" i="7"/>
  <c r="N3054" i="7"/>
  <c r="N3055" i="7"/>
  <c r="N3056" i="7"/>
  <c r="N3057" i="7"/>
  <c r="N3058" i="7"/>
  <c r="N3059" i="7"/>
  <c r="N3060" i="7"/>
  <c r="N3061" i="7"/>
  <c r="N3062" i="7"/>
  <c r="N3063" i="7"/>
  <c r="N3064" i="7"/>
  <c r="N3065" i="7"/>
  <c r="N3066" i="7"/>
  <c r="N3067" i="7"/>
  <c r="N3068" i="7"/>
  <c r="N3069" i="7"/>
  <c r="N3070" i="7"/>
  <c r="N3071" i="7"/>
  <c r="N3072" i="7"/>
  <c r="N3073" i="7"/>
  <c r="N3074" i="7"/>
  <c r="N3075" i="7"/>
  <c r="N3076" i="7"/>
  <c r="N3077" i="7"/>
  <c r="N3078" i="7"/>
  <c r="N3079" i="7"/>
  <c r="N3080" i="7"/>
  <c r="N3081" i="7"/>
  <c r="N3082" i="7"/>
  <c r="N3083" i="7"/>
  <c r="N3084" i="7"/>
  <c r="N3085" i="7"/>
  <c r="N3086" i="7"/>
  <c r="N3087" i="7"/>
  <c r="N3088" i="7"/>
  <c r="N3089" i="7"/>
  <c r="N3090" i="7"/>
  <c r="N3091" i="7"/>
  <c r="N3092" i="7"/>
  <c r="N3093" i="7"/>
  <c r="N3094" i="7"/>
  <c r="N3095" i="7"/>
  <c r="N3096" i="7"/>
  <c r="N3097" i="7"/>
  <c r="N3098" i="7"/>
  <c r="N3099" i="7"/>
  <c r="N3100" i="7"/>
  <c r="N3101" i="7"/>
  <c r="N3102" i="7"/>
  <c r="N3103" i="7"/>
  <c r="N3104" i="7"/>
  <c r="N3105" i="7"/>
  <c r="N3106" i="7"/>
  <c r="N3107" i="7"/>
  <c r="N3108" i="7"/>
  <c r="N3109" i="7"/>
  <c r="N3110" i="7"/>
  <c r="N3111" i="7"/>
  <c r="N3112" i="7"/>
  <c r="N3113" i="7"/>
  <c r="N3114" i="7"/>
  <c r="N3115" i="7"/>
  <c r="N3116" i="7"/>
  <c r="N3117" i="7"/>
  <c r="N3118" i="7"/>
  <c r="N3119" i="7"/>
  <c r="N3120" i="7"/>
  <c r="N3121" i="7"/>
  <c r="N3122" i="7"/>
  <c r="N3123" i="7"/>
  <c r="N3124" i="7"/>
  <c r="N3125" i="7"/>
  <c r="N3126" i="7"/>
  <c r="N3127" i="7"/>
  <c r="N3128" i="7"/>
  <c r="N3129" i="7"/>
  <c r="N3130" i="7"/>
  <c r="N3131" i="7"/>
  <c r="N3132" i="7"/>
  <c r="N3133" i="7"/>
  <c r="N3134" i="7"/>
  <c r="N3135" i="7"/>
  <c r="N3136" i="7"/>
  <c r="N3137" i="7"/>
  <c r="N3138" i="7"/>
  <c r="N3139" i="7"/>
  <c r="N3140" i="7"/>
  <c r="N3141" i="7"/>
  <c r="N3142" i="7"/>
  <c r="N3143" i="7"/>
  <c r="N3144" i="7"/>
  <c r="N3145" i="7"/>
  <c r="N3146" i="7"/>
  <c r="N3147" i="7"/>
  <c r="N3148" i="7"/>
  <c r="N3149" i="7"/>
  <c r="N3150" i="7"/>
  <c r="N3151" i="7"/>
  <c r="N3152" i="7"/>
  <c r="N3153" i="7"/>
  <c r="N3154" i="7"/>
  <c r="N3155" i="7"/>
  <c r="N3156" i="7"/>
  <c r="N3157" i="7"/>
  <c r="N3158" i="7"/>
  <c r="N3159" i="7"/>
  <c r="N3160" i="7"/>
  <c r="N3161" i="7"/>
  <c r="N3162" i="7"/>
  <c r="N3163" i="7"/>
  <c r="N3164" i="7"/>
  <c r="N3165" i="7"/>
  <c r="N3166" i="7"/>
  <c r="N3167" i="7"/>
  <c r="N3168" i="7"/>
  <c r="N3169" i="7"/>
  <c r="N3170" i="7"/>
  <c r="N3171" i="7"/>
  <c r="N3172" i="7"/>
  <c r="N3173" i="7"/>
  <c r="N3174" i="7"/>
  <c r="N3175" i="7"/>
  <c r="N3176" i="7"/>
  <c r="N3177" i="7"/>
  <c r="N3178" i="7"/>
  <c r="N3179" i="7"/>
  <c r="N3180" i="7"/>
  <c r="N3181" i="7"/>
  <c r="N3182" i="7"/>
  <c r="N3183" i="7"/>
  <c r="N3184" i="7"/>
  <c r="N3185" i="7"/>
  <c r="N3186" i="7"/>
  <c r="N3187" i="7"/>
  <c r="N3188" i="7"/>
  <c r="N3189" i="7"/>
  <c r="N3190" i="7"/>
  <c r="N3191" i="7"/>
  <c r="N3192" i="7"/>
  <c r="N3193" i="7"/>
  <c r="N3194" i="7"/>
  <c r="N3195" i="7"/>
  <c r="N3196" i="7"/>
  <c r="N3197" i="7"/>
  <c r="N3198" i="7"/>
  <c r="N3199" i="7"/>
  <c r="N3200" i="7"/>
  <c r="N3201" i="7"/>
  <c r="N3202" i="7"/>
  <c r="N3203" i="7"/>
  <c r="N3204" i="7"/>
  <c r="N3205" i="7"/>
  <c r="N3206" i="7"/>
  <c r="N3207" i="7"/>
  <c r="N3208" i="7"/>
  <c r="N3209" i="7"/>
  <c r="N3210" i="7"/>
  <c r="N3211" i="7"/>
  <c r="N3212" i="7"/>
  <c r="N3213" i="7"/>
  <c r="N3214" i="7"/>
  <c r="N3215" i="7"/>
  <c r="N3216" i="7"/>
  <c r="N3217" i="7"/>
  <c r="N3218" i="7"/>
  <c r="N3219" i="7"/>
  <c r="N3220" i="7"/>
  <c r="N3221" i="7"/>
  <c r="N3222" i="7"/>
  <c r="N3223" i="7"/>
  <c r="N3224" i="7"/>
  <c r="N3225" i="7"/>
  <c r="N3226" i="7"/>
  <c r="N3227" i="7"/>
  <c r="N3228" i="7"/>
  <c r="N3229" i="7"/>
  <c r="N3230" i="7"/>
  <c r="N3231" i="7"/>
  <c r="N3232" i="7"/>
  <c r="N3233" i="7"/>
  <c r="N3234" i="7"/>
  <c r="N3235" i="7"/>
  <c r="N3236" i="7"/>
  <c r="N3237" i="7"/>
  <c r="N3238" i="7"/>
  <c r="N3239" i="7"/>
  <c r="N3240" i="7"/>
  <c r="N3241" i="7"/>
  <c r="N3242" i="7"/>
  <c r="N3243" i="7"/>
  <c r="N3244" i="7"/>
  <c r="N3245" i="7"/>
  <c r="N3246" i="7"/>
  <c r="N3247" i="7"/>
  <c r="N3248" i="7"/>
  <c r="N3249" i="7"/>
  <c r="N3250" i="7"/>
  <c r="N3251" i="7"/>
  <c r="N3252" i="7"/>
  <c r="N3253" i="7"/>
  <c r="N3254" i="7"/>
  <c r="N3255" i="7"/>
  <c r="N3256" i="7"/>
  <c r="N3257" i="7"/>
  <c r="N3258" i="7"/>
  <c r="N3259" i="7"/>
  <c r="N3260" i="7"/>
  <c r="N3261" i="7"/>
  <c r="N3262" i="7"/>
  <c r="N3263" i="7"/>
  <c r="N3264" i="7"/>
  <c r="N3265" i="7"/>
  <c r="N3266" i="7"/>
  <c r="N3267" i="7"/>
  <c r="N3268" i="7"/>
  <c r="N3269" i="7"/>
  <c r="N3270" i="7"/>
  <c r="N3271" i="7"/>
  <c r="N3272" i="7"/>
  <c r="N3273" i="7"/>
  <c r="N3274" i="7"/>
  <c r="N3275" i="7"/>
  <c r="N3276" i="7"/>
  <c r="N3277" i="7"/>
  <c r="N3278" i="7"/>
  <c r="N3279" i="7"/>
  <c r="N3280" i="7"/>
  <c r="N3281" i="7"/>
  <c r="N3282" i="7"/>
  <c r="N3283" i="7"/>
  <c r="N3284" i="7"/>
  <c r="N3285" i="7"/>
  <c r="N3286" i="7"/>
  <c r="N3287" i="7"/>
  <c r="N3288" i="7"/>
  <c r="N3289" i="7"/>
  <c r="N3290" i="7"/>
  <c r="N3291" i="7"/>
  <c r="N3292" i="7"/>
  <c r="N3293" i="7"/>
  <c r="N3294" i="7"/>
  <c r="N3295" i="7"/>
  <c r="N3296" i="7"/>
  <c r="N3297" i="7"/>
  <c r="N3298" i="7"/>
  <c r="N3299" i="7"/>
  <c r="N3300" i="7"/>
  <c r="N3301" i="7"/>
  <c r="N3302" i="7"/>
  <c r="N3303" i="7"/>
  <c r="N3304" i="7"/>
  <c r="N3305" i="7"/>
  <c r="N3306" i="7"/>
  <c r="N3307" i="7"/>
  <c r="N3308" i="7"/>
  <c r="N3309" i="7"/>
  <c r="N3310" i="7"/>
  <c r="N3311" i="7"/>
  <c r="N3312" i="7"/>
  <c r="N3313" i="7"/>
  <c r="N3314" i="7"/>
  <c r="N3315" i="7"/>
  <c r="N3316" i="7"/>
  <c r="N3317" i="7"/>
  <c r="N3318" i="7"/>
  <c r="N3319" i="7"/>
  <c r="N3320" i="7"/>
  <c r="N3321" i="7"/>
  <c r="N3322" i="7"/>
  <c r="N3323" i="7"/>
  <c r="N3324" i="7"/>
  <c r="N3325" i="7"/>
  <c r="N3326" i="7"/>
  <c r="N3327" i="7"/>
  <c r="N3328" i="7"/>
  <c r="N3329" i="7"/>
  <c r="N3330" i="7"/>
  <c r="N3331" i="7"/>
  <c r="N3332" i="7"/>
  <c r="N3333" i="7"/>
  <c r="N3334" i="7"/>
  <c r="N3335" i="7"/>
  <c r="N3336" i="7"/>
  <c r="N3337" i="7"/>
  <c r="N3338" i="7"/>
  <c r="N3339" i="7"/>
  <c r="N3340" i="7"/>
  <c r="N3341" i="7"/>
  <c r="N3342" i="7"/>
  <c r="N3343" i="7"/>
  <c r="N3344" i="7"/>
  <c r="N3345" i="7"/>
  <c r="N3346" i="7"/>
  <c r="N3347" i="7"/>
  <c r="N3348" i="7"/>
  <c r="N3349" i="7"/>
  <c r="N3350" i="7"/>
  <c r="N3351" i="7"/>
  <c r="N3352" i="7"/>
  <c r="N3353" i="7"/>
  <c r="N3354" i="7"/>
  <c r="N3355" i="7"/>
  <c r="N3356" i="7"/>
  <c r="N3357" i="7"/>
  <c r="N3358" i="7"/>
  <c r="N3359" i="7"/>
  <c r="N3360" i="7"/>
  <c r="N3361" i="7"/>
  <c r="N3362" i="7"/>
  <c r="N3363" i="7"/>
  <c r="N3364" i="7"/>
  <c r="N3365" i="7"/>
  <c r="N3366" i="7"/>
  <c r="N3367" i="7"/>
  <c r="N3368" i="7"/>
  <c r="N3369" i="7"/>
  <c r="N3370" i="7"/>
  <c r="N3371" i="7"/>
  <c r="N3372" i="7"/>
  <c r="N3373" i="7"/>
  <c r="N3374" i="7"/>
  <c r="N3375" i="7"/>
  <c r="N3376" i="7"/>
  <c r="N3377" i="7"/>
  <c r="N3378" i="7"/>
  <c r="N3379" i="7"/>
  <c r="N3380" i="7"/>
  <c r="N3381" i="7"/>
  <c r="N3382" i="7"/>
  <c r="N3383" i="7"/>
  <c r="N3384" i="7"/>
  <c r="N3385" i="7"/>
  <c r="N3386" i="7"/>
  <c r="N3387" i="7"/>
  <c r="N3388" i="7"/>
  <c r="N3389" i="7"/>
  <c r="N3390" i="7"/>
  <c r="N3391" i="7"/>
  <c r="N3392" i="7"/>
  <c r="N3393" i="7"/>
  <c r="N3394" i="7"/>
  <c r="N3395" i="7"/>
  <c r="N3396" i="7"/>
  <c r="N3397" i="7"/>
  <c r="N3398" i="7"/>
  <c r="N3399" i="7"/>
  <c r="N3400" i="7"/>
  <c r="N3401" i="7"/>
  <c r="N3402" i="7"/>
  <c r="N3403" i="7"/>
  <c r="N3404" i="7"/>
  <c r="N3405" i="7"/>
  <c r="N3406" i="7"/>
  <c r="N3407" i="7"/>
  <c r="N3408" i="7"/>
  <c r="N3409" i="7"/>
  <c r="N3410" i="7"/>
  <c r="N3411" i="7"/>
  <c r="N3412" i="7"/>
  <c r="N3413" i="7"/>
  <c r="N3414" i="7"/>
  <c r="N3415" i="7"/>
  <c r="N3416" i="7"/>
  <c r="N3417" i="7"/>
  <c r="N3418" i="7"/>
  <c r="N3419" i="7"/>
  <c r="N3420" i="7"/>
  <c r="N3421" i="7"/>
  <c r="N3422" i="7"/>
  <c r="N3423" i="7"/>
  <c r="N3424" i="7"/>
  <c r="N3425" i="7"/>
  <c r="N3426" i="7"/>
  <c r="N3427" i="7"/>
  <c r="N3428" i="7"/>
  <c r="N3429" i="7"/>
  <c r="N3430" i="7"/>
  <c r="N3431" i="7"/>
  <c r="N3432" i="7"/>
  <c r="N3433" i="7"/>
  <c r="N3434" i="7"/>
  <c r="N3435" i="7"/>
  <c r="N3436" i="7"/>
  <c r="N3437" i="7"/>
  <c r="N3438" i="7"/>
  <c r="N3439" i="7"/>
  <c r="N3440" i="7"/>
  <c r="N3441" i="7"/>
  <c r="N3442" i="7"/>
  <c r="N3443" i="7"/>
  <c r="N3444" i="7"/>
  <c r="N3445" i="7"/>
  <c r="N3446" i="7"/>
  <c r="N3447" i="7"/>
  <c r="N3448" i="7"/>
  <c r="N3449" i="7"/>
  <c r="N3450" i="7"/>
  <c r="N3451" i="7"/>
  <c r="N3452" i="7"/>
  <c r="N3453" i="7"/>
  <c r="N3454" i="7"/>
  <c r="N3455" i="7"/>
  <c r="N3456" i="7"/>
  <c r="N3457" i="7"/>
  <c r="N3458" i="7"/>
  <c r="N3459" i="7"/>
  <c r="N3460" i="7"/>
  <c r="N3461" i="7"/>
  <c r="N3462" i="7"/>
  <c r="N3463" i="7"/>
  <c r="N3464" i="7"/>
  <c r="N3465" i="7"/>
  <c r="N3466" i="7"/>
  <c r="N3467" i="7"/>
  <c r="N3468" i="7"/>
  <c r="N3469" i="7"/>
  <c r="N3470" i="7"/>
  <c r="N3471" i="7"/>
  <c r="N3472" i="7"/>
  <c r="N3473" i="7"/>
  <c r="N3474" i="7"/>
  <c r="N3475" i="7"/>
  <c r="N3476" i="7"/>
  <c r="N3477" i="7"/>
  <c r="N3478" i="7"/>
  <c r="N3479" i="7"/>
  <c r="N3480" i="7"/>
  <c r="N3481" i="7"/>
  <c r="N3482" i="7"/>
  <c r="N3483" i="7"/>
  <c r="N3484" i="7"/>
  <c r="N3485" i="7"/>
  <c r="N3486" i="7"/>
  <c r="N3487" i="7"/>
  <c r="N3488" i="7"/>
  <c r="N3489" i="7"/>
  <c r="N3490" i="7"/>
  <c r="N3491" i="7"/>
  <c r="N3492" i="7"/>
  <c r="N3493" i="7"/>
  <c r="N3494" i="7"/>
  <c r="N3495" i="7"/>
  <c r="N3496" i="7"/>
  <c r="N3497" i="7"/>
  <c r="N3498" i="7"/>
  <c r="N3499" i="7"/>
  <c r="N3500" i="7"/>
  <c r="N3501" i="7"/>
  <c r="N3502" i="7"/>
  <c r="N3503" i="7"/>
  <c r="N3504" i="7"/>
  <c r="N3505" i="7"/>
  <c r="N3506" i="7"/>
  <c r="N3507" i="7"/>
  <c r="N3508" i="7"/>
  <c r="N3509" i="7"/>
  <c r="N3510" i="7"/>
  <c r="N3511" i="7"/>
  <c r="N3512" i="7"/>
  <c r="N3513" i="7"/>
  <c r="N3514" i="7"/>
  <c r="N3515" i="7"/>
  <c r="N3516" i="7"/>
  <c r="N3517" i="7"/>
  <c r="N3518" i="7"/>
  <c r="N3519" i="7"/>
  <c r="N3520" i="7"/>
  <c r="N3521" i="7"/>
  <c r="N3522" i="7"/>
  <c r="N3523" i="7"/>
  <c r="N3524" i="7"/>
  <c r="N3525" i="7"/>
  <c r="N3526" i="7"/>
  <c r="N3527" i="7"/>
  <c r="N3528" i="7"/>
  <c r="N3529" i="7"/>
  <c r="N3530" i="7"/>
  <c r="N3531" i="7"/>
  <c r="N3532" i="7"/>
  <c r="N3533" i="7"/>
  <c r="N3534" i="7"/>
  <c r="N3535" i="7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1530" i="7"/>
  <c r="L1531" i="7"/>
  <c r="L1532" i="7"/>
  <c r="L1533" i="7"/>
  <c r="L1534" i="7"/>
  <c r="L1535" i="7"/>
  <c r="L1536" i="7"/>
  <c r="L1537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59" i="7"/>
  <c r="L1560" i="7"/>
  <c r="L1561" i="7"/>
  <c r="L1562" i="7"/>
  <c r="L1563" i="7"/>
  <c r="L1564" i="7"/>
  <c r="L1565" i="7"/>
  <c r="L1566" i="7"/>
  <c r="L1567" i="7"/>
  <c r="L1568" i="7"/>
  <c r="L1569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591" i="7"/>
  <c r="L1592" i="7"/>
  <c r="L1593" i="7"/>
  <c r="L1594" i="7"/>
  <c r="L1595" i="7"/>
  <c r="L1596" i="7"/>
  <c r="L1597" i="7"/>
  <c r="L1598" i="7"/>
  <c r="L1599" i="7"/>
  <c r="L1600" i="7"/>
  <c r="L1601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2001" i="7"/>
  <c r="L2002" i="7"/>
  <c r="L2003" i="7"/>
  <c r="L2004" i="7"/>
  <c r="L2005" i="7"/>
  <c r="L2006" i="7"/>
  <c r="L2007" i="7"/>
  <c r="L2008" i="7"/>
  <c r="L2009" i="7"/>
  <c r="L2010" i="7"/>
  <c r="L2011" i="7"/>
  <c r="L2012" i="7"/>
  <c r="L2013" i="7"/>
  <c r="L2014" i="7"/>
  <c r="L2015" i="7"/>
  <c r="L2016" i="7"/>
  <c r="L2017" i="7"/>
  <c r="L2018" i="7"/>
  <c r="L2019" i="7"/>
  <c r="L2020" i="7"/>
  <c r="L2021" i="7"/>
  <c r="L2022" i="7"/>
  <c r="L2023" i="7"/>
  <c r="L2024" i="7"/>
  <c r="L2025" i="7"/>
  <c r="L2026" i="7"/>
  <c r="L2027" i="7"/>
  <c r="L2028" i="7"/>
  <c r="L2029" i="7"/>
  <c r="L2030" i="7"/>
  <c r="L2031" i="7"/>
  <c r="L2032" i="7"/>
  <c r="L2033" i="7"/>
  <c r="L2034" i="7"/>
  <c r="L2035" i="7"/>
  <c r="L2036" i="7"/>
  <c r="L2037" i="7"/>
  <c r="L2038" i="7"/>
  <c r="L2039" i="7"/>
  <c r="L2040" i="7"/>
  <c r="L2041" i="7"/>
  <c r="L2042" i="7"/>
  <c r="L2043" i="7"/>
  <c r="L2044" i="7"/>
  <c r="L2045" i="7"/>
  <c r="L2046" i="7"/>
  <c r="L2047" i="7"/>
  <c r="L2048" i="7"/>
  <c r="L2049" i="7"/>
  <c r="L2050" i="7"/>
  <c r="L2051" i="7"/>
  <c r="L2052" i="7"/>
  <c r="L2053" i="7"/>
  <c r="L2054" i="7"/>
  <c r="L2055" i="7"/>
  <c r="L2056" i="7"/>
  <c r="L2057" i="7"/>
  <c r="L2058" i="7"/>
  <c r="L2059" i="7"/>
  <c r="L2060" i="7"/>
  <c r="L2061" i="7"/>
  <c r="L2062" i="7"/>
  <c r="L2063" i="7"/>
  <c r="L2064" i="7"/>
  <c r="L2065" i="7"/>
  <c r="L2066" i="7"/>
  <c r="L2067" i="7"/>
  <c r="L2068" i="7"/>
  <c r="L2069" i="7"/>
  <c r="L2070" i="7"/>
  <c r="L2071" i="7"/>
  <c r="L2072" i="7"/>
  <c r="L2073" i="7"/>
  <c r="L2074" i="7"/>
  <c r="L2075" i="7"/>
  <c r="L2076" i="7"/>
  <c r="L2077" i="7"/>
  <c r="L2078" i="7"/>
  <c r="L2079" i="7"/>
  <c r="L2080" i="7"/>
  <c r="L2081" i="7"/>
  <c r="L2082" i="7"/>
  <c r="L2083" i="7"/>
  <c r="L2084" i="7"/>
  <c r="L2085" i="7"/>
  <c r="L2086" i="7"/>
  <c r="L2087" i="7"/>
  <c r="L2088" i="7"/>
  <c r="L2089" i="7"/>
  <c r="L2090" i="7"/>
  <c r="L2091" i="7"/>
  <c r="L2092" i="7"/>
  <c r="L2093" i="7"/>
  <c r="L2094" i="7"/>
  <c r="L2095" i="7"/>
  <c r="L2096" i="7"/>
  <c r="L2097" i="7"/>
  <c r="L2098" i="7"/>
  <c r="L2099" i="7"/>
  <c r="L2100" i="7"/>
  <c r="L2101" i="7"/>
  <c r="L2102" i="7"/>
  <c r="L2103" i="7"/>
  <c r="L2104" i="7"/>
  <c r="L2105" i="7"/>
  <c r="L2106" i="7"/>
  <c r="L2107" i="7"/>
  <c r="L2108" i="7"/>
  <c r="L2109" i="7"/>
  <c r="L2110" i="7"/>
  <c r="L2111" i="7"/>
  <c r="L2112" i="7"/>
  <c r="L2113" i="7"/>
  <c r="L2114" i="7"/>
  <c r="L2115" i="7"/>
  <c r="L2116" i="7"/>
  <c r="L2117" i="7"/>
  <c r="L2118" i="7"/>
  <c r="L2119" i="7"/>
  <c r="L2120" i="7"/>
  <c r="L2121" i="7"/>
  <c r="L2122" i="7"/>
  <c r="L2123" i="7"/>
  <c r="L2124" i="7"/>
  <c r="L2125" i="7"/>
  <c r="L2126" i="7"/>
  <c r="L2127" i="7"/>
  <c r="L2128" i="7"/>
  <c r="L2129" i="7"/>
  <c r="L2130" i="7"/>
  <c r="L2131" i="7"/>
  <c r="L2132" i="7"/>
  <c r="L2133" i="7"/>
  <c r="L2134" i="7"/>
  <c r="L2135" i="7"/>
  <c r="L2136" i="7"/>
  <c r="L2137" i="7"/>
  <c r="L2138" i="7"/>
  <c r="L2139" i="7"/>
  <c r="L2140" i="7"/>
  <c r="L2141" i="7"/>
  <c r="L2142" i="7"/>
  <c r="L2143" i="7"/>
  <c r="L2144" i="7"/>
  <c r="L2145" i="7"/>
  <c r="L2146" i="7"/>
  <c r="L2147" i="7"/>
  <c r="L2148" i="7"/>
  <c r="L2149" i="7"/>
  <c r="L2150" i="7"/>
  <c r="L2151" i="7"/>
  <c r="L2152" i="7"/>
  <c r="L2153" i="7"/>
  <c r="L2154" i="7"/>
  <c r="L2155" i="7"/>
  <c r="L2156" i="7"/>
  <c r="L2157" i="7"/>
  <c r="L2158" i="7"/>
  <c r="L2159" i="7"/>
  <c r="L2160" i="7"/>
  <c r="L2161" i="7"/>
  <c r="L2162" i="7"/>
  <c r="L2163" i="7"/>
  <c r="L2164" i="7"/>
  <c r="L2165" i="7"/>
  <c r="L2166" i="7"/>
  <c r="L2167" i="7"/>
  <c r="L2168" i="7"/>
  <c r="L2169" i="7"/>
  <c r="L2170" i="7"/>
  <c r="L2171" i="7"/>
  <c r="L2172" i="7"/>
  <c r="L2173" i="7"/>
  <c r="L2174" i="7"/>
  <c r="L2175" i="7"/>
  <c r="L2176" i="7"/>
  <c r="L2177" i="7"/>
  <c r="L2178" i="7"/>
  <c r="L2179" i="7"/>
  <c r="L2180" i="7"/>
  <c r="L2181" i="7"/>
  <c r="L2182" i="7"/>
  <c r="L2183" i="7"/>
  <c r="L2184" i="7"/>
  <c r="L2185" i="7"/>
  <c r="L2186" i="7"/>
  <c r="L2187" i="7"/>
  <c r="L2188" i="7"/>
  <c r="L2189" i="7"/>
  <c r="L2190" i="7"/>
  <c r="L2191" i="7"/>
  <c r="L2192" i="7"/>
  <c r="L2193" i="7"/>
  <c r="L2194" i="7"/>
  <c r="L2195" i="7"/>
  <c r="L2196" i="7"/>
  <c r="L2197" i="7"/>
  <c r="L2198" i="7"/>
  <c r="L2199" i="7"/>
  <c r="L2200" i="7"/>
  <c r="L2201" i="7"/>
  <c r="L2202" i="7"/>
  <c r="L2203" i="7"/>
  <c r="L2204" i="7"/>
  <c r="L2205" i="7"/>
  <c r="L2206" i="7"/>
  <c r="L2207" i="7"/>
  <c r="L2208" i="7"/>
  <c r="L2209" i="7"/>
  <c r="L2210" i="7"/>
  <c r="L2211" i="7"/>
  <c r="L2212" i="7"/>
  <c r="L2213" i="7"/>
  <c r="L2214" i="7"/>
  <c r="L2215" i="7"/>
  <c r="L2216" i="7"/>
  <c r="L2217" i="7"/>
  <c r="L2218" i="7"/>
  <c r="L2219" i="7"/>
  <c r="L2220" i="7"/>
  <c r="L2221" i="7"/>
  <c r="L2222" i="7"/>
  <c r="L2223" i="7"/>
  <c r="L2224" i="7"/>
  <c r="L2225" i="7"/>
  <c r="L2226" i="7"/>
  <c r="L2227" i="7"/>
  <c r="L2228" i="7"/>
  <c r="L2229" i="7"/>
  <c r="L2230" i="7"/>
  <c r="L2231" i="7"/>
  <c r="L2232" i="7"/>
  <c r="L2233" i="7"/>
  <c r="L2234" i="7"/>
  <c r="L2235" i="7"/>
  <c r="L2236" i="7"/>
  <c r="L2237" i="7"/>
  <c r="L2238" i="7"/>
  <c r="L2239" i="7"/>
  <c r="L2240" i="7"/>
  <c r="L2241" i="7"/>
  <c r="L2242" i="7"/>
  <c r="L2243" i="7"/>
  <c r="L2244" i="7"/>
  <c r="L2245" i="7"/>
  <c r="L2246" i="7"/>
  <c r="L2247" i="7"/>
  <c r="L2248" i="7"/>
  <c r="L2249" i="7"/>
  <c r="L2250" i="7"/>
  <c r="L2251" i="7"/>
  <c r="L2252" i="7"/>
  <c r="L2253" i="7"/>
  <c r="L2254" i="7"/>
  <c r="L2255" i="7"/>
  <c r="L2256" i="7"/>
  <c r="L2257" i="7"/>
  <c r="L2258" i="7"/>
  <c r="L2259" i="7"/>
  <c r="L2260" i="7"/>
  <c r="L2261" i="7"/>
  <c r="L2262" i="7"/>
  <c r="L2263" i="7"/>
  <c r="L2264" i="7"/>
  <c r="L2265" i="7"/>
  <c r="L2266" i="7"/>
  <c r="L2267" i="7"/>
  <c r="L2268" i="7"/>
  <c r="L2269" i="7"/>
  <c r="L2270" i="7"/>
  <c r="L2271" i="7"/>
  <c r="L2272" i="7"/>
  <c r="L2273" i="7"/>
  <c r="L2274" i="7"/>
  <c r="L2275" i="7"/>
  <c r="L2276" i="7"/>
  <c r="L2277" i="7"/>
  <c r="L2278" i="7"/>
  <c r="L2279" i="7"/>
  <c r="L2280" i="7"/>
  <c r="L2281" i="7"/>
  <c r="L2282" i="7"/>
  <c r="L2283" i="7"/>
  <c r="L2284" i="7"/>
  <c r="L2285" i="7"/>
  <c r="L2286" i="7"/>
  <c r="L2287" i="7"/>
  <c r="L2288" i="7"/>
  <c r="L2289" i="7"/>
  <c r="L2290" i="7"/>
  <c r="L2291" i="7"/>
  <c r="L2292" i="7"/>
  <c r="L2293" i="7"/>
  <c r="L2294" i="7"/>
  <c r="L2295" i="7"/>
  <c r="L2296" i="7"/>
  <c r="L2297" i="7"/>
  <c r="L2298" i="7"/>
  <c r="L2299" i="7"/>
  <c r="L2300" i="7"/>
  <c r="L2301" i="7"/>
  <c r="L2302" i="7"/>
  <c r="L2303" i="7"/>
  <c r="L2304" i="7"/>
  <c r="L2305" i="7"/>
  <c r="L2306" i="7"/>
  <c r="L2307" i="7"/>
  <c r="L2308" i="7"/>
  <c r="L2309" i="7"/>
  <c r="L2310" i="7"/>
  <c r="L2311" i="7"/>
  <c r="L2312" i="7"/>
  <c r="L2313" i="7"/>
  <c r="L2314" i="7"/>
  <c r="L2315" i="7"/>
  <c r="L2316" i="7"/>
  <c r="L2317" i="7"/>
  <c r="L2318" i="7"/>
  <c r="L2319" i="7"/>
  <c r="L2320" i="7"/>
  <c r="L2321" i="7"/>
  <c r="L2322" i="7"/>
  <c r="L2323" i="7"/>
  <c r="L2324" i="7"/>
  <c r="L2325" i="7"/>
  <c r="L2326" i="7"/>
  <c r="L2327" i="7"/>
  <c r="L2328" i="7"/>
  <c r="L2329" i="7"/>
  <c r="L2330" i="7"/>
  <c r="L2331" i="7"/>
  <c r="L2332" i="7"/>
  <c r="L2333" i="7"/>
  <c r="L2334" i="7"/>
  <c r="L2335" i="7"/>
  <c r="L2336" i="7"/>
  <c r="L2337" i="7"/>
  <c r="L2338" i="7"/>
  <c r="L2339" i="7"/>
  <c r="L2340" i="7"/>
  <c r="L2341" i="7"/>
  <c r="L2342" i="7"/>
  <c r="L2343" i="7"/>
  <c r="L2344" i="7"/>
  <c r="L2345" i="7"/>
  <c r="L2346" i="7"/>
  <c r="L2347" i="7"/>
  <c r="L2348" i="7"/>
  <c r="L2349" i="7"/>
  <c r="L2350" i="7"/>
  <c r="L2351" i="7"/>
  <c r="L2352" i="7"/>
  <c r="L2353" i="7"/>
  <c r="L2354" i="7"/>
  <c r="L2355" i="7"/>
  <c r="L2356" i="7"/>
  <c r="L2357" i="7"/>
  <c r="L2358" i="7"/>
  <c r="L2359" i="7"/>
  <c r="L2360" i="7"/>
  <c r="L2361" i="7"/>
  <c r="L2362" i="7"/>
  <c r="L2363" i="7"/>
  <c r="L2364" i="7"/>
  <c r="L2365" i="7"/>
  <c r="L2366" i="7"/>
  <c r="L2367" i="7"/>
  <c r="L2368" i="7"/>
  <c r="L2369" i="7"/>
  <c r="L2370" i="7"/>
  <c r="L2371" i="7"/>
  <c r="L2372" i="7"/>
  <c r="L2373" i="7"/>
  <c r="L2374" i="7"/>
  <c r="L2375" i="7"/>
  <c r="L2376" i="7"/>
  <c r="L2377" i="7"/>
  <c r="L2378" i="7"/>
  <c r="L2379" i="7"/>
  <c r="L2380" i="7"/>
  <c r="L2381" i="7"/>
  <c r="L2382" i="7"/>
  <c r="L2383" i="7"/>
  <c r="L2384" i="7"/>
  <c r="L2385" i="7"/>
  <c r="L2386" i="7"/>
  <c r="L2387" i="7"/>
  <c r="L2388" i="7"/>
  <c r="L2389" i="7"/>
  <c r="L2390" i="7"/>
  <c r="L2391" i="7"/>
  <c r="L2392" i="7"/>
  <c r="L2393" i="7"/>
  <c r="L2394" i="7"/>
  <c r="L2395" i="7"/>
  <c r="L2396" i="7"/>
  <c r="L2397" i="7"/>
  <c r="L2398" i="7"/>
  <c r="L2399" i="7"/>
  <c r="L2400" i="7"/>
  <c r="L2401" i="7"/>
  <c r="L2402" i="7"/>
  <c r="L2403" i="7"/>
  <c r="L2404" i="7"/>
  <c r="L2405" i="7"/>
  <c r="L2406" i="7"/>
  <c r="L2407" i="7"/>
  <c r="L2408" i="7"/>
  <c r="L2409" i="7"/>
  <c r="L2410" i="7"/>
  <c r="L2411" i="7"/>
  <c r="L2412" i="7"/>
  <c r="L2413" i="7"/>
  <c r="L2414" i="7"/>
  <c r="L2415" i="7"/>
  <c r="L2416" i="7"/>
  <c r="L2417" i="7"/>
  <c r="L2418" i="7"/>
  <c r="L2419" i="7"/>
  <c r="L2420" i="7"/>
  <c r="L2421" i="7"/>
  <c r="L2422" i="7"/>
  <c r="L2423" i="7"/>
  <c r="L2424" i="7"/>
  <c r="L2425" i="7"/>
  <c r="L2426" i="7"/>
  <c r="L2427" i="7"/>
  <c r="L2428" i="7"/>
  <c r="L2429" i="7"/>
  <c r="L2430" i="7"/>
  <c r="L2431" i="7"/>
  <c r="L2432" i="7"/>
  <c r="L2433" i="7"/>
  <c r="L2434" i="7"/>
  <c r="L2435" i="7"/>
  <c r="L2436" i="7"/>
  <c r="L2437" i="7"/>
  <c r="L2438" i="7"/>
  <c r="L2439" i="7"/>
  <c r="L2440" i="7"/>
  <c r="L2441" i="7"/>
  <c r="L2442" i="7"/>
  <c r="L2443" i="7"/>
  <c r="L2444" i="7"/>
  <c r="L2445" i="7"/>
  <c r="L2446" i="7"/>
  <c r="L2447" i="7"/>
  <c r="L2448" i="7"/>
  <c r="L2449" i="7"/>
  <c r="L2450" i="7"/>
  <c r="L2451" i="7"/>
  <c r="L2452" i="7"/>
  <c r="L2453" i="7"/>
  <c r="L2454" i="7"/>
  <c r="L2455" i="7"/>
  <c r="L2456" i="7"/>
  <c r="L2457" i="7"/>
  <c r="L2458" i="7"/>
  <c r="L2459" i="7"/>
  <c r="L2460" i="7"/>
  <c r="L2461" i="7"/>
  <c r="L2462" i="7"/>
  <c r="L2463" i="7"/>
  <c r="L2464" i="7"/>
  <c r="L2465" i="7"/>
  <c r="L2466" i="7"/>
  <c r="L2467" i="7"/>
  <c r="L2468" i="7"/>
  <c r="L2469" i="7"/>
  <c r="L2470" i="7"/>
  <c r="L2471" i="7"/>
  <c r="L2472" i="7"/>
  <c r="L2473" i="7"/>
  <c r="L2474" i="7"/>
  <c r="L2475" i="7"/>
  <c r="L2476" i="7"/>
  <c r="L2477" i="7"/>
  <c r="L2478" i="7"/>
  <c r="L2479" i="7"/>
  <c r="L2480" i="7"/>
  <c r="L2481" i="7"/>
  <c r="L2482" i="7"/>
  <c r="L2483" i="7"/>
  <c r="L2484" i="7"/>
  <c r="L2485" i="7"/>
  <c r="L2486" i="7"/>
  <c r="L2487" i="7"/>
  <c r="L2488" i="7"/>
  <c r="L2489" i="7"/>
  <c r="L2490" i="7"/>
  <c r="L2491" i="7"/>
  <c r="L2492" i="7"/>
  <c r="L2493" i="7"/>
  <c r="L2494" i="7"/>
  <c r="L2495" i="7"/>
  <c r="L2496" i="7"/>
  <c r="L2497" i="7"/>
  <c r="L2498" i="7"/>
  <c r="L2499" i="7"/>
  <c r="L2500" i="7"/>
  <c r="L2501" i="7"/>
  <c r="L2502" i="7"/>
  <c r="L2503" i="7"/>
  <c r="L2504" i="7"/>
  <c r="L2505" i="7"/>
  <c r="L2506" i="7"/>
  <c r="L2507" i="7"/>
  <c r="L2508" i="7"/>
  <c r="L2509" i="7"/>
  <c r="L2510" i="7"/>
  <c r="L2511" i="7"/>
  <c r="L2512" i="7"/>
  <c r="L2513" i="7"/>
  <c r="L2514" i="7"/>
  <c r="L2515" i="7"/>
  <c r="L2516" i="7"/>
  <c r="L2517" i="7"/>
  <c r="L2518" i="7"/>
  <c r="L2519" i="7"/>
  <c r="L2520" i="7"/>
  <c r="L2521" i="7"/>
  <c r="L2522" i="7"/>
  <c r="L2523" i="7"/>
  <c r="L2524" i="7"/>
  <c r="L2525" i="7"/>
  <c r="L2526" i="7"/>
  <c r="L2527" i="7"/>
  <c r="L2528" i="7"/>
  <c r="L2529" i="7"/>
  <c r="L2530" i="7"/>
  <c r="L2531" i="7"/>
  <c r="L2532" i="7"/>
  <c r="L2533" i="7"/>
  <c r="L2534" i="7"/>
  <c r="L2535" i="7"/>
  <c r="L2536" i="7"/>
  <c r="L2537" i="7"/>
  <c r="L2538" i="7"/>
  <c r="L2539" i="7"/>
  <c r="L2540" i="7"/>
  <c r="L2541" i="7"/>
  <c r="L2542" i="7"/>
  <c r="L2543" i="7"/>
  <c r="L2544" i="7"/>
  <c r="L2545" i="7"/>
  <c r="L2546" i="7"/>
  <c r="L2547" i="7"/>
  <c r="L2548" i="7"/>
  <c r="L2549" i="7"/>
  <c r="L2550" i="7"/>
  <c r="L2551" i="7"/>
  <c r="L2552" i="7"/>
  <c r="L2553" i="7"/>
  <c r="L2554" i="7"/>
  <c r="L2555" i="7"/>
  <c r="L2556" i="7"/>
  <c r="L2557" i="7"/>
  <c r="L2558" i="7"/>
  <c r="L2559" i="7"/>
  <c r="L2560" i="7"/>
  <c r="L2561" i="7"/>
  <c r="L2562" i="7"/>
  <c r="L2563" i="7"/>
  <c r="L2564" i="7"/>
  <c r="L2565" i="7"/>
  <c r="L2566" i="7"/>
  <c r="L2567" i="7"/>
  <c r="L2568" i="7"/>
  <c r="L2569" i="7"/>
  <c r="L2570" i="7"/>
  <c r="L2571" i="7"/>
  <c r="L2572" i="7"/>
  <c r="L2573" i="7"/>
  <c r="L2574" i="7"/>
  <c r="L2575" i="7"/>
  <c r="L2576" i="7"/>
  <c r="L2577" i="7"/>
  <c r="L2578" i="7"/>
  <c r="L2579" i="7"/>
  <c r="L2580" i="7"/>
  <c r="L2581" i="7"/>
  <c r="L2582" i="7"/>
  <c r="L2583" i="7"/>
  <c r="L2584" i="7"/>
  <c r="L2585" i="7"/>
  <c r="L2586" i="7"/>
  <c r="L2587" i="7"/>
  <c r="L2588" i="7"/>
  <c r="L2589" i="7"/>
  <c r="L2590" i="7"/>
  <c r="L2591" i="7"/>
  <c r="L2592" i="7"/>
  <c r="L2593" i="7"/>
  <c r="L2594" i="7"/>
  <c r="L2595" i="7"/>
  <c r="L2596" i="7"/>
  <c r="L2597" i="7"/>
  <c r="L2598" i="7"/>
  <c r="L2599" i="7"/>
  <c r="L2600" i="7"/>
  <c r="L2601" i="7"/>
  <c r="L2602" i="7"/>
  <c r="L2603" i="7"/>
  <c r="L2604" i="7"/>
  <c r="L2605" i="7"/>
  <c r="L2606" i="7"/>
  <c r="L2607" i="7"/>
  <c r="L2608" i="7"/>
  <c r="L2609" i="7"/>
  <c r="L2610" i="7"/>
  <c r="L2611" i="7"/>
  <c r="L2612" i="7"/>
  <c r="L2613" i="7"/>
  <c r="L2614" i="7"/>
  <c r="L2615" i="7"/>
  <c r="L2616" i="7"/>
  <c r="L2617" i="7"/>
  <c r="L2618" i="7"/>
  <c r="L2619" i="7"/>
  <c r="L2620" i="7"/>
  <c r="L2621" i="7"/>
  <c r="L2622" i="7"/>
  <c r="L2623" i="7"/>
  <c r="L2624" i="7"/>
  <c r="L2625" i="7"/>
  <c r="L2626" i="7"/>
  <c r="L2627" i="7"/>
  <c r="L2628" i="7"/>
  <c r="L2629" i="7"/>
  <c r="L2630" i="7"/>
  <c r="L2631" i="7"/>
  <c r="L2632" i="7"/>
  <c r="L2633" i="7"/>
  <c r="L2634" i="7"/>
  <c r="L2635" i="7"/>
  <c r="L2636" i="7"/>
  <c r="L2637" i="7"/>
  <c r="L2638" i="7"/>
  <c r="L2639" i="7"/>
  <c r="L2640" i="7"/>
  <c r="L2641" i="7"/>
  <c r="L2642" i="7"/>
  <c r="L2643" i="7"/>
  <c r="L2644" i="7"/>
  <c r="L2645" i="7"/>
  <c r="L2646" i="7"/>
  <c r="L2647" i="7"/>
  <c r="L2648" i="7"/>
  <c r="L2649" i="7"/>
  <c r="L2650" i="7"/>
  <c r="L2651" i="7"/>
  <c r="L2652" i="7"/>
  <c r="L2653" i="7"/>
  <c r="L2654" i="7"/>
  <c r="L2655" i="7"/>
  <c r="L2656" i="7"/>
  <c r="L2657" i="7"/>
  <c r="L2658" i="7"/>
  <c r="L2659" i="7"/>
  <c r="L2660" i="7"/>
  <c r="L2661" i="7"/>
  <c r="L2662" i="7"/>
  <c r="L2663" i="7"/>
  <c r="L2664" i="7"/>
  <c r="L2665" i="7"/>
  <c r="L2666" i="7"/>
  <c r="L2667" i="7"/>
  <c r="L2668" i="7"/>
  <c r="L2669" i="7"/>
  <c r="L2670" i="7"/>
  <c r="L2671" i="7"/>
  <c r="L2672" i="7"/>
  <c r="L2673" i="7"/>
  <c r="L2674" i="7"/>
  <c r="L2675" i="7"/>
  <c r="L2676" i="7"/>
  <c r="L2677" i="7"/>
  <c r="L2678" i="7"/>
  <c r="L2679" i="7"/>
  <c r="L2680" i="7"/>
  <c r="L2681" i="7"/>
  <c r="L2682" i="7"/>
  <c r="L2683" i="7"/>
  <c r="L2684" i="7"/>
  <c r="L2685" i="7"/>
  <c r="L2686" i="7"/>
  <c r="L2687" i="7"/>
  <c r="L2688" i="7"/>
  <c r="L2689" i="7"/>
  <c r="L2690" i="7"/>
  <c r="L2691" i="7"/>
  <c r="L2692" i="7"/>
  <c r="L2693" i="7"/>
  <c r="L2694" i="7"/>
  <c r="L2695" i="7"/>
  <c r="L2696" i="7"/>
  <c r="L2697" i="7"/>
  <c r="L2698" i="7"/>
  <c r="L2699" i="7"/>
  <c r="L2700" i="7"/>
  <c r="L2701" i="7"/>
  <c r="L2702" i="7"/>
  <c r="L2703" i="7"/>
  <c r="L2704" i="7"/>
  <c r="L2705" i="7"/>
  <c r="L2706" i="7"/>
  <c r="L2707" i="7"/>
  <c r="L2708" i="7"/>
  <c r="L2709" i="7"/>
  <c r="L2710" i="7"/>
  <c r="L2711" i="7"/>
  <c r="L2712" i="7"/>
  <c r="L2713" i="7"/>
  <c r="L2714" i="7"/>
  <c r="L2715" i="7"/>
  <c r="L2716" i="7"/>
  <c r="L2717" i="7"/>
  <c r="L2718" i="7"/>
  <c r="L2719" i="7"/>
  <c r="L2720" i="7"/>
  <c r="L2721" i="7"/>
  <c r="L2722" i="7"/>
  <c r="L2723" i="7"/>
  <c r="L2724" i="7"/>
  <c r="L2725" i="7"/>
  <c r="L2726" i="7"/>
  <c r="L2727" i="7"/>
  <c r="L2728" i="7"/>
  <c r="L2729" i="7"/>
  <c r="L2730" i="7"/>
  <c r="L2731" i="7"/>
  <c r="L2732" i="7"/>
  <c r="L2733" i="7"/>
  <c r="L2734" i="7"/>
  <c r="L2735" i="7"/>
  <c r="L2736" i="7"/>
  <c r="L2737" i="7"/>
  <c r="L2738" i="7"/>
  <c r="L2739" i="7"/>
  <c r="L2740" i="7"/>
  <c r="L2741" i="7"/>
  <c r="L2742" i="7"/>
  <c r="L2743" i="7"/>
  <c r="L2744" i="7"/>
  <c r="L2745" i="7"/>
  <c r="L2746" i="7"/>
  <c r="L2747" i="7"/>
  <c r="L2748" i="7"/>
  <c r="L2749" i="7"/>
  <c r="L2750" i="7"/>
  <c r="L2751" i="7"/>
  <c r="L2752" i="7"/>
  <c r="L2753" i="7"/>
  <c r="L2754" i="7"/>
  <c r="L2755" i="7"/>
  <c r="L2756" i="7"/>
  <c r="L2757" i="7"/>
  <c r="L2758" i="7"/>
  <c r="L2759" i="7"/>
  <c r="L2760" i="7"/>
  <c r="L2761" i="7"/>
  <c r="L2762" i="7"/>
  <c r="L2763" i="7"/>
  <c r="L2764" i="7"/>
  <c r="L2765" i="7"/>
  <c r="L2766" i="7"/>
  <c r="L2767" i="7"/>
  <c r="L2768" i="7"/>
  <c r="L2769" i="7"/>
  <c r="L2770" i="7"/>
  <c r="L2771" i="7"/>
  <c r="L2772" i="7"/>
  <c r="L2773" i="7"/>
  <c r="L2774" i="7"/>
  <c r="L2775" i="7"/>
  <c r="L2776" i="7"/>
  <c r="L2777" i="7"/>
  <c r="L2778" i="7"/>
  <c r="L2779" i="7"/>
  <c r="L2780" i="7"/>
  <c r="L2781" i="7"/>
  <c r="L2782" i="7"/>
  <c r="L2783" i="7"/>
  <c r="L2784" i="7"/>
  <c r="L2785" i="7"/>
  <c r="L2786" i="7"/>
  <c r="L2787" i="7"/>
  <c r="L2788" i="7"/>
  <c r="L2789" i="7"/>
  <c r="L2790" i="7"/>
  <c r="L2791" i="7"/>
  <c r="L2792" i="7"/>
  <c r="L2793" i="7"/>
  <c r="L2794" i="7"/>
  <c r="L2795" i="7"/>
  <c r="L2796" i="7"/>
  <c r="L2797" i="7"/>
  <c r="L2798" i="7"/>
  <c r="L2799" i="7"/>
  <c r="L2800" i="7"/>
  <c r="L2801" i="7"/>
  <c r="L2802" i="7"/>
  <c r="L2803" i="7"/>
  <c r="L2804" i="7"/>
  <c r="L2805" i="7"/>
  <c r="L2806" i="7"/>
  <c r="L2807" i="7"/>
  <c r="L2808" i="7"/>
  <c r="L2809" i="7"/>
  <c r="L2810" i="7"/>
  <c r="L2811" i="7"/>
  <c r="L2812" i="7"/>
  <c r="L2813" i="7"/>
  <c r="L2814" i="7"/>
  <c r="L2815" i="7"/>
  <c r="L2816" i="7"/>
  <c r="L2817" i="7"/>
  <c r="L2818" i="7"/>
  <c r="L2819" i="7"/>
  <c r="L2820" i="7"/>
  <c r="L2821" i="7"/>
  <c r="L2822" i="7"/>
  <c r="L2823" i="7"/>
  <c r="L2824" i="7"/>
  <c r="L2825" i="7"/>
  <c r="L2826" i="7"/>
  <c r="L2827" i="7"/>
  <c r="L2828" i="7"/>
  <c r="L2829" i="7"/>
  <c r="L2830" i="7"/>
  <c r="L2831" i="7"/>
  <c r="L2832" i="7"/>
  <c r="L2833" i="7"/>
  <c r="L2834" i="7"/>
  <c r="L2835" i="7"/>
  <c r="L2836" i="7"/>
  <c r="L2837" i="7"/>
  <c r="L2838" i="7"/>
  <c r="L2839" i="7"/>
  <c r="L2840" i="7"/>
  <c r="L2841" i="7"/>
  <c r="L2842" i="7"/>
  <c r="L2843" i="7"/>
  <c r="L2844" i="7"/>
  <c r="L2845" i="7"/>
  <c r="L2846" i="7"/>
  <c r="L2847" i="7"/>
  <c r="L2848" i="7"/>
  <c r="L2849" i="7"/>
  <c r="L2850" i="7"/>
  <c r="L2851" i="7"/>
  <c r="L2852" i="7"/>
  <c r="L2853" i="7"/>
  <c r="L2854" i="7"/>
  <c r="L2855" i="7"/>
  <c r="L2856" i="7"/>
  <c r="L2857" i="7"/>
  <c r="L2858" i="7"/>
  <c r="L2859" i="7"/>
  <c r="L2860" i="7"/>
  <c r="L2861" i="7"/>
  <c r="L2862" i="7"/>
  <c r="L2863" i="7"/>
  <c r="L2864" i="7"/>
  <c r="L2865" i="7"/>
  <c r="L2866" i="7"/>
  <c r="L2867" i="7"/>
  <c r="L2868" i="7"/>
  <c r="L2869" i="7"/>
  <c r="L2870" i="7"/>
  <c r="L2871" i="7"/>
  <c r="L2872" i="7"/>
  <c r="L2873" i="7"/>
  <c r="L2874" i="7"/>
  <c r="L2875" i="7"/>
  <c r="L2876" i="7"/>
  <c r="L2877" i="7"/>
  <c r="L2878" i="7"/>
  <c r="L2879" i="7"/>
  <c r="L2880" i="7"/>
  <c r="L2881" i="7"/>
  <c r="L2882" i="7"/>
  <c r="L2883" i="7"/>
  <c r="L2884" i="7"/>
  <c r="L2885" i="7"/>
  <c r="L2886" i="7"/>
  <c r="L2887" i="7"/>
  <c r="L2888" i="7"/>
  <c r="L2889" i="7"/>
  <c r="L2890" i="7"/>
  <c r="L2891" i="7"/>
  <c r="L2892" i="7"/>
  <c r="L2893" i="7"/>
  <c r="L2894" i="7"/>
  <c r="L2895" i="7"/>
  <c r="L2896" i="7"/>
  <c r="L2897" i="7"/>
  <c r="L2898" i="7"/>
  <c r="L2899" i="7"/>
  <c r="L2900" i="7"/>
  <c r="L2901" i="7"/>
  <c r="L2902" i="7"/>
  <c r="L2903" i="7"/>
  <c r="L2904" i="7"/>
  <c r="L2905" i="7"/>
  <c r="L2906" i="7"/>
  <c r="L2907" i="7"/>
  <c r="L2908" i="7"/>
  <c r="L2909" i="7"/>
  <c r="L2910" i="7"/>
  <c r="L2911" i="7"/>
  <c r="L2912" i="7"/>
  <c r="L2913" i="7"/>
  <c r="L2914" i="7"/>
  <c r="L2915" i="7"/>
  <c r="L2916" i="7"/>
  <c r="L2917" i="7"/>
  <c r="L2918" i="7"/>
  <c r="L2919" i="7"/>
  <c r="L2920" i="7"/>
  <c r="L2921" i="7"/>
  <c r="L2922" i="7"/>
  <c r="L2923" i="7"/>
  <c r="L2924" i="7"/>
  <c r="L2925" i="7"/>
  <c r="L2926" i="7"/>
  <c r="L2927" i="7"/>
  <c r="L2928" i="7"/>
  <c r="L2929" i="7"/>
  <c r="L2930" i="7"/>
  <c r="L2931" i="7"/>
  <c r="L2932" i="7"/>
  <c r="L2933" i="7"/>
  <c r="L2934" i="7"/>
  <c r="L2935" i="7"/>
  <c r="L2936" i="7"/>
  <c r="L2937" i="7"/>
  <c r="L2938" i="7"/>
  <c r="L2939" i="7"/>
  <c r="L2940" i="7"/>
  <c r="L2941" i="7"/>
  <c r="L2942" i="7"/>
  <c r="L2943" i="7"/>
  <c r="L2944" i="7"/>
  <c r="L2945" i="7"/>
  <c r="L2946" i="7"/>
  <c r="L2947" i="7"/>
  <c r="L2948" i="7"/>
  <c r="L2949" i="7"/>
  <c r="L2950" i="7"/>
  <c r="L2951" i="7"/>
  <c r="L2952" i="7"/>
  <c r="L2953" i="7"/>
  <c r="L2954" i="7"/>
  <c r="L2955" i="7"/>
  <c r="L2956" i="7"/>
  <c r="L2957" i="7"/>
  <c r="L2958" i="7"/>
  <c r="L2959" i="7"/>
  <c r="L2960" i="7"/>
  <c r="L2961" i="7"/>
  <c r="L2962" i="7"/>
  <c r="L2963" i="7"/>
  <c r="L2964" i="7"/>
  <c r="L2965" i="7"/>
  <c r="L2966" i="7"/>
  <c r="L2967" i="7"/>
  <c r="L2968" i="7"/>
  <c r="L2969" i="7"/>
  <c r="L2970" i="7"/>
  <c r="L2971" i="7"/>
  <c r="L2972" i="7"/>
  <c r="L2973" i="7"/>
  <c r="L2974" i="7"/>
  <c r="L2975" i="7"/>
  <c r="L2976" i="7"/>
  <c r="L2977" i="7"/>
  <c r="L2978" i="7"/>
  <c r="L2979" i="7"/>
  <c r="L2980" i="7"/>
  <c r="L2981" i="7"/>
  <c r="L2982" i="7"/>
  <c r="L2983" i="7"/>
  <c r="L2984" i="7"/>
  <c r="L2985" i="7"/>
  <c r="L2986" i="7"/>
  <c r="L2987" i="7"/>
  <c r="L2988" i="7"/>
  <c r="L2989" i="7"/>
  <c r="L2990" i="7"/>
  <c r="L2991" i="7"/>
  <c r="L2992" i="7"/>
  <c r="L2993" i="7"/>
  <c r="L2994" i="7"/>
  <c r="L2995" i="7"/>
  <c r="L2996" i="7"/>
  <c r="L2997" i="7"/>
  <c r="L2998" i="7"/>
  <c r="L2999" i="7"/>
  <c r="L3000" i="7"/>
  <c r="L3001" i="7"/>
  <c r="L3002" i="7"/>
  <c r="L3003" i="7"/>
  <c r="L3004" i="7"/>
  <c r="L3005" i="7"/>
  <c r="L3006" i="7"/>
  <c r="L3007" i="7"/>
  <c r="L3008" i="7"/>
  <c r="L3009" i="7"/>
  <c r="L3010" i="7"/>
  <c r="L3011" i="7"/>
  <c r="L3012" i="7"/>
  <c r="L3013" i="7"/>
  <c r="L3014" i="7"/>
  <c r="L3015" i="7"/>
  <c r="L3016" i="7"/>
  <c r="L3017" i="7"/>
  <c r="L3018" i="7"/>
  <c r="L3019" i="7"/>
  <c r="L3020" i="7"/>
  <c r="L3021" i="7"/>
  <c r="L3022" i="7"/>
  <c r="L3023" i="7"/>
  <c r="L3024" i="7"/>
  <c r="L3025" i="7"/>
  <c r="L3026" i="7"/>
  <c r="L3027" i="7"/>
  <c r="L3028" i="7"/>
  <c r="L3029" i="7"/>
  <c r="L3030" i="7"/>
  <c r="L3031" i="7"/>
  <c r="L3032" i="7"/>
  <c r="L3033" i="7"/>
  <c r="L3034" i="7"/>
  <c r="L3035" i="7"/>
  <c r="L3036" i="7"/>
  <c r="L3037" i="7"/>
  <c r="L3038" i="7"/>
  <c r="L3039" i="7"/>
  <c r="L3040" i="7"/>
  <c r="L3041" i="7"/>
  <c r="L3042" i="7"/>
  <c r="L3043" i="7"/>
  <c r="L3044" i="7"/>
  <c r="L3045" i="7"/>
  <c r="L3046" i="7"/>
  <c r="L3047" i="7"/>
  <c r="L3048" i="7"/>
  <c r="L3049" i="7"/>
  <c r="L3050" i="7"/>
  <c r="L3051" i="7"/>
  <c r="L3052" i="7"/>
  <c r="L3053" i="7"/>
  <c r="L3054" i="7"/>
  <c r="L3055" i="7"/>
  <c r="L3056" i="7"/>
  <c r="L3057" i="7"/>
  <c r="L3058" i="7"/>
  <c r="L3059" i="7"/>
  <c r="L3060" i="7"/>
  <c r="L3061" i="7"/>
  <c r="L3062" i="7"/>
  <c r="L3063" i="7"/>
  <c r="L3064" i="7"/>
  <c r="L3065" i="7"/>
  <c r="L3066" i="7"/>
  <c r="L3067" i="7"/>
  <c r="L3068" i="7"/>
  <c r="L3069" i="7"/>
  <c r="L3070" i="7"/>
  <c r="L3071" i="7"/>
  <c r="L3072" i="7"/>
  <c r="L3073" i="7"/>
  <c r="L3074" i="7"/>
  <c r="L3075" i="7"/>
  <c r="L3076" i="7"/>
  <c r="L3077" i="7"/>
  <c r="L3078" i="7"/>
  <c r="L3079" i="7"/>
  <c r="L3080" i="7"/>
  <c r="L3081" i="7"/>
  <c r="L3082" i="7"/>
  <c r="L3083" i="7"/>
  <c r="L3084" i="7"/>
  <c r="L3085" i="7"/>
  <c r="L3086" i="7"/>
  <c r="L3087" i="7"/>
  <c r="L3088" i="7"/>
  <c r="L3089" i="7"/>
  <c r="L3090" i="7"/>
  <c r="L3091" i="7"/>
  <c r="L3092" i="7"/>
  <c r="L3093" i="7"/>
  <c r="L3094" i="7"/>
  <c r="L3095" i="7"/>
  <c r="L3096" i="7"/>
  <c r="L3097" i="7"/>
  <c r="L3098" i="7"/>
  <c r="L3099" i="7"/>
  <c r="L3100" i="7"/>
  <c r="L3101" i="7"/>
  <c r="L3102" i="7"/>
  <c r="L3103" i="7"/>
  <c r="L3104" i="7"/>
  <c r="L3105" i="7"/>
  <c r="L3106" i="7"/>
  <c r="L3107" i="7"/>
  <c r="L3108" i="7"/>
  <c r="L3109" i="7"/>
  <c r="L3110" i="7"/>
  <c r="L3111" i="7"/>
  <c r="L3112" i="7"/>
  <c r="L3113" i="7"/>
  <c r="L3114" i="7"/>
  <c r="L3115" i="7"/>
  <c r="L3116" i="7"/>
  <c r="L3117" i="7"/>
  <c r="L3118" i="7"/>
  <c r="L3119" i="7"/>
  <c r="L3120" i="7"/>
  <c r="L3121" i="7"/>
  <c r="L3122" i="7"/>
  <c r="L3123" i="7"/>
  <c r="L3124" i="7"/>
  <c r="L3125" i="7"/>
  <c r="L3126" i="7"/>
  <c r="L3127" i="7"/>
  <c r="L3128" i="7"/>
  <c r="L3129" i="7"/>
  <c r="L3130" i="7"/>
  <c r="L3131" i="7"/>
  <c r="L3132" i="7"/>
  <c r="L3133" i="7"/>
  <c r="L3134" i="7"/>
  <c r="L3135" i="7"/>
  <c r="L3136" i="7"/>
  <c r="L3137" i="7"/>
  <c r="L3138" i="7"/>
  <c r="L3139" i="7"/>
  <c r="L3140" i="7"/>
  <c r="L3141" i="7"/>
  <c r="L3142" i="7"/>
  <c r="L3143" i="7"/>
  <c r="L3144" i="7"/>
  <c r="L3145" i="7"/>
  <c r="L3146" i="7"/>
  <c r="L3147" i="7"/>
  <c r="L3148" i="7"/>
  <c r="L3149" i="7"/>
  <c r="L3150" i="7"/>
  <c r="L3151" i="7"/>
  <c r="L3152" i="7"/>
  <c r="L3153" i="7"/>
  <c r="L3154" i="7"/>
  <c r="L3155" i="7"/>
  <c r="L3156" i="7"/>
  <c r="L3157" i="7"/>
  <c r="L3158" i="7"/>
  <c r="L3159" i="7"/>
  <c r="L3160" i="7"/>
  <c r="L3161" i="7"/>
  <c r="L3162" i="7"/>
  <c r="L3163" i="7"/>
  <c r="L3164" i="7"/>
  <c r="L3165" i="7"/>
  <c r="L3166" i="7"/>
  <c r="L3167" i="7"/>
  <c r="L3168" i="7"/>
  <c r="L3169" i="7"/>
  <c r="L3170" i="7"/>
  <c r="L3171" i="7"/>
  <c r="L3172" i="7"/>
  <c r="L3173" i="7"/>
  <c r="L3174" i="7"/>
  <c r="L3175" i="7"/>
  <c r="L3176" i="7"/>
  <c r="L3177" i="7"/>
  <c r="L3178" i="7"/>
  <c r="L3179" i="7"/>
  <c r="L3180" i="7"/>
  <c r="L3181" i="7"/>
  <c r="L3182" i="7"/>
  <c r="L3183" i="7"/>
  <c r="L3184" i="7"/>
  <c r="L3185" i="7"/>
  <c r="L3186" i="7"/>
  <c r="L3187" i="7"/>
  <c r="L3188" i="7"/>
  <c r="L3189" i="7"/>
  <c r="L3190" i="7"/>
  <c r="L3191" i="7"/>
  <c r="L3192" i="7"/>
  <c r="L3193" i="7"/>
  <c r="L3194" i="7"/>
  <c r="L3195" i="7"/>
  <c r="L3196" i="7"/>
  <c r="L3197" i="7"/>
  <c r="L3198" i="7"/>
  <c r="L3199" i="7"/>
  <c r="L3200" i="7"/>
  <c r="L3201" i="7"/>
  <c r="L3202" i="7"/>
  <c r="L3203" i="7"/>
  <c r="L3204" i="7"/>
  <c r="L3205" i="7"/>
  <c r="L3206" i="7"/>
  <c r="L3207" i="7"/>
  <c r="L3208" i="7"/>
  <c r="L3209" i="7"/>
  <c r="L3210" i="7"/>
  <c r="L3211" i="7"/>
  <c r="L3212" i="7"/>
  <c r="L3213" i="7"/>
  <c r="L3214" i="7"/>
  <c r="L3215" i="7"/>
  <c r="L3216" i="7"/>
  <c r="L3217" i="7"/>
  <c r="L3218" i="7"/>
  <c r="L3219" i="7"/>
  <c r="L3220" i="7"/>
  <c r="L3221" i="7"/>
  <c r="L3222" i="7"/>
  <c r="L3223" i="7"/>
  <c r="L3224" i="7"/>
  <c r="L3225" i="7"/>
  <c r="L3226" i="7"/>
  <c r="L3227" i="7"/>
  <c r="L3228" i="7"/>
  <c r="L3229" i="7"/>
  <c r="L3230" i="7"/>
  <c r="L3231" i="7"/>
  <c r="L3232" i="7"/>
  <c r="L3233" i="7"/>
  <c r="L3234" i="7"/>
  <c r="L3235" i="7"/>
  <c r="L3236" i="7"/>
  <c r="L3237" i="7"/>
  <c r="L3238" i="7"/>
  <c r="L3239" i="7"/>
  <c r="L3240" i="7"/>
  <c r="L3241" i="7"/>
  <c r="L3242" i="7"/>
  <c r="L3243" i="7"/>
  <c r="L3244" i="7"/>
  <c r="L3245" i="7"/>
  <c r="L3246" i="7"/>
  <c r="L3247" i="7"/>
  <c r="L3248" i="7"/>
  <c r="L3249" i="7"/>
  <c r="L3250" i="7"/>
  <c r="L3251" i="7"/>
  <c r="L3252" i="7"/>
  <c r="L3253" i="7"/>
  <c r="L3254" i="7"/>
  <c r="L3255" i="7"/>
  <c r="L3256" i="7"/>
  <c r="L3257" i="7"/>
  <c r="L3258" i="7"/>
  <c r="L3259" i="7"/>
  <c r="L3260" i="7"/>
  <c r="L3261" i="7"/>
  <c r="L3262" i="7"/>
  <c r="L3263" i="7"/>
  <c r="L3264" i="7"/>
  <c r="L3265" i="7"/>
  <c r="L3266" i="7"/>
  <c r="L3267" i="7"/>
  <c r="L3268" i="7"/>
  <c r="L3269" i="7"/>
  <c r="L3270" i="7"/>
  <c r="L3271" i="7"/>
  <c r="L3272" i="7"/>
  <c r="L3273" i="7"/>
  <c r="L3274" i="7"/>
  <c r="L3275" i="7"/>
  <c r="L3276" i="7"/>
  <c r="L3277" i="7"/>
  <c r="L3278" i="7"/>
  <c r="L3279" i="7"/>
  <c r="L3280" i="7"/>
  <c r="L3281" i="7"/>
  <c r="L3282" i="7"/>
  <c r="L3283" i="7"/>
  <c r="L3284" i="7"/>
  <c r="L3285" i="7"/>
  <c r="L3286" i="7"/>
  <c r="L3287" i="7"/>
  <c r="L3288" i="7"/>
  <c r="L3289" i="7"/>
  <c r="L3290" i="7"/>
  <c r="L3291" i="7"/>
  <c r="L3292" i="7"/>
  <c r="L3293" i="7"/>
  <c r="L3294" i="7"/>
  <c r="L3295" i="7"/>
  <c r="L3296" i="7"/>
  <c r="L3297" i="7"/>
  <c r="L3298" i="7"/>
  <c r="L3299" i="7"/>
  <c r="L3300" i="7"/>
  <c r="L3301" i="7"/>
  <c r="L3302" i="7"/>
  <c r="L3303" i="7"/>
  <c r="L3304" i="7"/>
  <c r="L3305" i="7"/>
  <c r="L3306" i="7"/>
  <c r="L3307" i="7"/>
  <c r="L3308" i="7"/>
  <c r="L3309" i="7"/>
  <c r="L3310" i="7"/>
  <c r="L3311" i="7"/>
  <c r="L3312" i="7"/>
  <c r="L3313" i="7"/>
  <c r="L3314" i="7"/>
  <c r="L3315" i="7"/>
  <c r="L3316" i="7"/>
  <c r="L3317" i="7"/>
  <c r="L3318" i="7"/>
  <c r="L3319" i="7"/>
  <c r="L3320" i="7"/>
  <c r="L3321" i="7"/>
  <c r="L3322" i="7"/>
  <c r="L3323" i="7"/>
  <c r="L3324" i="7"/>
  <c r="L3325" i="7"/>
  <c r="L3326" i="7"/>
  <c r="L3327" i="7"/>
  <c r="L3328" i="7"/>
  <c r="L3329" i="7"/>
  <c r="L3330" i="7"/>
  <c r="L3331" i="7"/>
  <c r="L3332" i="7"/>
  <c r="L3333" i="7"/>
  <c r="L3334" i="7"/>
  <c r="L3335" i="7"/>
  <c r="L3336" i="7"/>
  <c r="L3337" i="7"/>
  <c r="L3338" i="7"/>
  <c r="L3339" i="7"/>
  <c r="L3340" i="7"/>
  <c r="L3341" i="7"/>
  <c r="L3342" i="7"/>
  <c r="L3343" i="7"/>
  <c r="L3344" i="7"/>
  <c r="L3345" i="7"/>
  <c r="L3346" i="7"/>
  <c r="L3347" i="7"/>
  <c r="L3348" i="7"/>
  <c r="L3349" i="7"/>
  <c r="L3350" i="7"/>
  <c r="L3351" i="7"/>
  <c r="L3352" i="7"/>
  <c r="L3353" i="7"/>
  <c r="L3354" i="7"/>
  <c r="L3355" i="7"/>
  <c r="L3356" i="7"/>
  <c r="L3357" i="7"/>
  <c r="L3358" i="7"/>
  <c r="L3359" i="7"/>
  <c r="L3360" i="7"/>
  <c r="L3361" i="7"/>
  <c r="L3362" i="7"/>
  <c r="L3363" i="7"/>
  <c r="L3364" i="7"/>
  <c r="L3365" i="7"/>
  <c r="L3366" i="7"/>
  <c r="L3367" i="7"/>
  <c r="L3368" i="7"/>
  <c r="L3369" i="7"/>
  <c r="L3370" i="7"/>
  <c r="L3371" i="7"/>
  <c r="L3372" i="7"/>
  <c r="L3373" i="7"/>
  <c r="L3374" i="7"/>
  <c r="L3375" i="7"/>
  <c r="L3376" i="7"/>
  <c r="L3377" i="7"/>
  <c r="L3378" i="7"/>
  <c r="L3379" i="7"/>
  <c r="L3380" i="7"/>
  <c r="L3381" i="7"/>
  <c r="L3382" i="7"/>
  <c r="L3383" i="7"/>
  <c r="L3384" i="7"/>
  <c r="L3385" i="7"/>
  <c r="L3386" i="7"/>
  <c r="L3387" i="7"/>
  <c r="L3388" i="7"/>
  <c r="L3389" i="7"/>
  <c r="L3390" i="7"/>
  <c r="L3391" i="7"/>
  <c r="L3392" i="7"/>
  <c r="L3393" i="7"/>
  <c r="L3394" i="7"/>
  <c r="L3395" i="7"/>
  <c r="L3396" i="7"/>
  <c r="L3397" i="7"/>
  <c r="L3398" i="7"/>
  <c r="L3399" i="7"/>
  <c r="L3400" i="7"/>
  <c r="L3401" i="7"/>
  <c r="L3402" i="7"/>
  <c r="L3403" i="7"/>
  <c r="L3404" i="7"/>
  <c r="L3405" i="7"/>
  <c r="L3406" i="7"/>
  <c r="L3407" i="7"/>
  <c r="L3408" i="7"/>
  <c r="L3409" i="7"/>
  <c r="L3410" i="7"/>
  <c r="L3411" i="7"/>
  <c r="L3412" i="7"/>
  <c r="L3413" i="7"/>
  <c r="L3414" i="7"/>
  <c r="L3415" i="7"/>
  <c r="L3416" i="7"/>
  <c r="L3417" i="7"/>
  <c r="L3418" i="7"/>
  <c r="L3419" i="7"/>
  <c r="L3420" i="7"/>
  <c r="L3421" i="7"/>
  <c r="L3422" i="7"/>
  <c r="L3423" i="7"/>
  <c r="L3424" i="7"/>
  <c r="L3425" i="7"/>
  <c r="L3426" i="7"/>
  <c r="L3427" i="7"/>
  <c r="L3428" i="7"/>
  <c r="L3429" i="7"/>
  <c r="L3430" i="7"/>
  <c r="L3431" i="7"/>
  <c r="L3432" i="7"/>
  <c r="L3433" i="7"/>
  <c r="L3434" i="7"/>
  <c r="L3435" i="7"/>
  <c r="L3436" i="7"/>
  <c r="L3437" i="7"/>
  <c r="L3438" i="7"/>
  <c r="L3439" i="7"/>
  <c r="L3440" i="7"/>
  <c r="L3441" i="7"/>
  <c r="L3442" i="7"/>
  <c r="L3443" i="7"/>
  <c r="L3444" i="7"/>
  <c r="L3445" i="7"/>
  <c r="L3446" i="7"/>
  <c r="L3447" i="7"/>
  <c r="L3448" i="7"/>
  <c r="L3449" i="7"/>
  <c r="L3450" i="7"/>
  <c r="L3451" i="7"/>
  <c r="L3452" i="7"/>
  <c r="L3453" i="7"/>
  <c r="L3454" i="7"/>
  <c r="L3455" i="7"/>
  <c r="L3456" i="7"/>
  <c r="L3457" i="7"/>
  <c r="L3458" i="7"/>
  <c r="L3459" i="7"/>
  <c r="L3460" i="7"/>
  <c r="L3461" i="7"/>
  <c r="L3462" i="7"/>
  <c r="L3463" i="7"/>
  <c r="L3464" i="7"/>
  <c r="L3465" i="7"/>
  <c r="L3466" i="7"/>
  <c r="L3467" i="7"/>
  <c r="L3468" i="7"/>
  <c r="L3469" i="7"/>
  <c r="L3470" i="7"/>
  <c r="L3471" i="7"/>
  <c r="L3472" i="7"/>
  <c r="L3473" i="7"/>
  <c r="L3474" i="7"/>
  <c r="L3475" i="7"/>
  <c r="L3476" i="7"/>
  <c r="L3477" i="7"/>
  <c r="L3478" i="7"/>
  <c r="L3479" i="7"/>
  <c r="L3480" i="7"/>
  <c r="L3481" i="7"/>
  <c r="L3482" i="7"/>
  <c r="L3483" i="7"/>
  <c r="L3484" i="7"/>
  <c r="L3485" i="7"/>
  <c r="L3486" i="7"/>
  <c r="L3487" i="7"/>
  <c r="L3488" i="7"/>
  <c r="L3489" i="7"/>
  <c r="L3490" i="7"/>
  <c r="L3491" i="7"/>
  <c r="L3492" i="7"/>
  <c r="L3493" i="7"/>
  <c r="L3494" i="7"/>
  <c r="L3495" i="7"/>
  <c r="L3496" i="7"/>
  <c r="L3497" i="7"/>
  <c r="L3498" i="7"/>
  <c r="L3499" i="7"/>
  <c r="L3500" i="7"/>
  <c r="L3501" i="7"/>
  <c r="L3502" i="7"/>
  <c r="L3503" i="7"/>
  <c r="L3504" i="7"/>
  <c r="L3505" i="7"/>
  <c r="L3506" i="7"/>
  <c r="L3507" i="7"/>
  <c r="L3508" i="7"/>
  <c r="L3509" i="7"/>
  <c r="L3510" i="7"/>
  <c r="L3511" i="7"/>
  <c r="L3512" i="7"/>
  <c r="L3513" i="7"/>
  <c r="L3514" i="7"/>
  <c r="L3515" i="7"/>
  <c r="L3516" i="7"/>
  <c r="L3517" i="7"/>
  <c r="L3518" i="7"/>
  <c r="L3519" i="7"/>
  <c r="L3520" i="7"/>
  <c r="L3521" i="7"/>
  <c r="L3522" i="7"/>
  <c r="L3523" i="7"/>
  <c r="L3524" i="7"/>
  <c r="L3525" i="7"/>
  <c r="L3526" i="7"/>
  <c r="L3527" i="7"/>
  <c r="L3528" i="7"/>
  <c r="L3529" i="7"/>
  <c r="L3530" i="7"/>
  <c r="L3531" i="7"/>
  <c r="L3532" i="7"/>
  <c r="L3533" i="7"/>
  <c r="L3534" i="7"/>
  <c r="L353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49AB8A-4D5B-4417-9F67-27434EFEF69D}" keepAlive="1" name="查詢 - 交易處理資料" description="與活頁簿中 '交易處理資料' 查詢的連接。" type="5" refreshedVersion="8" background="1" saveData="1">
    <dbPr connection="Provider=Microsoft.Mashup.OleDb.1;Data Source=$Workbook$;Location=交易處理資料;Extended Properties=&quot;&quot;" command="SELECT * FROM [交易處理資料]"/>
  </connection>
  <connection id="2" xr16:uid="{8E2852E0-AFDE-4BBC-A6D0-D720081489C6}" keepAlive="1" name="查詢 - 交易處理資料 (3)" description="與活頁簿中 '交易處理資料 (3)' 查詢的連接。" type="5" refreshedVersion="8" background="1" saveData="1">
    <dbPr connection="Provider=Microsoft.Mashup.OleDb.1;Data Source=$Workbook$;Location=&quot;交易處理資料 (3)&quot;;Extended Properties=&quot;&quot;" command="SELECT * FROM [交易處理資料 (3)]"/>
  </connection>
  <connection id="3" xr16:uid="{7DB5E068-DAB2-451A-AEF2-4347D4438A62}" keepAlive="1" name="查詢 - 參數1" description="與活頁簿中 '參數1' 查詢的連接。" type="5" refreshedVersion="0" background="1">
    <dbPr connection="Provider=Microsoft.Mashup.OleDb.1;Data Source=$Workbook$;Location=參數1;Extended Properties=&quot;&quot;" command="SELECT * FROM [參數1]"/>
  </connection>
  <connection id="4" xr16:uid="{D717BA3D-5F96-4D91-82FB-4BA60117F68F}" keepAlive="1" name="查詢 - 參數2" description="與活頁簿中 '參數2' 查詢的連接。" type="5" refreshedVersion="0" background="1">
    <dbPr connection="Provider=Microsoft.Mashup.OleDb.1;Data Source=$Workbook$;Location=參數2;Extended Properties=&quot;&quot;" command="SELECT * FROM [參數2]"/>
  </connection>
  <connection id="5" xr16:uid="{9164BAF6-49D8-48F8-B15E-21F57B988D7B}" keepAlive="1" name="查詢 - 參數3" description="與活頁簿中 '參數3' 查詢的連接。" type="5" refreshedVersion="0" background="1">
    <dbPr connection="Provider=Microsoft.Mashup.OleDb.1;Data Source=$Workbook$;Location=參數3;Extended Properties=&quot;&quot;" command="SELECT * FROM [參數3]"/>
  </connection>
  <connection id="6" xr16:uid="{96AF372B-D218-48FB-B52C-FED6F0D8DD75}" keepAlive="1" name="查詢 - 範例檔案" description="與活頁簿中 '範例檔案' 查詢的連接。" type="5" refreshedVersion="0" background="1">
    <dbPr connection="Provider=Microsoft.Mashup.OleDb.1;Data Source=$Workbook$;Location=範例檔案;Extended Properties=&quot;&quot;" command="SELECT * FROM [範例檔案]"/>
  </connection>
  <connection id="7" xr16:uid="{31C17866-6E34-4990-AEFA-8F146A556303}" keepAlive="1" name="查詢 - 範例檔案 (2)" description="與活頁簿中 '範例檔案 (2)' 查詢的連接。" type="5" refreshedVersion="0" background="1">
    <dbPr connection="Provider=Microsoft.Mashup.OleDb.1;Data Source=$Workbook$;Location=&quot;範例檔案 (2)&quot;;Extended Properties=&quot;&quot;" command="SELECT * FROM [範例檔案 (2)]"/>
  </connection>
  <connection id="8" xr16:uid="{B1A29AA9-9DD4-4EE1-861D-6816313AA823}" keepAlive="1" name="查詢 - 範例檔案 (3)" description="與活頁簿中 '範例檔案 (3)' 查詢的連接。" type="5" refreshedVersion="0" background="1">
    <dbPr connection="Provider=Microsoft.Mashup.OleDb.1;Data Source=$Workbook$;Location=&quot;範例檔案 (3)&quot;;Extended Properties=&quot;&quot;" command="SELECT * FROM [範例檔案 (3)]"/>
  </connection>
  <connection id="9" xr16:uid="{83AACA3E-C125-4081-A594-1B191ADF820A}" keepAlive="1" name="查詢 - 轉換範例檔案" description="與活頁簿中 '轉換範例檔案' 查詢的連接。" type="5" refreshedVersion="0" background="1">
    <dbPr connection="Provider=Microsoft.Mashup.OleDb.1;Data Source=$Workbook$;Location=轉換範例檔案;Extended Properties=&quot;&quot;" command="SELECT * FROM [轉換範例檔案]"/>
  </connection>
  <connection id="10" xr16:uid="{855407B0-3E8D-41F8-95D9-02DE3FBDA534}" keepAlive="1" name="查詢 - 轉換範例檔案 (2)" description="與活頁簿中 '轉換範例檔案 (2)' 查詢的連接。" type="5" refreshedVersion="0" background="1">
    <dbPr connection="Provider=Microsoft.Mashup.OleDb.1;Data Source=$Workbook$;Location=&quot;轉換範例檔案 (2)&quot;;Extended Properties=&quot;&quot;" command="SELECT * FROM [轉換範例檔案 (2)]"/>
  </connection>
  <connection id="11" xr16:uid="{153BAD97-30C8-479E-A028-02B72837EADA}" keepAlive="1" name="查詢 - 轉換範例檔案 (3)" description="與活頁簿中 '轉換範例檔案 (3)' 查詢的連接。" type="5" refreshedVersion="0" background="1">
    <dbPr connection="Provider=Microsoft.Mashup.OleDb.1;Data Source=$Workbook$;Location=&quot;轉換範例檔案 (3)&quot;;Extended Properties=&quot;&quot;" command="SELECT * FROM [轉換範例檔案 (3)]"/>
  </connection>
  <connection id="12" xr16:uid="{37F7A1B0-637B-4499-9E12-4DA5CDBD76D9}" keepAlive="1" name="查詢 - 轉換檔案" description="與活頁簿中 '轉換檔案' 查詢的連接。" type="5" refreshedVersion="0" background="1">
    <dbPr connection="Provider=Microsoft.Mashup.OleDb.1;Data Source=$Workbook$;Location=轉換檔案;Extended Properties=&quot;&quot;" command="SELECT * FROM [轉換檔案]"/>
  </connection>
  <connection id="13" xr16:uid="{354CD3C6-F9A8-48FA-A535-8488409FE8FD}" keepAlive="1" name="查詢 - 轉換檔案 (2)" description="與活頁簿中 '轉換檔案 (2)' 查詢的連接。" type="5" refreshedVersion="0" background="1">
    <dbPr connection="Provider=Microsoft.Mashup.OleDb.1;Data Source=$Workbook$;Location=&quot;轉換檔案 (2)&quot;;Extended Properties=&quot;&quot;" command="SELECT * FROM [轉換檔案 (2)]"/>
  </connection>
  <connection id="14" xr16:uid="{A5D147AE-DEEE-4AD3-AB26-34449EDF2382}" keepAlive="1" name="查詢 - 轉換檔案 (3)" description="與活頁簿中 '轉換檔案 (3)' 查詢的連接。" type="5" refreshedVersion="0" background="1">
    <dbPr connection="Provider=Microsoft.Mashup.OleDb.1;Data Source=$Workbook$;Location=&quot;轉換檔案 (3)&quot;;Extended Properties=&quot;&quot;" command="SELECT * FROM [轉換檔案 (3)]"/>
  </connection>
</connections>
</file>

<file path=xl/sharedStrings.xml><?xml version="1.0" encoding="utf-8"?>
<sst xmlns="http://schemas.openxmlformats.org/spreadsheetml/2006/main" count="7388" uniqueCount="132">
  <si>
    <t>A</t>
  </si>
  <si>
    <t>AA023</t>
  </si>
  <si>
    <t>AA026</t>
  </si>
  <si>
    <t>AA025</t>
  </si>
  <si>
    <t>AA024</t>
  </si>
  <si>
    <t>AA015</t>
  </si>
  <si>
    <t>AA028</t>
  </si>
  <si>
    <t>AA002</t>
  </si>
  <si>
    <t>AA027</t>
  </si>
  <si>
    <t>AA020</t>
  </si>
  <si>
    <t>B</t>
  </si>
  <si>
    <t>AB007</t>
  </si>
  <si>
    <t>AB002</t>
  </si>
  <si>
    <t>AB004</t>
  </si>
  <si>
    <t>AB011</t>
  </si>
  <si>
    <t>AB010</t>
  </si>
  <si>
    <t>M</t>
  </si>
  <si>
    <t>AM009</t>
  </si>
  <si>
    <t>AM011</t>
  </si>
  <si>
    <t>AM102</t>
  </si>
  <si>
    <t>AM001</t>
  </si>
  <si>
    <t>AM002</t>
  </si>
  <si>
    <t>AM152</t>
  </si>
  <si>
    <t>AM013</t>
  </si>
  <si>
    <t>AM157</t>
  </si>
  <si>
    <t>AM104</t>
  </si>
  <si>
    <t>AM003</t>
  </si>
  <si>
    <t>AM145</t>
  </si>
  <si>
    <t>AM151</t>
  </si>
  <si>
    <t>AM105</t>
  </si>
  <si>
    <t>AM005</t>
  </si>
  <si>
    <t>AM162</t>
  </si>
  <si>
    <t>AM139</t>
  </si>
  <si>
    <t>AM121</t>
  </si>
  <si>
    <t>AM129</t>
  </si>
  <si>
    <t>AM051</t>
  </si>
  <si>
    <t>AM116</t>
  </si>
  <si>
    <t>AM016</t>
  </si>
  <si>
    <t>AM146</t>
  </si>
  <si>
    <t>AM122</t>
  </si>
  <si>
    <t>AM070</t>
  </si>
  <si>
    <t>AM028</t>
  </si>
  <si>
    <t>AM137</t>
  </si>
  <si>
    <t>AM018</t>
  </si>
  <si>
    <t>AM126</t>
  </si>
  <si>
    <t>AM120</t>
  </si>
  <si>
    <t>AM007</t>
  </si>
  <si>
    <t>AM029</t>
  </si>
  <si>
    <t>AM035</t>
  </si>
  <si>
    <t>AM131</t>
  </si>
  <si>
    <t>AM021</t>
  </si>
  <si>
    <t>AM159</t>
  </si>
  <si>
    <t>AM022</t>
  </si>
  <si>
    <t>AM065</t>
  </si>
  <si>
    <r>
      <rPr>
        <sz val="12"/>
        <color theme="1"/>
        <rFont val="文鼎UD晶熙黑体PE1XG30_M"/>
        <family val="2"/>
        <charset val="136"/>
      </rPr>
      <t>查修團隊</t>
    </r>
    <r>
      <rPr>
        <sz val="12"/>
        <color theme="1"/>
        <rFont val="BMWTypeNext Latin TT Regular"/>
      </rPr>
      <t>A</t>
    </r>
  </si>
  <si>
    <r>
      <rPr>
        <sz val="12"/>
        <color theme="1"/>
        <rFont val="文鼎UD晶熙黑体PE1XG30_M"/>
        <family val="2"/>
        <charset val="136"/>
      </rPr>
      <t>查修團隊</t>
    </r>
    <r>
      <rPr>
        <sz val="12"/>
        <color theme="1"/>
        <rFont val="BMWTypeNext Latin TT Regular"/>
      </rPr>
      <t>B</t>
    </r>
  </si>
  <si>
    <r>
      <rPr>
        <sz val="12"/>
        <color theme="1"/>
        <rFont val="文鼎UD晶熙黑体PE1XG30_M"/>
        <family val="2"/>
        <charset val="136"/>
      </rPr>
      <t>快速保養團隊</t>
    </r>
    <r>
      <rPr>
        <sz val="12"/>
        <color theme="1"/>
        <rFont val="BMWTypeNext Latin TT Regular"/>
      </rPr>
      <t>A</t>
    </r>
  </si>
  <si>
    <r>
      <rPr>
        <sz val="12"/>
        <color theme="1"/>
        <rFont val="文鼎UD晶熙黑体PE1XG30_M"/>
        <family val="2"/>
        <charset val="136"/>
      </rPr>
      <t>快速保養團隊</t>
    </r>
    <r>
      <rPr>
        <sz val="12"/>
        <color theme="1"/>
        <rFont val="BMWTypeNext Latin TT Regular"/>
      </rPr>
      <t>B</t>
    </r>
  </si>
  <si>
    <r>
      <rPr>
        <sz val="12"/>
        <color theme="1"/>
        <rFont val="文鼎UD晶熙黑体PE1XG30_M"/>
        <family val="2"/>
        <charset val="136"/>
      </rPr>
      <t>鈑金維修組</t>
    </r>
  </si>
  <si>
    <r>
      <rPr>
        <sz val="12"/>
        <color theme="1"/>
        <rFont val="文鼎UD晶熙黑体PE1XG30_M"/>
        <family val="2"/>
        <charset val="136"/>
      </rPr>
      <t>噴漆維修組</t>
    </r>
  </si>
  <si>
    <r>
      <rPr>
        <sz val="12"/>
        <color theme="1"/>
        <rFont val="文鼎UD晶熙黑体PE1XG30_M"/>
        <family val="2"/>
        <charset val="136"/>
      </rPr>
      <t>無效數據</t>
    </r>
    <phoneticPr fontId="18" type="noConversion"/>
  </si>
  <si>
    <t>部門</t>
    <phoneticPr fontId="18" type="noConversion"/>
  </si>
  <si>
    <t>代碼</t>
    <phoneticPr fontId="18" type="noConversion"/>
  </si>
  <si>
    <t>部門別</t>
  </si>
  <si>
    <t>人員代號</t>
  </si>
  <si>
    <t>售出工時</t>
  </si>
  <si>
    <t>所花費時間</t>
  </si>
  <si>
    <t>效率</t>
  </si>
  <si>
    <t>維修時間</t>
  </si>
  <si>
    <t>怠工時間</t>
  </si>
  <si>
    <t>利用率</t>
  </si>
  <si>
    <t>FRU</t>
    <phoneticPr fontId="18" type="noConversion"/>
  </si>
  <si>
    <t>數據日期_2</t>
  </si>
  <si>
    <t>噴漆部門</t>
    <phoneticPr fontId="18" type="noConversion"/>
  </si>
  <si>
    <t>板金部門</t>
    <phoneticPr fontId="18" type="noConversion"/>
  </si>
  <si>
    <t>引電部門</t>
    <phoneticPr fontId="18" type="noConversion"/>
  </si>
  <si>
    <t>M</t>
    <phoneticPr fontId="18" type="noConversion"/>
  </si>
  <si>
    <r>
      <rPr>
        <sz val="12"/>
        <color theme="1"/>
        <rFont val="新細明體"/>
        <family val="1"/>
        <charset val="136"/>
      </rPr>
      <t>查修團隊</t>
    </r>
    <r>
      <rPr>
        <sz val="12"/>
        <color theme="1"/>
        <rFont val="BMWTypeNext Latin TT Regular"/>
      </rPr>
      <t>A</t>
    </r>
    <phoneticPr fontId="18" type="noConversion"/>
  </si>
  <si>
    <t>團隊</t>
  </si>
  <si>
    <t>引電部門</t>
  </si>
  <si>
    <t>板金部門</t>
  </si>
  <si>
    <t>噴漆部門</t>
  </si>
  <si>
    <t>部門</t>
  </si>
  <si>
    <t>人員</t>
  </si>
  <si>
    <t>MU</t>
    <phoneticPr fontId="18" type="noConversion"/>
  </si>
  <si>
    <t>組別</t>
    <phoneticPr fontId="18" type="noConversion"/>
  </si>
  <si>
    <t>生產率</t>
    <phoneticPr fontId="18" type="noConversion"/>
  </si>
  <si>
    <t>列標籤</t>
  </si>
  <si>
    <t>快速保養團隊A</t>
  </si>
  <si>
    <t>快速保養團隊B</t>
  </si>
  <si>
    <t>總計</t>
  </si>
  <si>
    <t>加總 - 利用率</t>
  </si>
  <si>
    <t>上班與否</t>
    <phoneticPr fontId="18" type="noConversion"/>
  </si>
  <si>
    <t>上班時間</t>
    <phoneticPr fontId="18" type="noConversion"/>
  </si>
  <si>
    <t>平均值 - 效率</t>
  </si>
  <si>
    <t>平均值 - 生產率</t>
  </si>
  <si>
    <t>平均值 - 利用率</t>
  </si>
  <si>
    <t>加總 - 怠工時間</t>
  </si>
  <si>
    <t>1月</t>
  </si>
  <si>
    <t>1月1日</t>
  </si>
  <si>
    <t>1月2日</t>
  </si>
  <si>
    <t>1月3日</t>
  </si>
  <si>
    <t>1月4日</t>
  </si>
  <si>
    <t>1月5日</t>
  </si>
  <si>
    <t>1月6日</t>
  </si>
  <si>
    <t>1月7日</t>
  </si>
  <si>
    <t>1月8日</t>
  </si>
  <si>
    <t>1月9日</t>
  </si>
  <si>
    <t>1月10日</t>
  </si>
  <si>
    <t>1月11日</t>
  </si>
  <si>
    <t>1月12日</t>
  </si>
  <si>
    <t>1月13日</t>
  </si>
  <si>
    <t>1月14日</t>
  </si>
  <si>
    <t>1月15日</t>
  </si>
  <si>
    <t>1月16日</t>
  </si>
  <si>
    <t>1月17日</t>
  </si>
  <si>
    <t>1月18日</t>
  </si>
  <si>
    <t>1月19日</t>
  </si>
  <si>
    <t>1月20日</t>
  </si>
  <si>
    <t>1月21日</t>
  </si>
  <si>
    <t>1月22日</t>
  </si>
  <si>
    <t>1月23日</t>
  </si>
  <si>
    <t>1月24日</t>
  </si>
  <si>
    <t>1月25日</t>
  </si>
  <si>
    <t>1月26日</t>
  </si>
  <si>
    <t>1月27日</t>
  </si>
  <si>
    <t>1月28日</t>
  </si>
  <si>
    <t>1月29日</t>
  </si>
  <si>
    <t>1月30日</t>
  </si>
  <si>
    <t>1月31日</t>
  </si>
  <si>
    <t>加總 - 售出工時</t>
  </si>
  <si>
    <r>
      <rPr>
        <sz val="22"/>
        <color theme="1"/>
        <rFont val="Times New Roman"/>
        <family val="1"/>
      </rPr>
      <t>BMW</t>
    </r>
    <r>
      <rPr>
        <sz val="22"/>
        <color theme="1"/>
        <rFont val="微軟正黑體"/>
        <family val="2"/>
        <charset val="136"/>
      </rPr>
      <t xml:space="preserve"> 車廠資料分析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</si>
</sst>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噴&quot;&quot;漆&quot;&quot;部&quot;&quot;門&quot;"/>
    <numFmt numFmtId="177" formatCode="0.00_);[Red]\(0.00\)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文鼎UD晶熙黑体PE1XG30_M"/>
      <family val="2"/>
      <charset val="136"/>
    </font>
    <font>
      <sz val="12"/>
      <color theme="1"/>
      <name val="BMWTypeNext Latin TT Regular"/>
    </font>
    <font>
      <sz val="12"/>
      <color theme="1"/>
      <name val="新細明體"/>
      <family val="1"/>
      <charset val="136"/>
    </font>
    <font>
      <sz val="12"/>
      <color theme="1"/>
      <name val="BMWTypeNext Latin TT Regular"/>
      <family val="1"/>
      <charset val="136"/>
    </font>
    <font>
      <sz val="22"/>
      <color theme="1"/>
      <name val="新細明體"/>
      <family val="2"/>
      <charset val="136"/>
      <scheme val="minor"/>
    </font>
    <font>
      <sz val="22"/>
      <color theme="1"/>
      <name val="Times New Roman"/>
      <family val="1"/>
    </font>
    <font>
      <sz val="22"/>
      <color theme="1"/>
      <name val="新細明體"/>
      <family val="1"/>
      <charset val="136"/>
    </font>
    <font>
      <sz val="22"/>
      <color theme="1"/>
      <name val="微軟正黑體"/>
      <family val="2"/>
      <charset val="136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38" borderId="0" xfId="0" applyFill="1">
      <alignment vertical="center"/>
    </xf>
    <xf numFmtId="0" fontId="0" fillId="39" borderId="0" xfId="0" applyFill="1">
      <alignment vertical="center"/>
    </xf>
    <xf numFmtId="0" fontId="20" fillId="0" borderId="0" xfId="0" applyFont="1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0" fillId="40" borderId="10" xfId="0" applyFont="1" applyFill="1" applyBorder="1">
      <alignment vertical="center"/>
    </xf>
    <xf numFmtId="0" fontId="20" fillId="38" borderId="11" xfId="0" applyFont="1" applyFill="1" applyBorder="1">
      <alignment vertical="center"/>
    </xf>
    <xf numFmtId="0" fontId="20" fillId="41" borderId="10" xfId="0" applyFont="1" applyFill="1" applyBorder="1">
      <alignment vertical="center"/>
    </xf>
    <xf numFmtId="0" fontId="20" fillId="37" borderId="11" xfId="0" applyFont="1" applyFill="1" applyBorder="1">
      <alignment vertical="center"/>
    </xf>
    <xf numFmtId="0" fontId="20" fillId="34" borderId="11" xfId="0" applyFont="1" applyFill="1" applyBorder="1">
      <alignment vertical="center"/>
    </xf>
    <xf numFmtId="0" fontId="20" fillId="40" borderId="12" xfId="0" applyFont="1" applyFill="1" applyBorder="1">
      <alignment vertical="center"/>
    </xf>
    <xf numFmtId="0" fontId="20" fillId="34" borderId="13" xfId="0" applyFont="1" applyFill="1" applyBorder="1">
      <alignment vertical="center"/>
    </xf>
    <xf numFmtId="0" fontId="20" fillId="36" borderId="11" xfId="0" applyFont="1" applyFill="1" applyBorder="1">
      <alignment vertical="center"/>
    </xf>
    <xf numFmtId="0" fontId="20" fillId="36" borderId="13" xfId="0" applyFont="1" applyFill="1" applyBorder="1">
      <alignment vertical="center"/>
    </xf>
    <xf numFmtId="0" fontId="20" fillId="35" borderId="11" xfId="0" applyFont="1" applyFill="1" applyBorder="1">
      <alignment vertical="center"/>
    </xf>
    <xf numFmtId="0" fontId="20" fillId="41" borderId="12" xfId="0" applyFont="1" applyFill="1" applyBorder="1">
      <alignment vertical="center"/>
    </xf>
    <xf numFmtId="0" fontId="20" fillId="35" borderId="13" xfId="0" applyFont="1" applyFill="1" applyBorder="1">
      <alignment vertical="center"/>
    </xf>
    <xf numFmtId="0" fontId="20" fillId="39" borderId="13" xfId="0" applyFont="1" applyFill="1" applyBorder="1">
      <alignment vertical="center"/>
    </xf>
    <xf numFmtId="0" fontId="20" fillId="33" borderId="11" xfId="0" applyFont="1" applyFill="1" applyBorder="1">
      <alignment vertical="center"/>
    </xf>
    <xf numFmtId="0" fontId="20" fillId="33" borderId="13" xfId="0" applyFont="1" applyFill="1" applyBorder="1">
      <alignment vertical="center"/>
    </xf>
    <xf numFmtId="0" fontId="22" fillId="0" borderId="0" xfId="0" applyFont="1">
      <alignment vertical="center"/>
    </xf>
    <xf numFmtId="177" fontId="0" fillId="0" borderId="0" xfId="0" applyNumberFormat="1">
      <alignment vertical="center"/>
    </xf>
    <xf numFmtId="177" fontId="17" fillId="0" borderId="0" xfId="0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4" fontId="0" fillId="0" borderId="0" xfId="0" applyNumberFormat="1" applyAlignment="1">
      <alignment horizontal="left" vertical="center" indent="1"/>
    </xf>
    <xf numFmtId="1" fontId="0" fillId="0" borderId="0" xfId="0" applyNumberFormat="1">
      <alignment vertical="center"/>
    </xf>
    <xf numFmtId="0" fontId="25" fillId="42" borderId="0" xfId="0" applyFont="1" applyFill="1" applyAlignment="1">
      <alignment horizontal="center" vertical="center"/>
    </xf>
    <xf numFmtId="0" fontId="23" fillId="42" borderId="0" xfId="0" applyFont="1" applyFill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2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77" formatCode="0.00_);[Red]\(0.00\)"/>
    </dxf>
    <dxf>
      <numFmt numFmtId="0" formatCode="General"/>
    </dxf>
    <dxf>
      <numFmt numFmtId="0" formatCode="General"/>
    </dxf>
    <dxf>
      <font>
        <b/>
        <sz val="11"/>
        <color theme="1"/>
      </font>
    </dxf>
    <dxf>
      <font>
        <color theme="2"/>
        <name val="新細明體"/>
        <family val="1"/>
        <charset val="136"/>
        <scheme val="major"/>
      </font>
      <fill>
        <patternFill patternType="solid">
          <fgColor theme="0"/>
          <bgColor theme="3" tint="-0.499984740745262"/>
        </patternFill>
      </fill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ill>
        <patternFill>
          <bgColor theme="4" tint="0.39994506668294322"/>
        </patternFill>
      </fill>
    </dxf>
    <dxf>
      <font>
        <color auto="1"/>
        <name val="微軟正黑體"/>
        <family val="2"/>
        <charset val="136"/>
        <scheme val="none"/>
      </font>
      <fill>
        <patternFill>
          <bgColor theme="3" tint="-0.49998474074526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交叉分析篩選器樣式 1" pivot="0" table="0" count="10" xr9:uid="{C3FD122F-ED04-498F-8391-906969F44FAE}">
      <tableStyleElement type="wholeTable" dxfId="21"/>
      <tableStyleElement type="headerRow" dxfId="20"/>
    </tableStyle>
    <tableStyle name="時間表樣式 1" pivot="0" table="0" count="8" xr9:uid="{A91244FB-29EB-4C70-90C0-D72FCA501DD8}">
      <tableStyleElement type="wholeTable" dxfId="19"/>
      <tableStyleElement type="headerRow" dxfId="18"/>
    </tableStyle>
  </tableStyles>
  <colors>
    <mruColors>
      <color rgb="FFEFE9E5"/>
      <color rgb="FF9BBBE5"/>
      <color rgb="FFB9CFED"/>
      <color rgb="FFA1A1A4"/>
      <color rgb="FF88ACA1"/>
      <color rgb="FF339933"/>
      <color rgb="FF33CC33"/>
    </mruColors>
  </colors>
  <extLst>
    <ext xmlns:x14="http://schemas.microsoft.com/office/spreadsheetml/2009/9/main" uri="{46F421CA-312F-682f-3DD2-61675219B42D}">
      <x14:dxfs count="8">
        <dxf>
          <fill>
            <patternFill>
              <bgColor theme="0"/>
            </patternFill>
          </fill>
        </dxf>
        <dxf>
          <fill>
            <patternFill>
              <bgColor theme="1" tint="0.499984740745262"/>
            </patternFill>
          </fill>
        </dxf>
        <dxf>
          <fill>
            <patternFill>
              <bgColor theme="4" tint="0.59996337778862885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4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0" tint="-0.34998626667073579"/>
            </patternFill>
          </fill>
        </dxf>
        <dxf>
          <fill>
            <patternFill>
              <bgColor theme="0" tint="-0.1499679555650502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交叉分析篩選器樣式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4" tint="0.39994506668294322"/>
            </patternFill>
          </fill>
        </dxf>
        <dxf>
          <font>
            <sz val="9"/>
            <color theme="0"/>
            <name val="新細明體"/>
            <family val="1"/>
            <charset val="136"/>
            <scheme val="major"/>
          </font>
        </dxf>
        <dxf>
          <font>
            <sz val="9"/>
            <color theme="0"/>
            <name val="新細明體"/>
            <family val="1"/>
            <charset val="136"/>
            <scheme val="major"/>
          </font>
        </dxf>
        <dxf>
          <font>
            <sz val="9"/>
            <color theme="0"/>
            <name val="新細明體"/>
            <family val="1"/>
            <charset val="136"/>
            <scheme val="major"/>
          </font>
        </dxf>
        <dxf>
          <font>
            <sz val="10"/>
            <color theme="0"/>
            <name val="新細明體"/>
            <family val="1"/>
            <charset val="136"/>
            <scheme val="maj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時間表樣式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[期末_車廠資料.xlsx]工作表1!樞紐分析表7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/>
              <a:t>人員</a:t>
            </a:r>
            <a:r>
              <a:rPr lang="zh-TW"/>
              <a:t>效率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265091863517059E-2"/>
          <c:y val="0.19146090534979424"/>
          <c:w val="0.66297176215042086"/>
          <c:h val="0.60126859142607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工作表1!$G$1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工作表1!$F$2:$F$19</c:f>
              <c:strCache>
                <c:ptCount val="17"/>
                <c:pt idx="0">
                  <c:v>AM121</c:v>
                </c:pt>
                <c:pt idx="1">
                  <c:v>AM152</c:v>
                </c:pt>
                <c:pt idx="2">
                  <c:v>AM162</c:v>
                </c:pt>
                <c:pt idx="3">
                  <c:v>AM145</c:v>
                </c:pt>
                <c:pt idx="4">
                  <c:v>AM120</c:v>
                </c:pt>
                <c:pt idx="5">
                  <c:v>AM126</c:v>
                </c:pt>
                <c:pt idx="6">
                  <c:v>AM137</c:v>
                </c:pt>
                <c:pt idx="7">
                  <c:v>AM021</c:v>
                </c:pt>
                <c:pt idx="8">
                  <c:v>AM005</c:v>
                </c:pt>
                <c:pt idx="9">
                  <c:v>AM129</c:v>
                </c:pt>
                <c:pt idx="10">
                  <c:v>AM151</c:v>
                </c:pt>
                <c:pt idx="11">
                  <c:v>AM139</c:v>
                </c:pt>
                <c:pt idx="12">
                  <c:v>AM013</c:v>
                </c:pt>
                <c:pt idx="13">
                  <c:v>AM009</c:v>
                </c:pt>
                <c:pt idx="14">
                  <c:v>AM146</c:v>
                </c:pt>
                <c:pt idx="15">
                  <c:v>AM157</c:v>
                </c:pt>
                <c:pt idx="16">
                  <c:v>AM028</c:v>
                </c:pt>
              </c:strCache>
            </c:strRef>
          </c:cat>
          <c:val>
            <c:numRef>
              <c:f>工作表1!$G$2:$G$19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60.731470494499987</c:v>
                </c:pt>
                <c:pt idx="4">
                  <c:v>74.036827622222219</c:v>
                </c:pt>
                <c:pt idx="5">
                  <c:v>77.478841510000009</c:v>
                </c:pt>
                <c:pt idx="6">
                  <c:v>82.253835336923075</c:v>
                </c:pt>
                <c:pt idx="7">
                  <c:v>87.151903052631596</c:v>
                </c:pt>
                <c:pt idx="8">
                  <c:v>88.268144984210537</c:v>
                </c:pt>
                <c:pt idx="9">
                  <c:v>88.65777901666668</c:v>
                </c:pt>
                <c:pt idx="10">
                  <c:v>95.493733658333312</c:v>
                </c:pt>
                <c:pt idx="11">
                  <c:v>102.5990043681818</c:v>
                </c:pt>
                <c:pt idx="12">
                  <c:v>112.19773747363637</c:v>
                </c:pt>
                <c:pt idx="13">
                  <c:v>113.21134464400001</c:v>
                </c:pt>
                <c:pt idx="14">
                  <c:v>125.040565184</c:v>
                </c:pt>
                <c:pt idx="15">
                  <c:v>129.02939151363637</c:v>
                </c:pt>
                <c:pt idx="16">
                  <c:v>159.86398152500001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52-4126-B5EE-EEF7578C5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24739104"/>
        <c:axId val="724727040"/>
      </c:barChart>
      <c:catAx>
        <c:axId val="72473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724727040"/>
        <c:crosses val="autoZero"/>
        <c:auto val="1"/>
        <c:lblAlgn val="ctr"/>
        <c:lblOffset val="100"/>
        <c:noMultiLvlLbl val="0"/>
      </c:catAx>
      <c:valAx>
        <c:axId val="72472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7247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[期末_車廠資料.xlsx]工作表1!樞紐分析表1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/>
              <a:t>效率指標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FE9E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BBBE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平均值 - 利用率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工作表1!$A$2:$A$4</c:f>
              <c:strCache>
                <c:ptCount val="2"/>
                <c:pt idx="0">
                  <c:v>快速保養團隊B</c:v>
                </c:pt>
                <c:pt idx="1">
                  <c:v>快速保養團隊A</c:v>
                </c:pt>
              </c:strCache>
            </c:strRef>
          </c:cat>
          <c:val>
            <c:numRef>
              <c:f>工作表1!$B$2:$B$4</c:f>
              <c:numCache>
                <c:formatCode>General</c:formatCode>
                <c:ptCount val="2"/>
                <c:pt idx="0">
                  <c:v>41.737532467532475</c:v>
                </c:pt>
                <c:pt idx="1">
                  <c:v>55.631802575107272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C-4564-94FD-DB6C71500431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平均值 - 生產率</c:v>
                </c:pt>
              </c:strCache>
            </c:strRef>
          </c:tx>
          <c:spPr>
            <a:solidFill>
              <a:srgbClr val="EFE9E5"/>
            </a:solidFill>
            <a:ln>
              <a:noFill/>
            </a:ln>
            <a:effectLst/>
          </c:spPr>
          <c:invertIfNegative val="0"/>
          <c:cat>
            <c:strRef>
              <c:f>工作表1!$A$2:$A$4</c:f>
              <c:strCache>
                <c:ptCount val="2"/>
                <c:pt idx="0">
                  <c:v>快速保養團隊B</c:v>
                </c:pt>
                <c:pt idx="1">
                  <c:v>快速保養團隊A</c:v>
                </c:pt>
              </c:strCache>
            </c:strRef>
          </c:cat>
          <c:val>
            <c:numRef>
              <c:f>工作表1!$C$2:$C$4</c:f>
              <c:numCache>
                <c:formatCode>General</c:formatCode>
                <c:ptCount val="2"/>
                <c:pt idx="0">
                  <c:v>47.943311688311717</c:v>
                </c:pt>
                <c:pt idx="1">
                  <c:v>43.720815450643798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0C-4564-94FD-DB6C71500431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平均值 - 效率</c:v>
                </c:pt>
              </c:strCache>
            </c:strRef>
          </c:tx>
          <c:spPr>
            <a:solidFill>
              <a:srgbClr val="9BBBE5"/>
            </a:solidFill>
            <a:ln>
              <a:noFill/>
            </a:ln>
            <a:effectLst/>
          </c:spPr>
          <c:invertIfNegative val="0"/>
          <c:cat>
            <c:strRef>
              <c:f>工作表1!$A$2:$A$4</c:f>
              <c:strCache>
                <c:ptCount val="2"/>
                <c:pt idx="0">
                  <c:v>快速保養團隊B</c:v>
                </c:pt>
                <c:pt idx="1">
                  <c:v>快速保養團隊A</c:v>
                </c:pt>
              </c:strCache>
            </c:strRef>
          </c:cat>
          <c:val>
            <c:numRef>
              <c:f>工作表1!$D$2:$D$4</c:f>
              <c:numCache>
                <c:formatCode>General</c:formatCode>
                <c:ptCount val="2"/>
                <c:pt idx="0">
                  <c:v>70.780482563766228</c:v>
                </c:pt>
                <c:pt idx="1">
                  <c:v>82.652017526781137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0C-4564-94FD-DB6C71500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4730784"/>
        <c:axId val="724746592"/>
      </c:barChart>
      <c:catAx>
        <c:axId val="72473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724746592"/>
        <c:crosses val="autoZero"/>
        <c:auto val="1"/>
        <c:lblAlgn val="ctr"/>
        <c:lblOffset val="100"/>
        <c:noMultiLvlLbl val="0"/>
      </c:catAx>
      <c:valAx>
        <c:axId val="72474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72473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[期末_車廠資料.xlsx]工作表1!樞紐分析表2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/>
              <a:t>怠工</a:t>
            </a:r>
            <a:r>
              <a:rPr lang="zh-TW" altLang="en-US"/>
              <a:t>時數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工作表1!$L$1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工作表1!$K$2:$K$4</c:f>
              <c:strCache>
                <c:ptCount val="2"/>
                <c:pt idx="0">
                  <c:v>快速保養團隊B</c:v>
                </c:pt>
                <c:pt idx="1">
                  <c:v>快速保養團隊A</c:v>
                </c:pt>
              </c:strCache>
            </c:strRef>
          </c:cat>
          <c:val>
            <c:numRef>
              <c:f>工作表1!$L$2:$L$4</c:f>
              <c:numCache>
                <c:formatCode>General</c:formatCode>
                <c:ptCount val="2"/>
                <c:pt idx="0">
                  <c:v>84.560000000000016</c:v>
                </c:pt>
                <c:pt idx="1">
                  <c:v>171.51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A-462F-B4BB-6814FE427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1915520"/>
        <c:axId val="691916352"/>
      </c:barChart>
      <c:catAx>
        <c:axId val="691915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691916352"/>
        <c:crosses val="autoZero"/>
        <c:auto val="1"/>
        <c:lblAlgn val="ctr"/>
        <c:lblOffset val="100"/>
        <c:noMultiLvlLbl val="0"/>
      </c:catAx>
      <c:valAx>
        <c:axId val="69191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69191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[期末_車廠資料.xlsx]工作表1!樞紐分析表3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/>
              <a:t>售出工時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工作表1!$O$1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工作表1!$N$2:$N$34</c:f>
              <c:multiLvlStrCache>
                <c:ptCount val="31"/>
                <c:lvl>
                  <c:pt idx="0">
                    <c:v>1月1日</c:v>
                  </c:pt>
                  <c:pt idx="1">
                    <c:v>1月2日</c:v>
                  </c:pt>
                  <c:pt idx="2">
                    <c:v>1月3日</c:v>
                  </c:pt>
                  <c:pt idx="3">
                    <c:v>1月4日</c:v>
                  </c:pt>
                  <c:pt idx="4">
                    <c:v>1月5日</c:v>
                  </c:pt>
                  <c:pt idx="5">
                    <c:v>1月6日</c:v>
                  </c:pt>
                  <c:pt idx="6">
                    <c:v>1月7日</c:v>
                  </c:pt>
                  <c:pt idx="7">
                    <c:v>1月8日</c:v>
                  </c:pt>
                  <c:pt idx="8">
                    <c:v>1月9日</c:v>
                  </c:pt>
                  <c:pt idx="9">
                    <c:v>1月10日</c:v>
                  </c:pt>
                  <c:pt idx="10">
                    <c:v>1月11日</c:v>
                  </c:pt>
                  <c:pt idx="11">
                    <c:v>1月12日</c:v>
                  </c:pt>
                  <c:pt idx="12">
                    <c:v>1月13日</c:v>
                  </c:pt>
                  <c:pt idx="13">
                    <c:v>1月14日</c:v>
                  </c:pt>
                  <c:pt idx="14">
                    <c:v>1月15日</c:v>
                  </c:pt>
                  <c:pt idx="15">
                    <c:v>1月16日</c:v>
                  </c:pt>
                  <c:pt idx="16">
                    <c:v>1月17日</c:v>
                  </c:pt>
                  <c:pt idx="17">
                    <c:v>1月18日</c:v>
                  </c:pt>
                  <c:pt idx="18">
                    <c:v>1月19日</c:v>
                  </c:pt>
                  <c:pt idx="19">
                    <c:v>1月20日</c:v>
                  </c:pt>
                  <c:pt idx="20">
                    <c:v>1月21日</c:v>
                  </c:pt>
                  <c:pt idx="21">
                    <c:v>1月22日</c:v>
                  </c:pt>
                  <c:pt idx="22">
                    <c:v>1月23日</c:v>
                  </c:pt>
                  <c:pt idx="23">
                    <c:v>1月24日</c:v>
                  </c:pt>
                  <c:pt idx="24">
                    <c:v>1月25日</c:v>
                  </c:pt>
                  <c:pt idx="25">
                    <c:v>1月26日</c:v>
                  </c:pt>
                  <c:pt idx="26">
                    <c:v>1月27日</c:v>
                  </c:pt>
                  <c:pt idx="27">
                    <c:v>1月28日</c:v>
                  </c:pt>
                  <c:pt idx="28">
                    <c:v>1月29日</c:v>
                  </c:pt>
                  <c:pt idx="29">
                    <c:v>1月30日</c:v>
                  </c:pt>
                  <c:pt idx="30">
                    <c:v>1月31日</c:v>
                  </c:pt>
                </c:lvl>
                <c:lvl>
                  <c:pt idx="0">
                    <c:v>1月</c:v>
                  </c:pt>
                </c:lvl>
              </c:multiLvlStrCache>
            </c:multiLvlStrRef>
          </c:cat>
          <c:val>
            <c:numRef>
              <c:f>工作表1!$O$2:$O$34</c:f>
              <c:numCache>
                <c:formatCode>General</c:formatCode>
                <c:ptCount val="31"/>
                <c:pt idx="0">
                  <c:v>9.5500000000000007</c:v>
                </c:pt>
                <c:pt idx="1">
                  <c:v>131.55999999999997</c:v>
                </c:pt>
                <c:pt idx="2">
                  <c:v>164.13</c:v>
                </c:pt>
                <c:pt idx="3">
                  <c:v>144.31000000000003</c:v>
                </c:pt>
                <c:pt idx="4">
                  <c:v>132.43</c:v>
                </c:pt>
                <c:pt idx="5">
                  <c:v>66.569999999999993</c:v>
                </c:pt>
                <c:pt idx="6">
                  <c:v>0</c:v>
                </c:pt>
                <c:pt idx="7">
                  <c:v>140.60999999999999</c:v>
                </c:pt>
                <c:pt idx="8">
                  <c:v>112.76999999999998</c:v>
                </c:pt>
                <c:pt idx="9">
                  <c:v>113.82000000000001</c:v>
                </c:pt>
                <c:pt idx="10">
                  <c:v>133.66</c:v>
                </c:pt>
                <c:pt idx="11">
                  <c:v>93.11999999999999</c:v>
                </c:pt>
                <c:pt idx="12">
                  <c:v>24.75</c:v>
                </c:pt>
                <c:pt idx="13">
                  <c:v>0</c:v>
                </c:pt>
                <c:pt idx="14">
                  <c:v>110.74999999999999</c:v>
                </c:pt>
                <c:pt idx="15">
                  <c:v>117.33999999999997</c:v>
                </c:pt>
                <c:pt idx="16">
                  <c:v>151.78</c:v>
                </c:pt>
                <c:pt idx="17">
                  <c:v>125.29999999999997</c:v>
                </c:pt>
                <c:pt idx="18">
                  <c:v>110.42999999999998</c:v>
                </c:pt>
                <c:pt idx="19">
                  <c:v>0</c:v>
                </c:pt>
                <c:pt idx="20">
                  <c:v>0</c:v>
                </c:pt>
                <c:pt idx="21">
                  <c:v>113.94999999999999</c:v>
                </c:pt>
                <c:pt idx="22">
                  <c:v>146.92000000000004</c:v>
                </c:pt>
                <c:pt idx="23">
                  <c:v>146.350000005</c:v>
                </c:pt>
                <c:pt idx="24">
                  <c:v>114.92666666999999</c:v>
                </c:pt>
                <c:pt idx="25">
                  <c:v>127.45333333400001</c:v>
                </c:pt>
                <c:pt idx="26">
                  <c:v>82.139999997000004</c:v>
                </c:pt>
                <c:pt idx="27">
                  <c:v>0</c:v>
                </c:pt>
                <c:pt idx="28">
                  <c:v>132.106666668</c:v>
                </c:pt>
                <c:pt idx="29">
                  <c:v>146.30666666400001</c:v>
                </c:pt>
                <c:pt idx="30">
                  <c:v>94.703333342999997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C-43CB-ADC2-2429443D8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1707024"/>
        <c:axId val="1441701616"/>
      </c:lineChart>
      <c:catAx>
        <c:axId val="144170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441701616"/>
        <c:crosses val="autoZero"/>
        <c:auto val="1"/>
        <c:lblAlgn val="ctr"/>
        <c:lblOffset val="100"/>
        <c:noMultiLvlLbl val="0"/>
      </c:catAx>
      <c:valAx>
        <c:axId val="144170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44170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[期末_車廠資料.xlsx]工作表1!樞紐分析表4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部門</a:t>
            </a:r>
            <a:r>
              <a:rPr lang="zh-TW"/>
              <a:t>利用率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工作表1!$R$1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工作表1!$Q$2:$Q$5</c:f>
              <c:strCache>
                <c:ptCount val="3"/>
                <c:pt idx="0">
                  <c:v>噴漆部門</c:v>
                </c:pt>
                <c:pt idx="1">
                  <c:v>板金部門</c:v>
                </c:pt>
                <c:pt idx="2">
                  <c:v>引電部門</c:v>
                </c:pt>
              </c:strCache>
            </c:strRef>
          </c:cat>
          <c:val>
            <c:numRef>
              <c:f>工作表1!$R$2:$R$5</c:f>
              <c:numCache>
                <c:formatCode>General</c:formatCode>
                <c:ptCount val="3"/>
                <c:pt idx="0">
                  <c:v>5130.1899999999987</c:v>
                </c:pt>
                <c:pt idx="1">
                  <c:v>8551.1300000000028</c:v>
                </c:pt>
                <c:pt idx="2">
                  <c:v>87066.230000000069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5-4F3C-930E-2CD55BD83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725328"/>
        <c:axId val="1441723664"/>
      </c:barChart>
      <c:catAx>
        <c:axId val="144172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41723664"/>
        <c:crosses val="autoZero"/>
        <c:auto val="1"/>
        <c:lblAlgn val="ctr"/>
        <c:lblOffset val="100"/>
        <c:noMultiLvlLbl val="0"/>
      </c:catAx>
      <c:valAx>
        <c:axId val="144172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4172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/>
          </a:solidFill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7620</xdr:rowOff>
    </xdr:from>
    <xdr:to>
      <xdr:col>9</xdr:col>
      <xdr:colOff>7620</xdr:colOff>
      <xdr:row>12</xdr:row>
      <xdr:rowOff>198120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70C3D70A-C5AB-4454-AD04-B6339C91A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</xdr:colOff>
      <xdr:row>2</xdr:row>
      <xdr:rowOff>0</xdr:rowOff>
    </xdr:from>
    <xdr:to>
      <xdr:col>16</xdr:col>
      <xdr:colOff>480060</xdr:colOff>
      <xdr:row>13</xdr:row>
      <xdr:rowOff>0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3979203F-3AB5-4228-A8CE-C66EBC076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190500</xdr:colOff>
      <xdr:row>13</xdr:row>
      <xdr:rowOff>0</xdr:rowOff>
    </xdr:from>
    <xdr:to>
      <xdr:col>6</xdr:col>
      <xdr:colOff>487680</xdr:colOff>
      <xdr:row>23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組別">
              <a:extLst>
                <a:ext uri="{FF2B5EF4-FFF2-40B4-BE49-F238E27FC236}">
                  <a16:creationId xmlns:a16="http://schemas.microsoft.com/office/drawing/2014/main" id="{D0ECC5C3-9B65-457A-A5B4-1C0A5780E2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組別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79320" y="2674620"/>
              <a:ext cx="2125980" cy="2057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17</xdr:row>
      <xdr:rowOff>91440</xdr:rowOff>
    </xdr:from>
    <xdr:to>
      <xdr:col>3</xdr:col>
      <xdr:colOff>190500</xdr:colOff>
      <xdr:row>23</xdr:row>
      <xdr:rowOff>7620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2" name="數據日期_2">
              <a:extLst>
                <a:ext uri="{FF2B5EF4-FFF2-40B4-BE49-F238E27FC236}">
                  <a16:creationId xmlns:a16="http://schemas.microsoft.com/office/drawing/2014/main" id="{081F7B1A-0E08-422E-BC52-CCFB38358F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數據日期_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589020"/>
              <a:ext cx="2179320" cy="1150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時間表: 適用於 Excel 2013 或更新版本。請勿移動或調整大小。</a:t>
              </a:r>
            </a:p>
          </xdr:txBody>
        </xdr:sp>
      </mc:Fallback>
    </mc:AlternateContent>
    <xdr:clientData/>
  </xdr:twoCellAnchor>
  <xdr:twoCellAnchor>
    <xdr:from>
      <xdr:col>16</xdr:col>
      <xdr:colOff>487680</xdr:colOff>
      <xdr:row>2</xdr:row>
      <xdr:rowOff>0</xdr:rowOff>
    </xdr:from>
    <xdr:to>
      <xdr:col>23</xdr:col>
      <xdr:colOff>15240</xdr:colOff>
      <xdr:row>12</xdr:row>
      <xdr:rowOff>198120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F70C0CA3-E78C-4E50-A562-58A80F5E6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487680</xdr:colOff>
      <xdr:row>12</xdr:row>
      <xdr:rowOff>198120</xdr:rowOff>
    </xdr:from>
    <xdr:to>
      <xdr:col>15</xdr:col>
      <xdr:colOff>175260</xdr:colOff>
      <xdr:row>22</xdr:row>
      <xdr:rowOff>190500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01A0F524-E274-4227-A924-BC4004B42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13</xdr:row>
      <xdr:rowOff>1</xdr:rowOff>
    </xdr:from>
    <xdr:to>
      <xdr:col>3</xdr:col>
      <xdr:colOff>182880</xdr:colOff>
      <xdr:row>17</xdr:row>
      <xdr:rowOff>99060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部門別">
              <a:extLst>
                <a:ext uri="{FF2B5EF4-FFF2-40B4-BE49-F238E27FC236}">
                  <a16:creationId xmlns:a16="http://schemas.microsoft.com/office/drawing/2014/main" id="{283D0D11-8652-436F-8937-E117848DEE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部門別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74621"/>
              <a:ext cx="2171700" cy="9220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15</xdr:col>
      <xdr:colOff>182880</xdr:colOff>
      <xdr:row>13</xdr:row>
      <xdr:rowOff>0</xdr:rowOff>
    </xdr:from>
    <xdr:to>
      <xdr:col>23</xdr:col>
      <xdr:colOff>7620</xdr:colOff>
      <xdr:row>22</xdr:row>
      <xdr:rowOff>198120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98ABDB53-C594-485F-8D78-8D15B7182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陳群翔" refreshedDate="45460.873672337962" createdVersion="7" refreshedVersion="7" minRefreshableVersion="3" recordCount="3534" xr:uid="{4B8D94B6-B2DB-42A0-976C-4BA7CA67A4F0}">
  <cacheSource type="worksheet">
    <worksheetSource name="交易處理資料__3"/>
  </cacheSource>
  <cacheFields count="15">
    <cacheField name="部門別" numFmtId="0">
      <sharedItems count="3">
        <s v="噴漆部門"/>
        <s v="板金部門"/>
        <s v="引電部門"/>
      </sharedItems>
    </cacheField>
    <cacheField name="人員代號" numFmtId="0">
      <sharedItems count="51">
        <s v="AA023"/>
        <s v="AA026"/>
        <s v="AA025"/>
        <s v="AA024"/>
        <s v="AA015"/>
        <s v="AA028"/>
        <s v="AA002"/>
        <s v="AA027"/>
        <s v="AA020"/>
        <s v="AB007"/>
        <s v="AB002"/>
        <s v="AB004"/>
        <s v="AB011"/>
        <s v="AB010"/>
        <s v="AM009"/>
        <s v="AM011"/>
        <s v="AM102"/>
        <s v="AM001"/>
        <s v="AM002"/>
        <s v="AM152"/>
        <s v="AM013"/>
        <s v="AM157"/>
        <s v="AM104"/>
        <s v="AM003"/>
        <s v="AM145"/>
        <s v="AM151"/>
        <s v="AM105"/>
        <s v="AM005"/>
        <s v="AM162"/>
        <s v="AM139"/>
        <s v="AM121"/>
        <s v="AM129"/>
        <s v="AM051"/>
        <s v="AM116"/>
        <s v="AM016"/>
        <s v="AM146"/>
        <s v="AM122"/>
        <s v="AM070"/>
        <s v="AM028"/>
        <s v="AM137"/>
        <s v="AM018"/>
        <s v="AM126"/>
        <s v="AM120"/>
        <s v="AM007"/>
        <s v="AM029"/>
        <s v="AM035"/>
        <s v="AM131"/>
        <s v="AM021"/>
        <s v="AM159"/>
        <s v="AM022"/>
        <s v="AM065"/>
      </sharedItems>
    </cacheField>
    <cacheField name="售出工時" numFmtId="0">
      <sharedItems containsSemiMixedTypes="0" containsString="0" containsNumber="1" minValue="0" maxValue="27.5"/>
    </cacheField>
    <cacheField name="所花費時間" numFmtId="0">
      <sharedItems containsSemiMixedTypes="0" containsString="0" containsNumber="1" minValue="0" maxValue="11.38"/>
    </cacheField>
    <cacheField name="效率" numFmtId="177">
      <sharedItems containsSemiMixedTypes="0" containsString="0" containsNumber="1" minValue="0" maxValue="7500" count="1554">
        <n v="0"/>
        <n v="138.41999999999999"/>
        <n v="70.78"/>
        <n v="96.77"/>
        <n v="65.349999999999994"/>
        <n v="103.48"/>
        <n v="41.86"/>
        <n v="110.95"/>
        <n v="20.32"/>
        <n v="316.66000000000003"/>
        <n v="8.51"/>
        <n v="8.8800000000000008"/>
        <n v="150.84"/>
        <n v="35.71"/>
        <n v="75.77"/>
        <n v="33.33"/>
        <n v="160.47999999999999"/>
        <n v="48.55"/>
        <n v="112.8"/>
        <n v="152.1"/>
        <n v="127.47"/>
        <n v="156.25"/>
        <n v="148.06"/>
        <n v="45.64"/>
        <n v="74.62"/>
        <n v="311.06"/>
        <n v="94.69"/>
        <n v="123.28"/>
        <n v="97.87"/>
        <n v="263.63"/>
        <n v="117.54"/>
        <n v="74.900000000000006"/>
        <n v="96.71"/>
        <n v="218.11"/>
        <n v="48.97"/>
        <n v="55.46"/>
        <n v="70.88"/>
        <n v="174.19"/>
        <n v="79.53"/>
        <n v="156.75"/>
        <n v="14.78"/>
        <n v="92.43"/>
        <n v="226.89"/>
        <n v="68.63"/>
        <n v="138.33000000000001"/>
        <n v="83.33"/>
        <n v="108.02"/>
        <n v="110.27"/>
        <n v="68.66"/>
        <n v="65.78"/>
        <n v="46.81"/>
        <n v="105.44"/>
        <n v="89.16"/>
        <n v="276.42"/>
        <n v="124.27"/>
        <n v="51.02"/>
        <n v="147.05000000000001"/>
        <n v="159.88"/>
        <n v="303.02999999999997"/>
        <n v="88.93"/>
        <n v="105.16"/>
        <n v="211.35"/>
        <n v="102.56"/>
        <n v="52.35"/>
        <n v="44.52"/>
        <n v="100.17"/>
        <n v="154.18"/>
        <n v="108.32"/>
        <n v="178.86"/>
        <n v="178.97"/>
        <n v="146.11000000000001"/>
        <n v="31.78"/>
        <n v="61.86"/>
        <n v="262.66000000000003"/>
        <n v="167.52"/>
        <n v="108.69"/>
        <n v="151.16"/>
        <n v="129.16999999999999"/>
        <n v="106.78"/>
        <n v="40.65"/>
        <n v="77.34"/>
        <n v="408.95"/>
        <n v="255.23"/>
        <n v="183.77"/>
        <n v="133.68"/>
        <n v="49.14"/>
        <n v="86.87"/>
        <n v="82.4"/>
        <n v="54.4"/>
        <n v="48.1"/>
        <n v="59.64"/>
        <n v="154.22"/>
        <n v="74.86"/>
        <n v="46.6"/>
        <n v="41.13"/>
        <n v="161.08000000000001"/>
        <n v="126.58"/>
        <n v="119.27"/>
        <n v="113.32"/>
        <n v="82.76"/>
        <n v="177.53"/>
        <n v="147.28"/>
        <n v="40.33"/>
        <n v="76.930000000000007"/>
        <n v="304.52999999999997"/>
        <n v="85.51"/>
        <n v="136.41999999999999"/>
        <n v="82.95"/>
        <n v="43.22"/>
        <n v="143.41999999999999"/>
        <n v="95.97"/>
        <n v="51.62"/>
        <n v="46.72"/>
        <n v="147.83000000000001"/>
        <n v="135.36000000000001"/>
        <n v="100.05"/>
        <n v="99.88"/>
        <n v="97.07"/>
        <n v="77.900000000000006"/>
        <n v="79.900000000000006"/>
        <n v="116.46"/>
        <n v="81.64"/>
        <n v="161.29"/>
        <n v="152.04"/>
        <n v="41.28"/>
        <n v="51.22"/>
        <n v="41.22"/>
        <n v="101.92"/>
        <n v="88.56"/>
        <n v="95.62"/>
        <n v="61.07"/>
        <n v="225.07"/>
        <n v="74.069999999999993"/>
        <n v="91.49"/>
        <n v="102.01"/>
        <n v="150.69999999999999"/>
        <n v="74.28"/>
        <n v="121.5"/>
        <n v="128.69999999999999"/>
        <n v="172.41"/>
        <n v="27.5"/>
        <n v="157.72999999999999"/>
        <n v="156.31"/>
        <n v="31.02"/>
        <n v="100.78"/>
        <n v="55.95"/>
        <n v="162.88999999999999"/>
        <n v="153.84"/>
        <n v="115.31"/>
        <n v="59.55"/>
        <n v="78.430000000000007"/>
        <n v="38.21"/>
        <n v="2.4300000000000002"/>
        <n v="13.57"/>
        <n v="49.53"/>
        <n v="154.24"/>
        <n v="11.42"/>
        <n v="7.46"/>
        <n v="149.44999999999999"/>
        <n v="54.94"/>
        <n v="154.13"/>
        <n v="180"/>
        <n v="165.08"/>
        <n v="114.94"/>
        <n v="113.4"/>
        <n v="143.62"/>
        <n v="26.28"/>
        <n v="106.15"/>
        <n v="229.84"/>
        <n v="206.41"/>
        <n v="83.65"/>
        <n v="53.53"/>
        <n v="86.07"/>
        <n v="79.849999999999994"/>
        <n v="37.03"/>
        <n v="167.35"/>
        <n v="88.1"/>
        <n v="96.03"/>
        <n v="45.79"/>
        <n v="212.14"/>
        <n v="156.57"/>
        <n v="72.459999999999994"/>
        <n v="58.22"/>
        <n v="139.72"/>
        <n v="143.07"/>
        <n v="77.44"/>
        <n v="105.24"/>
        <n v="133.72999999999999"/>
        <n v="111.29"/>
        <n v="132.25"/>
        <n v="38.909999999999997"/>
        <n v="109.89"/>
        <n v="5000"/>
        <n v="226.22"/>
        <n v="78.569999999999993"/>
        <n v="84.02"/>
        <n v="65.489999999999995"/>
        <n v="200"/>
        <n v="65.62"/>
        <n v="183.11"/>
        <n v="50.89"/>
        <n v="96.6"/>
        <n v="82.69"/>
        <n v="155.69"/>
        <n v="87.65"/>
        <n v="18.48"/>
        <n v="100.52"/>
        <n v="71.34"/>
        <n v="89.06"/>
        <n v="126.14"/>
        <n v="109.28"/>
        <n v="29.4"/>
        <n v="96.11"/>
        <n v="65.05"/>
        <n v="493.82"/>
        <n v="112.55"/>
        <n v="51.25"/>
        <n v="116.99"/>
        <n v="86.68"/>
        <n v="106.19"/>
        <n v="106.16"/>
        <n v="224.44"/>
        <n v="473.33"/>
        <n v="52.57"/>
        <n v="90.76"/>
        <n v="196.66"/>
        <n v="175.03"/>
        <n v="194.8"/>
        <n v="46.54"/>
        <n v="137.61000000000001"/>
        <n v="49.16"/>
        <n v="102"/>
        <n v="71.42"/>
        <n v="45.55"/>
        <n v="279.14999999999998"/>
        <n v="126.6"/>
        <n v="104.16"/>
        <n v="129.87"/>
        <n v="63.29"/>
        <n v="88.16"/>
        <n v="68.75"/>
        <n v="92.22"/>
        <n v="46.09"/>
        <n v="137.72"/>
        <n v="120.37"/>
        <n v="42.55"/>
        <n v="476.19"/>
        <n v="150"/>
        <n v="51.85"/>
        <n v="63.72"/>
        <n v="85.1"/>
        <n v="214.15"/>
        <n v="105.85"/>
        <n v="234.74"/>
        <n v="118.57"/>
        <n v="89.33"/>
        <n v="94.41"/>
        <n v="80.08"/>
        <n v="164.23"/>
        <n v="38.94"/>
        <n v="137.41999999999999"/>
        <n v="125.52"/>
        <n v="142.4"/>
        <n v="110.86"/>
        <n v="62.29"/>
        <n v="148.6"/>
        <n v="180.69"/>
        <n v="87.84"/>
        <n v="77.680000000000007"/>
        <n v="29.34"/>
        <n v="52.7"/>
        <n v="126.79"/>
        <n v="175.13"/>
        <n v="102.73"/>
        <n v="23.88"/>
        <n v="297.61"/>
        <n v="39.24"/>
        <n v="23.67"/>
        <n v="47.61"/>
        <n v="148.33000000000001"/>
        <n v="41.51"/>
        <n v="62.25"/>
        <n v="187.84"/>
        <n v="57.89"/>
        <n v="119.36"/>
        <n v="54.64"/>
        <n v="122.18"/>
        <n v="196.82"/>
        <n v="113.78"/>
        <n v="282.92"/>
        <n v="70.02"/>
        <n v="113.85"/>
        <n v="84.63"/>
        <n v="49.75"/>
        <n v="95.49"/>
        <n v="36.81"/>
        <n v="14.59"/>
        <n v="36.11"/>
        <n v="41.26"/>
        <n v="14.6"/>
        <n v="63.13"/>
        <n v="36.020000000000003"/>
        <n v="40.35"/>
        <n v="119.9"/>
        <n v="67.11"/>
        <n v="50.82"/>
        <n v="133.09"/>
        <n v="87.02"/>
        <n v="102.04"/>
        <n v="66.33"/>
        <n v="129.51"/>
        <n v="168.75"/>
        <n v="27.23"/>
        <n v="143"/>
        <n v="115.5"/>
        <n v="113.5"/>
        <n v="14.48"/>
        <n v="75.37"/>
        <n v="276.74"/>
        <n v="80.760000000000005"/>
        <n v="87.42"/>
        <n v="136.01"/>
        <n v="58.8"/>
        <n v="105.63"/>
        <n v="45.23"/>
        <n v="186.08"/>
        <n v="34.49"/>
        <n v="80.290000000000006"/>
        <n v="594.28"/>
        <n v="271.57"/>
        <n v="148.18"/>
        <n v="201.77"/>
        <n v="130.43"/>
        <n v="98.8"/>
        <n v="47.73"/>
        <n v="89.59"/>
        <n v="315.64999999999998"/>
        <n v="44.96"/>
        <n v="29.59"/>
        <n v="136.08000000000001"/>
        <n v="144.22999999999999"/>
        <n v="195.84"/>
        <n v="95.56"/>
        <n v="73.13"/>
        <n v="37.340000000000003"/>
        <n v="111.52"/>
        <n v="35.020000000000003"/>
        <n v="134.09"/>
        <n v="121.74"/>
        <n v="79.55"/>
        <n v="95.78"/>
        <n v="203.37"/>
        <n v="57.21"/>
        <n v="63.92"/>
        <n v="34.729999999999997"/>
        <n v="81.599999999999994"/>
        <n v="64.19"/>
        <n v="118.71"/>
        <n v="127.07"/>
        <n v="126"/>
        <n v="186.12"/>
        <n v="41.75"/>
        <n v="97.57"/>
        <n v="59.52"/>
        <n v="78.739999999999995"/>
        <n v="85.47"/>
        <n v="62.53"/>
        <n v="216.35"/>
        <n v="193.51"/>
        <n v="104.32"/>
        <n v="40.159999999999997"/>
        <n v="62.47"/>
        <n v="41.42"/>
        <n v="79.569999999999993"/>
        <n v="110.06"/>
        <n v="41.95"/>
        <n v="89.11"/>
        <n v="4"/>
        <n v="193.23"/>
        <n v="194.87"/>
        <n v="55.87"/>
        <n v="82.3"/>
        <n v="124.04"/>
        <n v="107.04"/>
        <n v="152.27000000000001"/>
        <n v="142.25"/>
        <n v="63.31"/>
        <n v="16.66"/>
        <n v="202.38"/>
        <n v="29.36"/>
        <n v="115.94"/>
        <n v="70.489999999999995"/>
        <n v="113.14"/>
        <n v="92.39"/>
        <n v="33.369999999999997"/>
        <n v="88.65"/>
        <n v="165.97"/>
        <n v="42.11"/>
        <n v="205.65"/>
        <n v="141.34"/>
        <n v="118"/>
        <n v="173.26"/>
        <n v="123.71"/>
        <n v="102.8"/>
        <n v="185.88"/>
        <n v="207.66"/>
        <n v="201.17"/>
        <n v="49.24"/>
        <n v="60.97"/>
        <n v="168.78"/>
        <n v="84.77"/>
        <n v="107.45"/>
        <n v="108.33"/>
        <n v="61.19"/>
        <n v="137.71"/>
        <n v="141.36000000000001"/>
        <n v="21.597633139999999"/>
        <n v="446.26593810000003"/>
        <n v="42.857142860000003"/>
        <n v="38.417266189999999"/>
        <n v="165.064695"/>
        <n v="31.538879829999999"/>
        <n v="114.75988700000001"/>
        <n v="121.47766319999999"/>
        <n v="269.66292129999999"/>
        <n v="18.03051318"/>
        <n v="84.860050889999997"/>
        <n v="103.8873995"/>
        <n v="83.14436886"/>
        <n v="177.26304579999999"/>
        <n v="75.392038600000006"/>
        <n v="67.567567569999994"/>
        <n v="223.97260270000001"/>
        <n v="169.7530864"/>
        <n v="109.74702379999999"/>
        <n v="62.567567570000001"/>
        <n v="81.651376150000004"/>
        <n v="80.303030300000003"/>
        <n v="79.274611399999998"/>
        <n v="70.093457939999993"/>
        <n v="118.5661765"/>
        <n v="69.444444439999998"/>
        <n v="63.806970509999999"/>
        <n v="50.546448089999998"/>
        <n v="58.139534879999999"/>
        <n v="85.543369889999994"/>
        <n v="150.16501650000001"/>
        <n v="89.776951670000003"/>
        <n v="123.3160622"/>
        <n v="123.2267549"/>
        <n v="110.66666669999999"/>
        <n v="30.12048193"/>
        <n v="116.4079823"/>
        <n v="71.428571430000005"/>
        <n v="198.49797799999999"/>
        <n v="152.61044179999999"/>
        <n v="56.089743589999998"/>
        <n v="49.81923355"/>
        <n v="161.7795753"/>
        <n v="41.984732819999998"/>
        <n v="191.8859649"/>
        <n v="38.293650790000001"/>
        <n v="88.848039220000004"/>
        <n v="49.407114620000002"/>
        <n v="13.698630140000001"/>
        <n v="29.604365619999999"/>
        <n v="150.6316812"/>
        <n v="81.429780030000003"/>
        <n v="257.10854949999998"/>
        <n v="114.0873016"/>
        <n v="80.22030651"/>
        <n v="49.751243780000003"/>
        <n v="127.0805218"/>
        <n v="113.2478632"/>
        <n v="124.1582492"/>
        <n v="100.6711409"/>
        <n v="42.838370570000002"/>
        <n v="204.7066409"/>
        <n v="42.19219219"/>
        <n v="135.20770010000001"/>
        <n v="235.12685909999999"/>
        <n v="18.79699248"/>
        <n v="156.868844"/>
        <n v="111.1111111"/>
        <n v="48.07692308"/>
        <n v="106.8493151"/>
        <n v="122.5626741"/>
        <n v="72.463768119999997"/>
        <n v="126.566416"/>
        <n v="141.62257500000001"/>
        <n v="126.23655909999999"/>
        <n v="98.366606169999997"/>
        <n v="98.621368779999997"/>
        <n v="111.509434"/>
        <n v="281.16531170000002"/>
        <n v="93.178621660000005"/>
        <n v="96.255201110000002"/>
        <n v="139.5259939"/>
        <n v="109.35143290000001"/>
        <n v="35.014005599999997"/>
        <n v="94.407158839999994"/>
        <n v="94.223826709999997"/>
        <n v="93.261131169999999"/>
        <n v="97.087378639999997"/>
        <n v="62.73458445"/>
        <n v="72.131147540000001"/>
        <n v="100.3293808"/>
        <n v="28.73563218"/>
        <n v="52.083333330000002"/>
        <n v="192.37472769999999"/>
        <n v="148.5380117"/>
        <n v="84.459459460000005"/>
        <n v="166.66666670000001"/>
        <n v="139.11620289999999"/>
        <n v="70.974057759999994"/>
        <n v="141.4035088"/>
        <n v="81.501831499999994"/>
        <n v="153.5087719"/>
        <n v="69.930069930000002"/>
        <n v="60.519125680000002"/>
        <n v="135.28138530000001"/>
        <n v="242.2839506"/>
        <n v="136.70411989999999"/>
        <n v="71.008403360000003"/>
        <n v="120.57877809999999"/>
        <n v="58.386411889999998"/>
        <n v="69.815668200000005"/>
        <n v="54.307116100000002"/>
        <n v="77.777777779999994"/>
        <n v="29.218107"/>
        <n v="223.57723580000001"/>
        <n v="68.827160489999997"/>
        <n v="58.035714290000001"/>
        <n v="147.86150710000001"/>
        <n v="36.439966409999997"/>
        <n v="17.679558010000001"/>
        <n v="60.240963860000001"/>
        <n v="56.924546319999997"/>
        <n v="164.07284770000001"/>
        <n v="67.340067340000004"/>
        <n v="119.1869919"/>
        <n v="168.14548360000001"/>
        <n v="140.80338269999999"/>
        <n v="152.6292335"/>
        <n v="40.899795500000003"/>
        <n v="79.594790160000002"/>
        <n v="205.7613169"/>
        <n v="143.45331250000001"/>
        <n v="82.5"/>
        <n v="150.08725999999999"/>
        <n v="95.6284153"/>
        <n v="33.944954129999999"/>
        <n v="149.59546929999999"/>
        <n v="69.83240223"/>
        <n v="61.774023229999997"/>
        <n v="156.78694160000001"/>
        <n v="107.36196320000001"/>
        <n v="55.555555560000002"/>
        <n v="163.8772664"/>
        <n v="188.88888890000001"/>
        <n v="168.45025759999999"/>
        <n v="53.030303029999999"/>
        <n v="11.627906980000001"/>
        <n v="111.93236709999999"/>
        <n v="147.9750779"/>
        <n v="156.27868169999999"/>
        <n v="6.7069081150000001"/>
        <n v="36.733837110000003"/>
        <n v="136.15819210000001"/>
        <n v="35.002692510000003"/>
        <n v="38.9212828"/>
        <n v="84.716459200000003"/>
        <n v="178.9366053"/>
        <n v="161.96447230000001"/>
        <n v="72.222222220000006"/>
        <n v="8.7719298250000008"/>
        <n v="105.77901060000001"/>
        <n v="88.888888890000004"/>
        <n v="131.5789474"/>
        <n v="96.544715449999998"/>
        <n v="22.951977400000001"/>
        <n v="61.03763988"/>
        <n v="290.45012170000001"/>
        <n v="63.829787230000001"/>
        <n v="98.039215690000006"/>
        <n v="178.7340619"/>
        <n v="104.4871795"/>
        <n v="81.300813009999999"/>
        <n v="72.832369940000007"/>
        <n v="164.67091300000001"/>
        <n v="76.888285839999995"/>
        <n v="87.114845939999995"/>
        <n v="13.87163561"/>
        <n v="48.070739549999999"/>
        <n v="85.529157670000004"/>
        <n v="48.006379590000002"/>
        <n v="181.74308139999999"/>
        <n v="32.707622299999997"/>
        <n v="81.486367630000004"/>
        <n v="89.514066499999998"/>
        <n v="166.2790698"/>
        <n v="114.07185629999999"/>
        <n v="43.461829180000002"/>
        <n v="833.33333330000005"/>
        <n v="94.574599259999999"/>
        <n v="115.5367232"/>
        <n v="83.41346154"/>
        <n v="176.48287389999999"/>
        <n v="71.25154895"/>
        <n v="104.16666669999999"/>
        <n v="61.920714680000003"/>
        <n v="180.55096420000001"/>
        <n v="90.252707580000006"/>
        <n v="61.428571429999998"/>
        <n v="54.713804709999998"/>
        <n v="133.19502069999999"/>
        <n v="234.82245130000001"/>
        <n v="122.7619048"/>
        <n v="141.43518520000001"/>
        <n v="174.8133062"/>
        <n v="73.529411760000002"/>
        <n v="158.3535109"/>
        <n v="141.55844160000001"/>
        <n v="197.2222222"/>
        <n v="85.085085090000007"/>
        <n v="219.94535519999999"/>
        <n v="131.8666667"/>
        <n v="17.6056338"/>
        <n v="107.21583649999999"/>
        <n v="113.0434783"/>
        <n v="17.771509170000002"/>
        <n v="202.45614040000001"/>
        <n v="172.38095240000001"/>
        <n v="63.311688310000001"/>
        <n v="144.21157679999999"/>
        <n v="65.726681130000003"/>
        <n v="178.30101569999999"/>
        <n v="90.996168580000003"/>
        <n v="149.9165275"/>
        <n v="153.8461538"/>
        <n v="91.449474170000002"/>
        <n v="69.909909909999996"/>
        <n v="43.103448280000002"/>
        <n v="271.00270999999998"/>
        <n v="161.2903226"/>
        <n v="174.3626744"/>
        <n v="140.1179941"/>
        <n v="94.039215690000006"/>
        <n v="125.5458515"/>
        <n v="144.74772540000001"/>
        <n v="54.617414250000003"/>
        <n v="145.18695310000001"/>
        <n v="126.60619800000001"/>
        <n v="19.921875"/>
        <n v="118.409294"/>
        <n v="207.74315390000001"/>
        <n v="89.285714290000001"/>
        <n v="29.599271399999999"/>
        <n v="120.2459376"/>
        <n v="107.4614761"/>
        <n v="68.376068380000007"/>
        <n v="111.0967742"/>
        <n v="212.32876709999999"/>
        <n v="104.74777450000001"/>
        <n v="123.37611819999999"/>
        <n v="161.16005870000001"/>
        <n v="136.05812900000001"/>
        <n v="106.8376068"/>
        <n v="127.65957450000001"/>
        <n v="79.828660439999993"/>
        <n v="123.45679010000001"/>
        <n v="129.71530250000001"/>
        <n v="108.8050314"/>
        <n v="102.4590164"/>
        <n v="44.32624113"/>
        <n v="96.457938010000007"/>
        <n v="29.381443300000001"/>
        <n v="49.814814810000001"/>
        <n v="56.695156699999998"/>
        <n v="174.65034969999999"/>
        <n v="74.429223739999998"/>
        <n v="160.93820479999999"/>
        <n v="162.92011020000001"/>
        <n v="121.98486870000001"/>
        <n v="211.90100050000001"/>
        <n v="173.3193277"/>
        <n v="123.7571952"/>
        <n v="97.596371880000007"/>
        <n v="203.25203250000001"/>
        <n v="140.6995885"/>
        <n v="78.431372550000006"/>
        <n v="182.90840420000001"/>
        <n v="127.3737374"/>
        <n v="139.25729440000001"/>
        <n v="175.70977920000001"/>
        <n v="115.55555560000001"/>
        <n v="65.417867439999995"/>
        <n v="234.9726776"/>
        <n v="1279.7619050000001"/>
        <n v="352.68292680000002"/>
        <n v="97.573162030000006"/>
        <n v="60.695538059999997"/>
        <n v="110.1141925"/>
        <n v="126.8115942"/>
        <n v="121.9546742"/>
        <n v="46.583850929999997"/>
        <n v="141.61220040000001"/>
        <n v="137.00248759999999"/>
        <n v="257.14285710000001"/>
        <n v="61.282051279999997"/>
        <n v="84.761904759999993"/>
        <n v="149.2537313"/>
        <n v="196.56019660000001"/>
        <n v="155.74823380000001"/>
        <n v="227.71317830000001"/>
        <n v="69.73293769"/>
        <n v="78.075207140000003"/>
        <n v="225.37878789999999"/>
        <n v="157.48031499999999"/>
        <n v="98.648648649999998"/>
        <n v="27.173913039999999"/>
        <n v="53.418803420000003"/>
        <n v="19.748427670000002"/>
        <n v="36.981132080000002"/>
        <n v="110.26957640000001"/>
        <n v="110.2432778"/>
        <n v="136.99582749999999"/>
        <n v="153.125"/>
        <n v="160.19417480000001"/>
        <n v="212.88685950000001"/>
        <n v="153.06666670000001"/>
        <n v="74.404761899999997"/>
        <n v="169.90291260000001"/>
        <n v="111.5702479"/>
        <n v="160.5680869"/>
        <n v="147.15947980000001"/>
        <n v="75.493612080000005"/>
        <n v="177.6960784"/>
        <n v="96.789423979999995"/>
        <n v="151.2455516"/>
        <n v="89.340101520000005"/>
        <n v="171.01990050000001"/>
        <n v="75.96067918"/>
        <n v="90.968161140000007"/>
        <n v="131.85550079999999"/>
        <n v="86.087450309999994"/>
        <n v="124.44444439999999"/>
        <n v="20.689655170000002"/>
        <n v="1071.4285709999999"/>
        <n v="236.74242419999999"/>
        <n v="160.5128205"/>
        <n v="76.291079809999999"/>
        <n v="93.569131830000003"/>
        <n v="176.2277952"/>
        <n v="196.99248119999999"/>
        <n v="157.11111109999999"/>
        <n v="101.3277428"/>
        <n v="155.03875970000001"/>
        <n v="211.8413262"/>
        <n v="150.64342049999999"/>
        <n v="108.994709"/>
        <n v="150.7389163"/>
        <n v="229.00763359999999"/>
        <n v="259.80392160000002"/>
        <n v="288.71391080000001"/>
        <n v="146.19883039999999"/>
        <n v="228.516694"/>
        <n v="173.3196159"/>
        <n v="139.79591840000001"/>
        <n v="85.38681948"/>
        <n v="174.31767339999999"/>
        <n v="66.899360090000002"/>
        <n v="79.529737209999993"/>
        <n v="109.6153846"/>
        <n v="147.65395889999999"/>
        <n v="32.2418136"/>
        <n v="192.30769230000001"/>
        <n v="104.5883941"/>
        <n v="255.17751480000001"/>
        <n v="14.28571429"/>
        <n v="178.86178860000001"/>
        <n v="82.947845799999996"/>
        <n v="141.5797317"/>
        <n v="16.666666670000001"/>
        <n v="76.511627910000001"/>
        <n v="120.7386364"/>
        <n v="118.68686870000001"/>
        <n v="83.333333330000002"/>
        <n v="49.40312213"/>
        <n v="121.5277778"/>
        <n v="163.19444440000001"/>
        <n v="181.59203980000001"/>
        <n v="61.382113820000001"/>
        <n v="87.149532710000003"/>
        <n v="187.5"/>
        <n v="84.382871539999996"/>
        <n v="80.098582870000001"/>
        <n v="85.689802909999997"/>
        <n v="73.520249219999997"/>
        <n v="165.11867910000001"/>
        <n v="36.94581281"/>
        <n v="45.23809524"/>
        <n v="167.4705252"/>
        <n v="115.31531529999999"/>
        <n v="100.30441399999999"/>
        <n v="110.6500692"/>
        <n v="87.719298249999994"/>
        <n v="113.8983051"/>
        <n v="93.302891930000001"/>
        <n v="126.68827659999999"/>
        <n v="92.586206899999993"/>
        <n v="154.7138047"/>
        <n v="132.97872340000001"/>
        <n v="89.05349794"/>
        <n v="74.850299399999997"/>
        <n v="130.47759719999999"/>
        <n v="159.77421269999999"/>
        <n v="78.171091450000006"/>
        <n v="130.0132802"/>
        <n v="199.40688019999999"/>
        <n v="17.854001759999999"/>
        <n v="53.652392949999999"/>
        <n v="61.301140169999996"/>
        <n v="148.1203008"/>
        <n v="179.1478697"/>
        <n v="32.703488370000002"/>
        <n v="74.879227049999997"/>
        <n v="250"/>
        <n v="193.09941520000001"/>
        <n v="153.20388349999999"/>
        <n v="58.565153729999999"/>
        <n v="21.64502165"/>
        <n v="216.02373890000001"/>
        <n v="175.74649600000001"/>
        <n v="170.72649569999999"/>
        <n v="172.0450281"/>
        <n v="112.2222222"/>
        <n v="75.087719300000003"/>
        <n v="114.0703518"/>
        <n v="50.877192979999997"/>
        <n v="269.02059689999999"/>
        <n v="156.6091954"/>
        <n v="64.432763910000006"/>
        <n v="177.2793054"/>
        <n v="148.76449819999999"/>
        <n v="98.195329090000001"/>
        <n v="41.279669759999997"/>
        <n v="71.530758230000004"/>
        <n v="109.3874304"/>
        <n v="290.78014180000002"/>
        <n v="119.3693694"/>
        <n v="89.838909540000003"/>
        <n v="82.321899740000006"/>
        <n v="85.386943360000004"/>
        <n v="152.21783049999999"/>
        <n v="90.416666669999998"/>
        <n v="135.26336950000001"/>
        <n v="54.533060669999998"/>
        <n v="103.4433286"/>
        <n v="139.0177353"/>
        <n v="124.93354600000001"/>
        <n v="80.882352940000004"/>
        <n v="78.656462590000004"/>
        <n v="103.79061369999999"/>
        <n v="222.107438"/>
        <n v="112.8472222"/>
        <n v="228.17460320000001"/>
        <n v="54.945054949999999"/>
        <n v="123.5632184"/>
        <n v="75.757575759999995"/>
        <n v="444.44444440000001"/>
        <n v="57.831325300000003"/>
        <n v="129.84433709999999"/>
        <n v="64.102564099999995"/>
        <n v="125"/>
        <n v="17.87994891"/>
        <n v="53.24074074"/>
        <n v="137.74509800000001"/>
        <n v="159.32475880000001"/>
        <n v="186.5"/>
        <n v="177.2367873"/>
        <n v="25.665399239999999"/>
        <n v="68.64035088"/>
        <n v="94.786729859999994"/>
        <n v="283.30319470000001"/>
        <n v="149.6138996"/>
        <n v="38.247566059999997"/>
        <n v="41.841004179999999"/>
        <n v="100.16025639999999"/>
        <n v="172.10144930000001"/>
        <n v="81.212121210000006"/>
        <n v="88.127090300000006"/>
        <n v="120.7333333"/>
        <n v="120.2538631"/>
        <n v="74.174174170000001"/>
        <n v="112.00585649999999"/>
        <n v="201.63564579999999"/>
        <n v="101.0752688"/>
        <n v="117.2529313"/>
        <n v="127.45726500000001"/>
        <n v="74.328358210000005"/>
        <n v="93.506493509999999"/>
        <n v="122.01453789999999"/>
        <n v="95.656894679999994"/>
        <n v="56.19946092"/>
        <n v="52.67423015"/>
        <n v="245.32710280000001"/>
        <n v="91.332263240000003"/>
        <n v="53.333333330000002"/>
        <n v="88.366890380000001"/>
        <n v="66.971080670000006"/>
        <n v="76.866096870000007"/>
        <n v="28.84615385"/>
        <n v="125.68807339999999"/>
        <n v="63.236245949999997"/>
        <n v="318.40796019999999"/>
        <n v="162.89855069999999"/>
        <n v="181.17647059999999"/>
        <n v="164.20361249999999"/>
        <n v="199.0049751"/>
        <n v="120"/>
        <n v="69.764011800000006"/>
        <n v="200.20020020000001"/>
        <n v="169.3766938"/>
        <n v="120.3883495"/>
        <n v="117.1225937"/>
        <n v="260.67323479999999"/>
        <n v="68.238213400000006"/>
        <n v="38.167938929999998"/>
        <n v="79.534662870000005"/>
        <n v="99.466278509999995"/>
        <n v="120.4819277"/>
        <n v="217.5992348"/>
        <n v="161.18421050000001"/>
        <n v="161.8556701"/>
        <n v="98.987538939999993"/>
        <n v="74.703760950000003"/>
        <n v="27.434842249999999"/>
        <n v="270.93596059999999"/>
        <n v="223.364486"/>
        <n v="123.25949369999999"/>
        <n v="11.66666667"/>
        <n v="65.149051490000005"/>
        <n v="131.0126582"/>
        <n v="101.4492754"/>
        <n v="120.73849269999999"/>
        <n v="94.444444439999998"/>
        <n v="127.31829569999999"/>
        <n v="101.59010600000001"/>
        <n v="76.183844010000001"/>
        <n v="244.2094663"/>
        <n v="41.240045510000002"/>
        <n v="240.35420619999999"/>
        <n v="204.04663919999999"/>
        <n v="37.5"/>
        <n v="135.92233010000001"/>
        <n v="67.296678119999996"/>
        <n v="65.714285709999999"/>
        <n v="1428.5714290000001"/>
        <n v="110.70110699999999"/>
        <n v="93.723494489999993"/>
        <n v="96.551724140000005"/>
        <n v="178.57142859999999"/>
        <n v="87.118644070000002"/>
        <n v="101.4227642"/>
        <n v="85.250162439999997"/>
        <n v="96.590909089999997"/>
        <n v="82.735042739999997"/>
        <n v="116.66666669999999"/>
        <n v="100.28653300000001"/>
        <n v="144.3847073"/>
        <n v="115.30898879999999"/>
        <n v="18.777484609999998"/>
        <n v="141.85185190000001"/>
        <n v="151.1888112"/>
        <n v="153.33333329999999"/>
        <n v="112.2556788"/>
        <n v="127.388535"/>
        <n v="159.17312659999999"/>
        <n v="62.5"/>
        <n v="102.8806584"/>
        <n v="39.051094890000002"/>
        <n v="252.47175139999999"/>
        <n v="29.33057281"/>
        <n v="124.5210728"/>
        <n v="269.60784310000003"/>
        <n v="145.71949000000001"/>
        <n v="69.387755100000007"/>
        <n v="33.112582779999997"/>
        <n v="32.835820900000002"/>
        <n v="80.543209880000006"/>
        <n v="84.68634686"/>
        <n v="145.67307690000001"/>
        <n v="163.10794780000001"/>
        <n v="17.355371900000002"/>
        <n v="75.016307889999993"/>
        <n v="136.04536490000001"/>
        <n v="38.915470489999997"/>
        <n v="235.99067600000001"/>
        <n v="173.2597055"/>
        <n v="236.02033410000001"/>
        <n v="44.424778760000002"/>
        <n v="104.7747748"/>
        <n v="151.8602885"/>
        <n v="80.872483220000007"/>
        <n v="156.57453939999999"/>
        <n v="106.17913830000001"/>
        <n v="141.97530860000001"/>
        <n v="130.7949232"/>
        <n v="213.6752137"/>
        <n v="106.7261905"/>
        <n v="67.307692309999993"/>
        <n v="72.274143300000006"/>
        <n v="164.16040100000001"/>
        <n v="100.6791171"/>
        <n v="40.867093109999999"/>
        <n v="71.794871790000002"/>
        <n v="42.608695650000001"/>
        <n v="62.222222219999999"/>
        <n v="176.28205130000001"/>
        <n v="215.1860289"/>
        <n v="50.56320401"/>
        <n v="53.061224490000001"/>
        <n v="225.49019609999999"/>
        <n v="43.942247330000001"/>
        <n v="57.26027397"/>
        <n v="159.68992249999999"/>
        <n v="217.26495729999999"/>
        <n v="125.39447730000001"/>
        <n v="102.5963149"/>
        <n v="19.23076923"/>
        <n v="156.35838150000001"/>
        <n v="135.9670782"/>
        <n v="132.6839827"/>
        <n v="137.86114699999999"/>
        <n v="83.621683970000007"/>
        <n v="129.7169811"/>
        <n v="86.111111109999996"/>
        <n v="85.134250159999993"/>
        <n v="169.46191469999999"/>
        <n v="313.11637080000003"/>
        <n v="114.77987419999999"/>
        <n v="81.716417910000004"/>
        <n v="96.428571430000005"/>
        <n v="84.876543209999994"/>
        <n v="101.8518519"/>
        <n v="57.142857139999997"/>
        <n v="117.87678769999999"/>
        <n v="32.91457286"/>
        <n v="129.13385830000001"/>
        <n v="128.35820899999999"/>
        <n v="160.79418340000001"/>
        <n v="231.21387279999999"/>
        <n v="158.06451609999999"/>
        <n v="116.12200439999999"/>
        <n v="98.139287609999997"/>
        <n v="159.14134110000001"/>
        <n v="138.51351349999999"/>
        <n v="109.36132979999999"/>
        <n v="109.8804501"/>
        <n v="200.42194090000001"/>
        <n v="103.9735099"/>
        <n v="152.2435897"/>
        <n v="125.49019610000001"/>
        <n v="112.20373170000001"/>
        <n v="47.40484429"/>
        <n v="43.661971829999999"/>
        <n v="41.489361700000003"/>
        <n v="36.619718310000003"/>
        <n v="184.71872379999999"/>
        <n v="68.655692729999998"/>
        <n v="50.804597700000002"/>
        <n v="259.63149079999999"/>
        <n v="110.54852320000001"/>
        <n v="84.946236560000003"/>
        <n v="167.09237970000001"/>
        <n v="287.63440859999997"/>
        <n v="202.04342270000001"/>
        <n v="71.614583330000002"/>
        <n v="73.863636360000001"/>
        <n v="59.748427669999998"/>
        <n v="441.17647060000002"/>
        <n v="150.408998"/>
        <n v="59.375"/>
        <n v="60.258249640000003"/>
        <n v="61.500615009999997"/>
        <n v="89.035614249999995"/>
        <n v="143.7793427"/>
        <n v="124.66870539999999"/>
        <n v="50.156739809999998"/>
        <n v="158.12672180000001"/>
        <n v="204.46096650000001"/>
        <n v="53.946621239999999"/>
        <n v="110.3603604"/>
        <n v="129.87012989999999"/>
        <n v="112.3569794"/>
        <n v="200.38986349999999"/>
        <n v="26.041666670000001"/>
        <n v="9.0140845069999997"/>
        <n v="61.099137929999998"/>
        <n v="8.7804878049999999"/>
        <n v="66.462167690000001"/>
        <n v="90.909090910000003"/>
        <n v="88.911704310000005"/>
        <n v="137.41134750000001"/>
        <n v="114.17721520000001"/>
        <n v="142.27642280000001"/>
        <n v="169.4915254"/>
        <n v="49.415992809999999"/>
        <n v="7500"/>
        <n v="110.3286385"/>
        <n v="182.3176823"/>
        <n v="210.71234369999999"/>
        <n v="117.9586563"/>
        <n v="68.181818179999993"/>
        <n v="33.812949639999999"/>
        <n v="143.3430515"/>
        <n v="132.42382900000001"/>
        <n v="131.54305199999999"/>
        <n v="56.870229010000003"/>
        <n v="171.45738779999999"/>
        <n v="31.230283910000001"/>
        <n v="203.11630500000001"/>
        <n v="205.55555559999999"/>
        <n v="98.457222999999999"/>
        <n v="8.1699346409999993"/>
        <n v="79.487179490000003"/>
        <n v="117.2707889"/>
        <n v="158.68011770000001"/>
        <n v="159.0163934"/>
        <n v="88.481338480000005"/>
        <n v="74.257425740000002"/>
        <n v="203.32895310000001"/>
        <n v="61.728395059999997"/>
        <n v="95.741556529999997"/>
        <n v="102.82258059999999"/>
        <n v="141.5929204"/>
        <n v="203.18930040000001"/>
        <n v="126.0504202"/>
        <n v="86.964980539999999"/>
        <n v="86.41975309"/>
        <n v="107.2685185"/>
        <n v="106.5155807"/>
        <n v="224.8462485"/>
        <n v="238.09523809999999"/>
        <n v="71.383647800000006"/>
        <n v="70.833333330000002"/>
        <n v="110.65292100000001"/>
        <n v="67.460317459999999"/>
        <n v="341.2698413"/>
        <n v="116.88668869999999"/>
        <n v="102.31958760000001"/>
        <n v="17.12230216"/>
        <n v="12.5"/>
        <n v="65.992865640000005"/>
        <n v="80.995136549999998"/>
        <n v="34.235171700000002"/>
        <n v="70.144462279999999"/>
        <n v="108.0314961"/>
        <n v="241.36716000000001"/>
        <n v="43.066322139999997"/>
        <n v="30.864197529999998"/>
        <n v="134.71177940000001"/>
        <n v="124.1340148"/>
        <n v="173.20736429999999"/>
        <n v="126.8292683"/>
        <n v="110.0375738"/>
        <n v="117.6844784"/>
        <n v="201.2658228"/>
        <n v="174.23124229999999"/>
        <n v="19.102196750000001"/>
        <n v="80.733944949999994"/>
        <n v="127.5331936"/>
        <n v="207.75941230000001"/>
        <n v="114.1885326"/>
        <n v="80.930232559999993"/>
        <n v="124.2307692"/>
        <n v="137.04166670000001"/>
        <n v="87.145969500000007"/>
        <n v="112.5"/>
        <n v="96.730462520000003"/>
        <n v="34.285714290000001"/>
        <n v="33.472367050000003"/>
        <n v="88.833746899999994"/>
        <n v="56.15384615"/>
        <n v="245.34686970000001"/>
        <n v="155.91085269999999"/>
        <n v="83.942558750000003"/>
        <n v="239.5360565"/>
        <n v="38.503850389999997"/>
        <n v="165.04854370000001"/>
        <n v="225.22522520000001"/>
        <n v="118.09978769999999"/>
        <n v="107.4122807"/>
        <n v="15.15151515"/>
        <n v="64.959568730000001"/>
        <n v="167.40521910000001"/>
        <n v="119.047619"/>
        <n v="118.5941043"/>
        <n v="63.75"/>
        <n v="123.5222425"/>
        <n v="80"/>
        <n v="97.833333330000002"/>
        <n v="27.201565559999999"/>
        <n v="35.919540230000003"/>
        <n v="27.254901960000002"/>
        <n v="106.9321534"/>
        <n v="104.8"/>
        <n v="95.804195800000002"/>
        <n v="222.6107226"/>
        <n v="75.38461538"/>
        <n v="77.519379839999999"/>
        <n v="38.240917779999997"/>
        <n v="159.1511936"/>
        <n v="160.2747909"/>
        <n v="155.9792028"/>
        <n v="37.083811709999999"/>
        <n v="168.91891889999999"/>
        <n v="79.249448119999997"/>
        <n v="139.88764040000001"/>
        <n v="117.4214976"/>
        <n v="109.59470640000001"/>
        <n v="11.82565202"/>
        <n v="41.480562450000001"/>
        <n v="182.43879469999999"/>
        <n v="111.90786610000001"/>
        <n v="18.33030853"/>
        <n v="126.10364680000001"/>
        <n v="178.46058350000001"/>
        <n v="146.08233730000001"/>
        <n v="38.496376810000001"/>
        <n v="140.6557377"/>
        <n v="140.61779619999999"/>
        <n v="48.898678410000002"/>
        <n v="172.41379309999999"/>
        <n v="123.04921969999999"/>
        <n v="84.203102959999995"/>
        <n v="252.9732679"/>
        <n v="37.147102529999998"/>
        <n v="114.1552511"/>
        <n v="78.034682079999996"/>
        <n v="150.75376879999999"/>
        <n v="206.21931259999999"/>
        <n v="97.543859650000002"/>
        <n v="68.906115420000006"/>
        <n v="112.5912409"/>
        <n v="200.82226439999999"/>
        <n v="100.5025126"/>
        <n v="191.54929580000001"/>
        <n v="157.94436590000001"/>
        <n v="72.368421049999995"/>
        <n v="14.545454550000001"/>
        <n v="89.820359280000005"/>
        <n v="276.31133670000003"/>
        <n v="151.5151515"/>
        <n v="121.0235131"/>
        <n v="41.439205960000002"/>
        <n v="169.1919192"/>
        <n v="76"/>
        <n v="32.128514060000001"/>
        <n v="52.066115699999997"/>
        <n v="105.07246379999999"/>
        <n v="152.80135820000001"/>
        <n v="175.9506173"/>
        <n v="286.04651159999997"/>
        <n v="86.744315029999996"/>
        <n v="29.677419350000001"/>
        <n v="23.705324579999999"/>
        <n v="98.102564099999995"/>
        <n v="48.566308239999998"/>
        <n v="159.66329970000001"/>
        <n v="113.2897603"/>
        <n v="243.18996419999999"/>
        <n v="162.88759690000001"/>
        <n v="80.971659919999993"/>
        <n v="245.9016393"/>
        <n v="142.4501425"/>
        <n v="140.35087720000001"/>
        <n v="53.125"/>
        <n v="139.9216524"/>
        <n v="148.00175669999999"/>
        <n v="114.978903"/>
        <n v="247.8017586"/>
        <n v="140.32334760000001"/>
        <n v="116.8379834"/>
        <n v="150.07923930000001"/>
        <n v="143.2686655"/>
        <n v="104.7529706"/>
        <n v="65.233644859999998"/>
        <n v="163.10077519999999"/>
        <n v="130.952381"/>
        <n v="150.61728400000001"/>
        <n v="195.02205420000001"/>
        <n v="139.4781145"/>
        <n v="68.529411760000002"/>
        <n v="45.475216009999997"/>
        <n v="108.1730769"/>
        <n v="102.8277635"/>
        <n v="141.6206262"/>
        <n v="185.44474389999999"/>
        <n v="180.98958329999999"/>
        <n v="47.244094490000002"/>
        <n v="92.592592589999995"/>
        <n v="146.74384950000001"/>
        <n v="167.26943940000001"/>
        <n v="85.05747126"/>
        <n v="44.396551719999998"/>
        <n v="160.91097310000001"/>
        <n v="42.285714290000001"/>
        <n v="11.97916667"/>
        <n v="191.98837689999999"/>
        <n v="130.8539945"/>
        <n v="96.470588239999998"/>
        <n v="148.96373059999999"/>
        <n v="82.40626288"/>
        <n v="67.647058819999998"/>
        <n v="526.31578950000005"/>
        <n v="21.47001934"/>
        <n v="56.122448980000001"/>
        <n v="131.6518299"/>
        <n v="122.07432059999999"/>
        <n v="250.65913370000001"/>
        <n v="34.364261169999999"/>
        <n v="169.86301370000001"/>
        <n v="193.34398300000001"/>
        <n v="81.647058819999998"/>
        <n v="106.8181818"/>
        <n v="105.0572519"/>
        <n v="161.32621270000001"/>
        <n v="187.7349159"/>
        <n v="143.6084142"/>
        <n v="49.039548019999998"/>
        <n v="73.191489360000006"/>
        <n v="145.5141477"/>
        <n v="53.191489359999998"/>
        <n v="120.952381"/>
        <n v="80.858676209999999"/>
        <n v="195.65217390000001"/>
        <n v="32.051282049999998"/>
        <n v="56.216931219999999"/>
        <n v="93.129770989999997"/>
        <n v="182.9190567"/>
        <n v="59.296908090000002"/>
        <n v="1250"/>
        <n v="74.193548390000004"/>
        <n v="75.488342790000004"/>
        <n v="50.539083560000002"/>
        <n v="204.64601769999999"/>
        <n v="24.280701749999999"/>
        <n v="218.21305839999999"/>
        <n v="103.0927835"/>
        <n v="88.075880760000004"/>
        <n v="197.48427670000001"/>
        <n v="89.929328620000007"/>
        <n v="370.37037040000001"/>
        <n v="82.633420819999998"/>
        <n v="95.418419819999997"/>
        <n v="71.321321319999996"/>
        <n v="51.255411260000002"/>
        <n v="103.6036036"/>
        <n v="94.32176656"/>
        <n v="180.9015421"/>
        <n v="162.77939749999999"/>
        <n v="238.3647799"/>
        <n v="225.93097180000001"/>
        <n v="190.0584795"/>
        <n v="44.378698219999997"/>
        <n v="198.54620980000001"/>
        <n v="123.21660180000001"/>
        <n v="59.5959596"/>
        <n v="179.16666670000001"/>
        <n v="37.73584906"/>
        <n v="54.045307440000002"/>
        <n v="158.2045622"/>
        <n v="103.626943"/>
        <n v="152.38095240000001"/>
        <n v="89.420654909999996"/>
        <n v="185.9114016"/>
        <n v="57.291666669999998"/>
        <n v="80.645161290000004"/>
        <n v="189.1447368"/>
        <n v="133.02421430000001"/>
        <n v="67.204301079999993"/>
        <n v="230.65476190000001"/>
        <n v="83.029566630000005"/>
        <n v="82.402977140000004"/>
        <n v="293.80341879999997"/>
        <n v="136.9198312"/>
        <n v="120.8651399"/>
        <n v="59.52380952"/>
        <n v="53.820598009999998"/>
        <n v="67.086834730000007"/>
        <n v="95.525114160000001"/>
        <n v="69.269521409999996"/>
        <n v="127.68817199999999"/>
        <n v="36.363636360000001"/>
        <n v="322.147651"/>
        <n v="88.862559239999996"/>
        <n v="62.977957709999998"/>
        <n v="46.064139939999997"/>
        <n v="39.795918370000003"/>
        <n v="382.0439351"/>
        <n v="96.825396830000003"/>
        <n v="41.891891889999997"/>
        <n v="195.7070707"/>
        <n v="156.402737"/>
        <n v="197.27891159999999"/>
        <n v="197.54768390000001"/>
        <n v="54.429429429999999"/>
        <n v="45.106382979999999"/>
        <n v="46.680216799999997"/>
        <n v="111.61695450000001"/>
        <n v="57.575757580000001"/>
        <n v="136.53483990000001"/>
        <n v="258.21596240000002"/>
        <n v="113.6858476"/>
        <n v="115.4658982"/>
        <n v="165.06410260000001"/>
        <n v="53.0224525"/>
        <n v="119.2133132"/>
        <n v="220.58823530000001"/>
        <n v="144.02173909999999"/>
        <n v="135.1470588"/>
        <n v="79.283489099999997"/>
        <n v="163.9667705"/>
        <n v="20.06125574"/>
        <n v="120.3361345"/>
        <n v="79.235796879999995"/>
        <n v="149.5215311"/>
        <n v="171.55297530000001"/>
        <n v="124.6349206"/>
        <n v="204.7289504"/>
        <n v="138.2765531"/>
        <n v="192.03431370000001"/>
        <n v="45.977011490000002"/>
        <n v="104.88400489999999"/>
        <n v="144.49427009999999"/>
        <n v="171.36640560000001"/>
        <n v="82.362728790000006"/>
        <n v="158.38206629999999"/>
        <n v="44.117647060000003"/>
        <n v="54.25496132"/>
        <n v="54.691075509999997"/>
        <n v="147.60837069999999"/>
        <n v="28.248587570000002"/>
        <n v="89.573820400000002"/>
        <n v="102.79965"/>
        <n v="38.651102459999997"/>
        <n v="81.405312769999995"/>
        <n v="35.233918129999999"/>
        <n v="117.1974522"/>
        <n v="38.596491229999998"/>
        <n v="89.928057550000005"/>
        <n v="28.24427481"/>
        <n v="48.140900199999997"/>
        <n v="114.5772595"/>
        <n v="165.3846154"/>
        <n v="112.0448179"/>
        <n v="66.216216220000007"/>
        <n v="205.4794521"/>
        <n v="24.09638554"/>
        <n v="1666.666667"/>
        <n v="204.45118869999999"/>
        <n v="113.4010643"/>
        <n v="184.99308439999999"/>
        <n v="82.271762210000006"/>
        <n v="225.16339869999999"/>
        <n v="140.26974949999999"/>
        <n v="230.07246380000001"/>
        <n v="30.626057530000001"/>
        <n v="58.455392809999999"/>
        <n v="227.5114155"/>
        <n v="173.6894164"/>
        <n v="127.31481479999999"/>
        <n v="34.639016900000001"/>
        <n v="103.5196687"/>
        <n v="79.280821919999994"/>
        <n v="33.60433604"/>
        <n v="108.50694439999999"/>
        <n v="31.091370560000001"/>
        <n v="37.716262980000003"/>
        <n v="105.0583658"/>
        <n v="104.6875"/>
        <n v="110.88709679999999"/>
        <n v="94.26523297"/>
        <n v="252.2349936"/>
        <n v="67.289719629999993"/>
        <n v="102.3573201"/>
        <n v="214.6464646"/>
        <n v="70.821529749999996"/>
        <n v="141.92139739999999"/>
        <n v="156.7724868"/>
        <n v="118.65639710000001"/>
        <n v="126.1234568"/>
        <n v="23.176550779999999"/>
        <n v="99.299065420000005"/>
        <n v="181.2767781"/>
        <n v="25.575447570000001"/>
        <n v="208.08323329999999"/>
        <n v="173.88978059999999"/>
        <n v="50.890207719999999"/>
        <n v="297.61904759999999"/>
        <n v="61.813186809999998"/>
        <n v="102.108678"/>
        <n v="72.916666669999998"/>
        <n v="95.417451349999993"/>
        <n v="23.569794049999999"/>
        <n v="23.67816092"/>
        <n v="23.556581990000002"/>
        <n v="435.2441614"/>
        <n v="180.67846610000001"/>
        <n v="91.562685680000001"/>
        <n v="217.46694500000001"/>
        <n v="122.4581725"/>
        <n v="167.26094000000001"/>
        <n v="193.96551719999999"/>
        <n v="82.202556540000003"/>
        <n v="73.717948719999995"/>
        <n v="255.6534508"/>
        <n v="25.521526850000001"/>
        <n v="65.011820330000006"/>
        <n v="28.752260400000001"/>
        <n v="38.108484009999998"/>
        <n v="505.20833329999999"/>
        <n v="38.591916560000001"/>
        <n v="57.567567570000001"/>
        <n v="92.112838229999994"/>
        <n v="233.85864369999999"/>
        <n v="61.781609199999998"/>
        <n v="150.17667839999999"/>
        <n v="161.11111109999999"/>
        <n v="134.96376810000001"/>
        <n v="138.88888890000001"/>
        <n v="59.21052632"/>
        <n v="197.04975780000001"/>
        <n v="195.50021839999999"/>
        <n v="458.97435899999999"/>
        <n v="141.9475655"/>
        <n v="161.17969819999999"/>
        <n v="134.49612400000001"/>
        <n v="205.22317190000001"/>
        <n v="37.037037040000001"/>
        <n v="101.7902813"/>
        <n v="103.6330609"/>
        <n v="89.667896679999998"/>
        <n v="138.2585752"/>
        <n v="71.25"/>
        <n v="188.17005549999999"/>
        <n v="108.6350975"/>
        <n v="109.70370370000001"/>
        <n v="188.172043"/>
        <n v="189.84812149999999"/>
        <n v="187.2964169"/>
        <n v="155.5099247"/>
      </sharedItems>
    </cacheField>
    <cacheField name="維修時間" numFmtId="0">
      <sharedItems containsSemiMixedTypes="0" containsString="0" containsNumber="1" minValue="0" maxValue="12.76"/>
    </cacheField>
    <cacheField name="怠工時間" numFmtId="0">
      <sharedItems containsSemiMixedTypes="0" containsString="0" containsNumber="1" minValue="0" maxValue="11.13"/>
    </cacheField>
    <cacheField name="上班時間" numFmtId="0">
      <sharedItems containsSemiMixedTypes="0" containsString="0" containsNumber="1" minValue="0" maxValue="13.54"/>
    </cacheField>
    <cacheField name="生產率" numFmtId="0">
      <sharedItems containsSemiMixedTypes="0" containsString="0" containsNumber="1" minValue="0" maxValue="99.83"/>
    </cacheField>
    <cacheField name="利用率" numFmtId="0">
      <sharedItems containsSemiMixedTypes="0" containsString="0" containsNumber="1" minValue="0" maxValue="261.76"/>
    </cacheField>
    <cacheField name="數據日期_2" numFmtId="14">
      <sharedItems containsSemiMixedTypes="0" containsNonDate="0" containsDate="1" containsString="0" minDate="2024-01-01T00:00:00" maxDate="2024-04-01T00:00:00" count="91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</sharedItems>
      <fieldGroup par="14" base="10">
        <rangePr groupBy="days" startDate="2024-01-01T00:00:00" endDate="2024-04-01T00:00:00"/>
        <groupItems count="368">
          <s v="&lt;2024/1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4/4/1"/>
        </groupItems>
      </fieldGroup>
    </cacheField>
    <cacheField name="FRU" numFmtId="0">
      <sharedItems containsSemiMixedTypes="0" containsString="0" containsNumber="1" minValue="0" maxValue="330"/>
    </cacheField>
    <cacheField name="組別" numFmtId="0">
      <sharedItems count="7">
        <s v="噴漆維修組"/>
        <s v="鈑金維修組"/>
        <s v="快速保養團隊A"/>
        <s v="查修團隊B"/>
        <s v="查修團隊A"/>
        <s v="快速保養團隊B"/>
        <s v="無效數據"/>
      </sharedItems>
    </cacheField>
    <cacheField name="MU" numFmtId="0">
      <sharedItems containsSemiMixedTypes="0" containsString="0" containsNumber="1" minValue="0" maxValue="2.617177914110429"/>
    </cacheField>
    <cacheField name="月" numFmtId="0" databaseField="0">
      <fieldGroup base="10">
        <rangePr groupBy="months" startDate="2024-01-01T00:00:00" endDate="2024-04-01T00:00:00"/>
        <groupItems count="14">
          <s v="&lt;2024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4/4/1"/>
        </groupItems>
      </fieldGroup>
    </cacheField>
  </cacheFields>
  <extLst>
    <ext xmlns:x14="http://schemas.microsoft.com/office/spreadsheetml/2009/9/main" uri="{725AE2AE-9491-48be-B2B4-4EB974FC3084}">
      <x14:pivotCacheDefinition pivotCacheId="13035648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34">
  <r>
    <x v="0"/>
    <x v="0"/>
    <n v="0"/>
    <n v="0"/>
    <x v="0"/>
    <n v="0"/>
    <n v="0"/>
    <n v="0"/>
    <n v="0"/>
    <n v="0"/>
    <x v="0"/>
    <n v="0"/>
    <x v="0"/>
    <n v="0"/>
  </r>
  <r>
    <x v="0"/>
    <x v="1"/>
    <n v="0"/>
    <n v="0"/>
    <x v="0"/>
    <n v="0"/>
    <n v="0"/>
    <n v="0"/>
    <n v="0"/>
    <n v="0"/>
    <x v="0"/>
    <n v="0"/>
    <x v="0"/>
    <n v="0"/>
  </r>
  <r>
    <x v="0"/>
    <x v="2"/>
    <n v="0"/>
    <n v="0"/>
    <x v="0"/>
    <n v="0"/>
    <n v="0"/>
    <n v="0"/>
    <n v="0"/>
    <n v="0"/>
    <x v="0"/>
    <n v="0"/>
    <x v="0"/>
    <n v="0"/>
  </r>
  <r>
    <x v="0"/>
    <x v="3"/>
    <n v="0"/>
    <n v="0"/>
    <x v="0"/>
    <n v="0"/>
    <n v="0"/>
    <n v="0"/>
    <n v="0"/>
    <n v="0"/>
    <x v="0"/>
    <n v="0"/>
    <x v="0"/>
    <n v="0"/>
  </r>
  <r>
    <x v="0"/>
    <x v="4"/>
    <n v="0"/>
    <n v="0"/>
    <x v="0"/>
    <n v="0"/>
    <n v="0"/>
    <n v="0"/>
    <n v="0"/>
    <n v="0"/>
    <x v="0"/>
    <n v="0"/>
    <x v="0"/>
    <n v="0"/>
  </r>
  <r>
    <x v="0"/>
    <x v="5"/>
    <n v="0"/>
    <n v="0"/>
    <x v="0"/>
    <n v="0"/>
    <n v="0"/>
    <n v="0"/>
    <n v="0"/>
    <n v="0"/>
    <x v="0"/>
    <n v="0"/>
    <x v="0"/>
    <n v="0"/>
  </r>
  <r>
    <x v="0"/>
    <x v="6"/>
    <n v="0"/>
    <n v="0"/>
    <x v="0"/>
    <n v="0"/>
    <n v="0"/>
    <n v="0"/>
    <n v="0"/>
    <n v="0"/>
    <x v="0"/>
    <n v="0"/>
    <x v="0"/>
    <n v="0"/>
  </r>
  <r>
    <x v="0"/>
    <x v="7"/>
    <n v="0"/>
    <n v="0"/>
    <x v="0"/>
    <n v="0"/>
    <n v="0"/>
    <n v="0"/>
    <n v="0"/>
    <n v="0"/>
    <x v="0"/>
    <n v="0"/>
    <x v="0"/>
    <n v="0"/>
  </r>
  <r>
    <x v="0"/>
    <x v="8"/>
    <n v="0"/>
    <n v="0"/>
    <x v="0"/>
    <n v="0"/>
    <n v="0"/>
    <n v="0"/>
    <n v="0"/>
    <n v="0"/>
    <x v="0"/>
    <n v="0"/>
    <x v="0"/>
    <n v="0"/>
  </r>
  <r>
    <x v="1"/>
    <x v="9"/>
    <n v="0"/>
    <n v="0"/>
    <x v="0"/>
    <n v="0"/>
    <n v="0"/>
    <n v="0"/>
    <n v="0"/>
    <n v="0"/>
    <x v="0"/>
    <n v="0"/>
    <x v="1"/>
    <n v="0"/>
  </r>
  <r>
    <x v="1"/>
    <x v="10"/>
    <n v="0"/>
    <n v="0"/>
    <x v="0"/>
    <n v="0"/>
    <n v="0"/>
    <n v="0"/>
    <n v="0"/>
    <n v="0"/>
    <x v="0"/>
    <n v="0"/>
    <x v="1"/>
    <n v="0"/>
  </r>
  <r>
    <x v="1"/>
    <x v="11"/>
    <n v="0"/>
    <n v="0"/>
    <x v="0"/>
    <n v="0"/>
    <n v="0"/>
    <n v="0"/>
    <n v="0"/>
    <n v="0"/>
    <x v="0"/>
    <n v="0"/>
    <x v="1"/>
    <n v="0"/>
  </r>
  <r>
    <x v="1"/>
    <x v="12"/>
    <n v="0"/>
    <n v="0"/>
    <x v="0"/>
    <n v="0"/>
    <n v="0"/>
    <n v="0"/>
    <n v="0"/>
    <n v="0"/>
    <x v="0"/>
    <n v="0"/>
    <x v="1"/>
    <n v="0"/>
  </r>
  <r>
    <x v="1"/>
    <x v="13"/>
    <n v="0"/>
    <n v="0"/>
    <x v="0"/>
    <n v="0"/>
    <n v="0"/>
    <n v="0"/>
    <n v="0"/>
    <n v="0"/>
    <x v="0"/>
    <n v="0"/>
    <x v="1"/>
    <n v="0"/>
  </r>
  <r>
    <x v="2"/>
    <x v="14"/>
    <n v="0"/>
    <n v="0"/>
    <x v="0"/>
    <n v="0"/>
    <n v="0"/>
    <n v="0"/>
    <n v="0"/>
    <n v="0"/>
    <x v="0"/>
    <n v="0"/>
    <x v="2"/>
    <n v="0"/>
  </r>
  <r>
    <x v="2"/>
    <x v="15"/>
    <n v="0"/>
    <n v="0"/>
    <x v="0"/>
    <n v="0"/>
    <n v="0"/>
    <n v="0"/>
    <n v="0"/>
    <n v="0"/>
    <x v="0"/>
    <n v="0"/>
    <x v="3"/>
    <n v="0"/>
  </r>
  <r>
    <x v="2"/>
    <x v="16"/>
    <n v="1.99"/>
    <n v="1.44"/>
    <x v="1"/>
    <n v="1.89"/>
    <n v="6.48"/>
    <n v="8.3699999999999992"/>
    <n v="22.58"/>
    <n v="23.82"/>
    <x v="0"/>
    <n v="23.880000000000003"/>
    <x v="4"/>
    <n v="0.23775388291517327"/>
  </r>
  <r>
    <x v="2"/>
    <x v="17"/>
    <n v="0"/>
    <n v="0"/>
    <x v="0"/>
    <n v="0"/>
    <n v="0"/>
    <n v="0"/>
    <n v="0"/>
    <n v="0"/>
    <x v="0"/>
    <n v="0"/>
    <x v="3"/>
    <n v="0"/>
  </r>
  <r>
    <x v="2"/>
    <x v="18"/>
    <n v="1.2"/>
    <n v="1.7"/>
    <x v="2"/>
    <n v="3.59"/>
    <n v="4.75"/>
    <n v="8.34"/>
    <n v="43.05"/>
    <n v="14.43"/>
    <x v="0"/>
    <n v="14.4"/>
    <x v="3"/>
    <n v="0.14388489208633093"/>
  </r>
  <r>
    <x v="2"/>
    <x v="19"/>
    <n v="0"/>
    <n v="0"/>
    <x v="0"/>
    <n v="0"/>
    <n v="0"/>
    <n v="0"/>
    <n v="0"/>
    <n v="0"/>
    <x v="0"/>
    <n v="0"/>
    <x v="2"/>
    <n v="0"/>
  </r>
  <r>
    <x v="2"/>
    <x v="20"/>
    <n v="0"/>
    <n v="0"/>
    <x v="0"/>
    <n v="0"/>
    <n v="0"/>
    <n v="0"/>
    <n v="0"/>
    <n v="0"/>
    <x v="0"/>
    <n v="0"/>
    <x v="5"/>
    <n v="0"/>
  </r>
  <r>
    <x v="2"/>
    <x v="21"/>
    <n v="1.5"/>
    <n v="1.55"/>
    <x v="3"/>
    <n v="1.98"/>
    <n v="6.38"/>
    <n v="8.36"/>
    <n v="23.68"/>
    <n v="17.940000000000001"/>
    <x v="0"/>
    <n v="18"/>
    <x v="2"/>
    <n v="0.17942583732057418"/>
  </r>
  <r>
    <x v="2"/>
    <x v="22"/>
    <n v="0"/>
    <n v="0"/>
    <x v="0"/>
    <n v="0"/>
    <n v="0"/>
    <n v="0"/>
    <n v="0"/>
    <n v="0"/>
    <x v="0"/>
    <n v="0"/>
    <x v="4"/>
    <n v="0"/>
  </r>
  <r>
    <x v="2"/>
    <x v="23"/>
    <n v="0"/>
    <n v="0"/>
    <x v="0"/>
    <n v="0"/>
    <n v="0"/>
    <n v="0"/>
    <n v="0"/>
    <n v="0"/>
    <x v="0"/>
    <n v="0"/>
    <x v="3"/>
    <n v="0"/>
  </r>
  <r>
    <x v="2"/>
    <x v="24"/>
    <n v="0"/>
    <n v="0"/>
    <x v="0"/>
    <n v="0"/>
    <n v="0"/>
    <n v="0"/>
    <n v="0"/>
    <n v="0"/>
    <x v="0"/>
    <n v="0"/>
    <x v="5"/>
    <n v="0"/>
  </r>
  <r>
    <x v="2"/>
    <x v="25"/>
    <n v="1"/>
    <n v="1.53"/>
    <x v="4"/>
    <n v="1.98"/>
    <n v="6.37"/>
    <n v="8.35"/>
    <n v="23.71"/>
    <n v="11.98"/>
    <x v="0"/>
    <n v="12"/>
    <x v="2"/>
    <n v="0.11976047904191617"/>
  </r>
  <r>
    <x v="2"/>
    <x v="26"/>
    <n v="0"/>
    <n v="0"/>
    <x v="0"/>
    <n v="0"/>
    <n v="0"/>
    <n v="0"/>
    <n v="0"/>
    <n v="0"/>
    <x v="0"/>
    <n v="0"/>
    <x v="3"/>
    <n v="0"/>
  </r>
  <r>
    <x v="2"/>
    <x v="27"/>
    <n v="0"/>
    <n v="0"/>
    <x v="0"/>
    <n v="0"/>
    <n v="0"/>
    <n v="0"/>
    <n v="0"/>
    <n v="0"/>
    <x v="0"/>
    <n v="0"/>
    <x v="5"/>
    <n v="0"/>
  </r>
  <r>
    <x v="2"/>
    <x v="28"/>
    <n v="0"/>
    <n v="0"/>
    <x v="0"/>
    <n v="0"/>
    <n v="0"/>
    <n v="0"/>
    <n v="0"/>
    <n v="0"/>
    <x v="0"/>
    <n v="0"/>
    <x v="2"/>
    <n v="0"/>
  </r>
  <r>
    <x v="2"/>
    <x v="29"/>
    <n v="0"/>
    <n v="0"/>
    <x v="0"/>
    <n v="0"/>
    <n v="0"/>
    <n v="0"/>
    <n v="0"/>
    <n v="0"/>
    <x v="0"/>
    <n v="0"/>
    <x v="5"/>
    <n v="0"/>
  </r>
  <r>
    <x v="2"/>
    <x v="30"/>
    <n v="0"/>
    <n v="0"/>
    <x v="0"/>
    <n v="0"/>
    <n v="0"/>
    <n v="0"/>
    <n v="0"/>
    <n v="0"/>
    <x v="0"/>
    <n v="0"/>
    <x v="5"/>
    <n v="0"/>
  </r>
  <r>
    <x v="2"/>
    <x v="31"/>
    <n v="0"/>
    <n v="0"/>
    <x v="0"/>
    <n v="0"/>
    <n v="0"/>
    <n v="0"/>
    <n v="0"/>
    <n v="0"/>
    <x v="0"/>
    <n v="0"/>
    <x v="2"/>
    <n v="0"/>
  </r>
  <r>
    <x v="2"/>
    <x v="32"/>
    <n v="0"/>
    <n v="0"/>
    <x v="0"/>
    <n v="0"/>
    <n v="0"/>
    <n v="0"/>
    <n v="0"/>
    <n v="0"/>
    <x v="0"/>
    <n v="0"/>
    <x v="3"/>
    <n v="0"/>
  </r>
  <r>
    <x v="2"/>
    <x v="33"/>
    <n v="0"/>
    <n v="0"/>
    <x v="0"/>
    <n v="0"/>
    <n v="0"/>
    <n v="0"/>
    <n v="0"/>
    <n v="0"/>
    <x v="0"/>
    <n v="0"/>
    <x v="3"/>
    <n v="0"/>
  </r>
  <r>
    <x v="2"/>
    <x v="34"/>
    <n v="0"/>
    <n v="0"/>
    <x v="0"/>
    <n v="0"/>
    <n v="0"/>
    <n v="0"/>
    <n v="0"/>
    <n v="0"/>
    <x v="0"/>
    <n v="0"/>
    <x v="4"/>
    <n v="0"/>
  </r>
  <r>
    <x v="2"/>
    <x v="35"/>
    <n v="0"/>
    <n v="0"/>
    <x v="0"/>
    <n v="0"/>
    <n v="0"/>
    <n v="0"/>
    <n v="0"/>
    <n v="0"/>
    <x v="0"/>
    <n v="0"/>
    <x v="2"/>
    <n v="0"/>
  </r>
  <r>
    <x v="2"/>
    <x v="36"/>
    <n v="0"/>
    <n v="0"/>
    <x v="0"/>
    <n v="0"/>
    <n v="0"/>
    <n v="0"/>
    <n v="0"/>
    <n v="0"/>
    <x v="0"/>
    <n v="0"/>
    <x v="4"/>
    <n v="0"/>
  </r>
  <r>
    <x v="2"/>
    <x v="37"/>
    <n v="0"/>
    <n v="0"/>
    <x v="0"/>
    <n v="0"/>
    <n v="0"/>
    <n v="0"/>
    <n v="0"/>
    <n v="0"/>
    <x v="0"/>
    <n v="0"/>
    <x v="4"/>
    <n v="0"/>
  </r>
  <r>
    <x v="2"/>
    <x v="38"/>
    <n v="1.58"/>
    <n v="1.53"/>
    <x v="5"/>
    <n v="1.98"/>
    <n v="6.37"/>
    <n v="8.35"/>
    <n v="23.71"/>
    <n v="18.96"/>
    <x v="0"/>
    <n v="18.96"/>
    <x v="2"/>
    <n v="0.18922155688622755"/>
  </r>
  <r>
    <x v="2"/>
    <x v="39"/>
    <n v="0"/>
    <n v="0"/>
    <x v="0"/>
    <n v="0"/>
    <n v="0"/>
    <n v="0"/>
    <n v="0"/>
    <n v="0"/>
    <x v="0"/>
    <n v="0"/>
    <x v="2"/>
    <n v="0"/>
  </r>
  <r>
    <x v="2"/>
    <x v="40"/>
    <n v="0"/>
    <n v="0"/>
    <x v="0"/>
    <n v="0"/>
    <n v="0"/>
    <n v="0"/>
    <n v="0"/>
    <n v="0"/>
    <x v="0"/>
    <n v="0"/>
    <x v="3"/>
    <n v="0"/>
  </r>
  <r>
    <x v="2"/>
    <x v="41"/>
    <n v="0"/>
    <n v="0"/>
    <x v="0"/>
    <n v="0"/>
    <n v="0"/>
    <n v="0"/>
    <n v="0"/>
    <n v="0"/>
    <x v="0"/>
    <n v="0"/>
    <x v="5"/>
    <n v="0"/>
  </r>
  <r>
    <x v="2"/>
    <x v="42"/>
    <n v="0"/>
    <n v="0"/>
    <x v="0"/>
    <n v="0"/>
    <n v="0"/>
    <n v="0"/>
    <n v="0"/>
    <n v="0"/>
    <x v="0"/>
    <n v="0"/>
    <x v="2"/>
    <n v="0"/>
  </r>
  <r>
    <x v="2"/>
    <x v="43"/>
    <n v="0"/>
    <n v="0"/>
    <x v="0"/>
    <n v="0"/>
    <n v="0"/>
    <n v="0"/>
    <n v="0"/>
    <n v="0"/>
    <x v="0"/>
    <n v="0"/>
    <x v="3"/>
    <n v="0"/>
  </r>
  <r>
    <x v="2"/>
    <x v="44"/>
    <n v="0.7"/>
    <n v="1.68"/>
    <x v="6"/>
    <n v="3.57"/>
    <n v="4.7699999999999996"/>
    <n v="8.34"/>
    <n v="42.81"/>
    <n v="8.43"/>
    <x v="0"/>
    <n v="8.4"/>
    <x v="3"/>
    <n v="8.3932853717026371E-2"/>
  </r>
  <r>
    <x v="2"/>
    <x v="45"/>
    <n v="0"/>
    <n v="0"/>
    <x v="0"/>
    <n v="0"/>
    <n v="0"/>
    <n v="0"/>
    <n v="0"/>
    <n v="0"/>
    <x v="0"/>
    <n v="0"/>
    <x v="4"/>
    <n v="0"/>
  </r>
  <r>
    <x v="2"/>
    <x v="46"/>
    <n v="1.58"/>
    <n v="1.43"/>
    <x v="7"/>
    <n v="1.86"/>
    <n v="6.49"/>
    <n v="8.35"/>
    <n v="22.28"/>
    <n v="19"/>
    <x v="0"/>
    <n v="18.96"/>
    <x v="4"/>
    <n v="0.18922155688622755"/>
  </r>
  <r>
    <x v="2"/>
    <x v="47"/>
    <n v="0"/>
    <n v="0"/>
    <x v="0"/>
    <n v="0"/>
    <n v="0"/>
    <n v="0"/>
    <n v="0"/>
    <n v="0"/>
    <x v="0"/>
    <n v="0"/>
    <x v="5"/>
    <n v="0"/>
  </r>
  <r>
    <x v="2"/>
    <x v="48"/>
    <n v="0"/>
    <n v="0"/>
    <x v="0"/>
    <n v="0"/>
    <n v="0"/>
    <n v="0"/>
    <n v="0"/>
    <n v="0"/>
    <x v="0"/>
    <n v="0"/>
    <x v="6"/>
    <n v="0"/>
  </r>
  <r>
    <x v="2"/>
    <x v="49"/>
    <n v="0"/>
    <n v="0"/>
    <x v="0"/>
    <n v="0"/>
    <n v="0"/>
    <n v="0"/>
    <n v="0"/>
    <n v="0"/>
    <x v="0"/>
    <n v="0"/>
    <x v="3"/>
    <n v="0"/>
  </r>
  <r>
    <x v="2"/>
    <x v="50"/>
    <n v="0"/>
    <n v="0"/>
    <x v="0"/>
    <n v="0"/>
    <n v="0"/>
    <n v="0"/>
    <n v="0"/>
    <n v="0"/>
    <x v="0"/>
    <n v="0"/>
    <x v="4"/>
    <n v="0"/>
  </r>
  <r>
    <x v="0"/>
    <x v="0"/>
    <n v="0"/>
    <n v="0"/>
    <x v="0"/>
    <n v="7.23"/>
    <n v="0.85"/>
    <n v="8.08"/>
    <n v="89.48"/>
    <n v="0"/>
    <x v="1"/>
    <n v="0"/>
    <x v="0"/>
    <n v="0"/>
  </r>
  <r>
    <x v="0"/>
    <x v="1"/>
    <n v="0"/>
    <n v="0"/>
    <x v="0"/>
    <n v="7.35"/>
    <n v="0.63"/>
    <n v="7.98"/>
    <n v="92.11"/>
    <n v="0"/>
    <x v="1"/>
    <n v="0"/>
    <x v="0"/>
    <n v="0"/>
  </r>
  <r>
    <x v="0"/>
    <x v="2"/>
    <n v="0"/>
    <n v="0"/>
    <x v="0"/>
    <n v="7.35"/>
    <n v="0.63"/>
    <n v="7.98"/>
    <n v="92.11"/>
    <n v="0"/>
    <x v="1"/>
    <n v="0"/>
    <x v="0"/>
    <n v="0"/>
  </r>
  <r>
    <x v="0"/>
    <x v="3"/>
    <n v="0"/>
    <n v="0"/>
    <x v="0"/>
    <n v="7.2"/>
    <n v="0.87"/>
    <n v="8.07"/>
    <n v="89.22"/>
    <n v="0"/>
    <x v="1"/>
    <n v="0"/>
    <x v="0"/>
    <n v="0"/>
  </r>
  <r>
    <x v="0"/>
    <x v="4"/>
    <n v="0"/>
    <n v="0"/>
    <x v="0"/>
    <n v="0"/>
    <n v="0"/>
    <n v="0"/>
    <n v="0"/>
    <n v="0"/>
    <x v="1"/>
    <n v="0"/>
    <x v="0"/>
    <n v="0"/>
  </r>
  <r>
    <x v="0"/>
    <x v="5"/>
    <n v="0"/>
    <n v="0"/>
    <x v="0"/>
    <n v="7.35"/>
    <n v="0.63"/>
    <n v="7.98"/>
    <n v="92.11"/>
    <n v="0"/>
    <x v="1"/>
    <n v="0"/>
    <x v="0"/>
    <n v="0"/>
  </r>
  <r>
    <x v="0"/>
    <x v="6"/>
    <n v="0"/>
    <n v="0"/>
    <x v="0"/>
    <n v="6.62"/>
    <n v="1.4"/>
    <n v="8.02"/>
    <n v="82.54"/>
    <n v="0"/>
    <x v="1"/>
    <n v="0"/>
    <x v="0"/>
    <n v="0"/>
  </r>
  <r>
    <x v="0"/>
    <x v="7"/>
    <n v="0"/>
    <n v="0"/>
    <x v="0"/>
    <n v="0"/>
    <n v="0"/>
    <n v="0"/>
    <n v="0"/>
    <n v="0"/>
    <x v="1"/>
    <n v="0"/>
    <x v="0"/>
    <n v="0"/>
  </r>
  <r>
    <x v="0"/>
    <x v="8"/>
    <n v="0.25"/>
    <n v="1.23"/>
    <x v="8"/>
    <n v="4.5999999999999996"/>
    <n v="3.48"/>
    <n v="8.08"/>
    <n v="56.93"/>
    <n v="3.09"/>
    <x v="1"/>
    <n v="3"/>
    <x v="0"/>
    <n v="3.094059405940594E-2"/>
  </r>
  <r>
    <x v="1"/>
    <x v="9"/>
    <n v="0"/>
    <n v="0"/>
    <x v="0"/>
    <n v="5.9"/>
    <n v="1.76"/>
    <n v="7.66"/>
    <n v="77.02"/>
    <n v="0"/>
    <x v="1"/>
    <n v="0"/>
    <x v="1"/>
    <n v="0"/>
  </r>
  <r>
    <x v="1"/>
    <x v="10"/>
    <n v="0.19"/>
    <n v="0.06"/>
    <x v="9"/>
    <n v="5.79"/>
    <n v="2.3199999999999998"/>
    <n v="8.11"/>
    <n v="71.39"/>
    <n v="2.34"/>
    <x v="1"/>
    <n v="2.2800000000000002"/>
    <x v="1"/>
    <n v="2.3427866831072751E-2"/>
  </r>
  <r>
    <x v="1"/>
    <x v="11"/>
    <n v="0"/>
    <n v="0"/>
    <x v="0"/>
    <n v="6.67"/>
    <n v="1.41"/>
    <n v="8.08"/>
    <n v="82.55"/>
    <n v="0"/>
    <x v="1"/>
    <n v="0"/>
    <x v="1"/>
    <n v="0"/>
  </r>
  <r>
    <x v="1"/>
    <x v="12"/>
    <n v="0.04"/>
    <n v="0.47"/>
    <x v="10"/>
    <n v="3.84"/>
    <n v="4.24"/>
    <n v="8.08"/>
    <n v="47.52"/>
    <n v="0.5"/>
    <x v="1"/>
    <n v="0.48"/>
    <x v="1"/>
    <n v="4.9504950495049506E-3"/>
  </r>
  <r>
    <x v="1"/>
    <x v="13"/>
    <n v="0.04"/>
    <n v="0.45"/>
    <x v="11"/>
    <n v="3.84"/>
    <n v="4.24"/>
    <n v="8.08"/>
    <n v="47.52"/>
    <n v="0.5"/>
    <x v="1"/>
    <n v="0.48"/>
    <x v="1"/>
    <n v="4.9504950495049506E-3"/>
  </r>
  <r>
    <x v="2"/>
    <x v="14"/>
    <n v="10.1"/>
    <n v="6.7"/>
    <x v="12"/>
    <n v="7.91"/>
    <n v="1.28"/>
    <n v="9.19"/>
    <n v="86.07"/>
    <n v="109.97"/>
    <x v="1"/>
    <n v="121.2"/>
    <x v="2"/>
    <n v="1.0990206746463547"/>
  </r>
  <r>
    <x v="2"/>
    <x v="15"/>
    <n v="0.75"/>
    <n v="2.1"/>
    <x v="13"/>
    <n v="7.87"/>
    <n v="1.29"/>
    <n v="9.16"/>
    <n v="85.92"/>
    <n v="8.19"/>
    <x v="1"/>
    <n v="9"/>
    <x v="3"/>
    <n v="8.1877729257641918E-2"/>
  </r>
  <r>
    <x v="2"/>
    <x v="16"/>
    <n v="2.85"/>
    <n v="3.77"/>
    <x v="14"/>
    <n v="7.51"/>
    <n v="0.56000000000000005"/>
    <n v="8.07"/>
    <n v="93.06"/>
    <n v="35.4"/>
    <x v="1"/>
    <n v="34.200000000000003"/>
    <x v="4"/>
    <n v="0.35315985130111521"/>
  </r>
  <r>
    <x v="2"/>
    <x v="17"/>
    <n v="0"/>
    <n v="0"/>
    <x v="0"/>
    <n v="0"/>
    <n v="9.64"/>
    <n v="9.64"/>
    <n v="0"/>
    <n v="0"/>
    <x v="1"/>
    <n v="0"/>
    <x v="3"/>
    <n v="0"/>
  </r>
  <r>
    <x v="2"/>
    <x v="18"/>
    <n v="0.63"/>
    <n v="1.89"/>
    <x v="15"/>
    <n v="5.28"/>
    <n v="3.68"/>
    <n v="8.9600000000000009"/>
    <n v="58.93"/>
    <n v="7.03"/>
    <x v="1"/>
    <n v="7.56"/>
    <x v="3"/>
    <n v="7.03125E-2"/>
  </r>
  <r>
    <x v="2"/>
    <x v="19"/>
    <n v="0"/>
    <n v="0"/>
    <x v="0"/>
    <n v="0"/>
    <n v="0"/>
    <n v="0"/>
    <n v="0"/>
    <n v="0"/>
    <x v="1"/>
    <n v="0"/>
    <x v="2"/>
    <n v="0"/>
  </r>
  <r>
    <x v="2"/>
    <x v="21"/>
    <n v="9.8699999999999992"/>
    <n v="6.15"/>
    <x v="16"/>
    <n v="6.74"/>
    <n v="1.17"/>
    <n v="7.91"/>
    <n v="85.21"/>
    <n v="124.78"/>
    <x v="1"/>
    <n v="118.43999999999998"/>
    <x v="2"/>
    <n v="1.247787610619469"/>
  </r>
  <r>
    <x v="2"/>
    <x v="22"/>
    <n v="3.58"/>
    <n v="7.38"/>
    <x v="17"/>
    <n v="4.21"/>
    <n v="3.69"/>
    <n v="7.9"/>
    <n v="53.29"/>
    <n v="45.36"/>
    <x v="1"/>
    <n v="42.96"/>
    <x v="4"/>
    <n v="0.45316455696202529"/>
  </r>
  <r>
    <x v="2"/>
    <x v="23"/>
    <n v="0"/>
    <n v="0"/>
    <x v="0"/>
    <n v="8.2100000000000009"/>
    <n v="1.42"/>
    <n v="9.6300000000000008"/>
    <n v="85.25"/>
    <n v="0"/>
    <x v="1"/>
    <n v="0"/>
    <x v="3"/>
    <n v="0"/>
  </r>
  <r>
    <x v="2"/>
    <x v="24"/>
    <n v="5.1100000000000003"/>
    <n v="4.53"/>
    <x v="18"/>
    <n v="9.84"/>
    <n v="0.2"/>
    <n v="10.039999999999999"/>
    <n v="98.01"/>
    <n v="50.9"/>
    <x v="1"/>
    <n v="61.320000000000007"/>
    <x v="5"/>
    <n v="0.50896414342629492"/>
  </r>
  <r>
    <x v="2"/>
    <x v="25"/>
    <n v="9.75"/>
    <n v="6.41"/>
    <x v="19"/>
    <n v="7.38"/>
    <n v="0.79"/>
    <n v="8.17"/>
    <n v="90.33"/>
    <n v="119.34"/>
    <x v="1"/>
    <n v="117"/>
    <x v="2"/>
    <n v="1.193390452876377"/>
  </r>
  <r>
    <x v="2"/>
    <x v="26"/>
    <n v="0"/>
    <n v="0"/>
    <x v="0"/>
    <n v="6.64"/>
    <n v="2.37"/>
    <n v="9.01"/>
    <n v="73.7"/>
    <n v="0"/>
    <x v="1"/>
    <n v="0"/>
    <x v="3"/>
    <n v="0"/>
  </r>
  <r>
    <x v="2"/>
    <x v="27"/>
    <n v="4.8499999999999996"/>
    <n v="3.81"/>
    <x v="20"/>
    <n v="9.8800000000000008"/>
    <n v="0.2"/>
    <n v="10.08"/>
    <n v="98.02"/>
    <n v="48.18"/>
    <x v="1"/>
    <n v="58.2"/>
    <x v="5"/>
    <n v="0.48115079365079361"/>
  </r>
  <r>
    <x v="2"/>
    <x v="28"/>
    <n v="0"/>
    <n v="0"/>
    <x v="0"/>
    <n v="0"/>
    <n v="0"/>
    <n v="0"/>
    <n v="0"/>
    <n v="0"/>
    <x v="1"/>
    <n v="0"/>
    <x v="2"/>
    <n v="0"/>
  </r>
  <r>
    <x v="2"/>
    <x v="29"/>
    <n v="8.25"/>
    <n v="5.28"/>
    <x v="21"/>
    <n v="8.11"/>
    <n v="1.98"/>
    <n v="10.09"/>
    <n v="80.38"/>
    <n v="81.760000000000005"/>
    <x v="1"/>
    <n v="99"/>
    <x v="5"/>
    <n v="0.81764122893954416"/>
  </r>
  <r>
    <x v="2"/>
    <x v="30"/>
    <n v="0"/>
    <n v="0"/>
    <x v="0"/>
    <n v="0"/>
    <n v="0"/>
    <n v="0"/>
    <n v="0"/>
    <n v="0"/>
    <x v="1"/>
    <n v="0"/>
    <x v="5"/>
    <n v="0"/>
  </r>
  <r>
    <x v="2"/>
    <x v="31"/>
    <n v="9.41"/>
    <n v="6.36"/>
    <x v="22"/>
    <n v="6.16"/>
    <n v="1.73"/>
    <n v="7.89"/>
    <n v="78.069999999999993"/>
    <n v="119.35"/>
    <x v="1"/>
    <n v="112.92"/>
    <x v="2"/>
    <n v="1.1926489226869457"/>
  </r>
  <r>
    <x v="2"/>
    <x v="32"/>
    <n v="0"/>
    <n v="0"/>
    <x v="0"/>
    <n v="6.54"/>
    <n v="3.96"/>
    <n v="10.5"/>
    <n v="62.29"/>
    <n v="0"/>
    <x v="1"/>
    <n v="0"/>
    <x v="3"/>
    <n v="0"/>
  </r>
  <r>
    <x v="2"/>
    <x v="33"/>
    <n v="1.78"/>
    <n v="3.9"/>
    <x v="23"/>
    <n v="6.85"/>
    <n v="2.4900000000000002"/>
    <n v="9.34"/>
    <n v="73.34"/>
    <n v="19.059999999999999"/>
    <x v="1"/>
    <n v="21.36"/>
    <x v="3"/>
    <n v="0.19057815845824411"/>
  </r>
  <r>
    <x v="2"/>
    <x v="34"/>
    <n v="3"/>
    <n v="4.0199999999999996"/>
    <x v="24"/>
    <n v="7.44"/>
    <n v="3"/>
    <n v="10.44"/>
    <n v="71.260000000000005"/>
    <n v="28.74"/>
    <x v="1"/>
    <n v="36"/>
    <x v="4"/>
    <n v="0.2873563218390805"/>
  </r>
  <r>
    <x v="2"/>
    <x v="35"/>
    <n v="15.83"/>
    <n v="5.09"/>
    <x v="25"/>
    <n v="10.87"/>
    <n v="0.86"/>
    <n v="11.73"/>
    <n v="92.67"/>
    <n v="134.97999999999999"/>
    <x v="1"/>
    <n v="189.95999999999998"/>
    <x v="2"/>
    <n v="1.3495311167945439"/>
  </r>
  <r>
    <x v="2"/>
    <x v="36"/>
    <n v="0"/>
    <n v="0"/>
    <x v="0"/>
    <n v="0"/>
    <n v="0"/>
    <n v="0"/>
    <n v="0"/>
    <n v="0"/>
    <x v="1"/>
    <n v="0"/>
    <x v="4"/>
    <n v="0"/>
  </r>
  <r>
    <x v="2"/>
    <x v="37"/>
    <n v="2.5"/>
    <n v="2.64"/>
    <x v="26"/>
    <n v="5.89"/>
    <n v="2.0699999999999998"/>
    <n v="7.96"/>
    <n v="73.989999999999995"/>
    <n v="31.41"/>
    <x v="1"/>
    <n v="30"/>
    <x v="4"/>
    <n v="0.314070351758794"/>
  </r>
  <r>
    <x v="2"/>
    <x v="38"/>
    <n v="9"/>
    <n v="7.3"/>
    <x v="27"/>
    <n v="8.25"/>
    <n v="1.71"/>
    <n v="9.9600000000000009"/>
    <n v="82.83"/>
    <n v="90.36"/>
    <x v="1"/>
    <n v="108"/>
    <x v="2"/>
    <n v="0.90361445783132521"/>
  </r>
  <r>
    <x v="2"/>
    <x v="39"/>
    <n v="2.91"/>
    <n v="2.98"/>
    <x v="28"/>
    <n v="4.8600000000000003"/>
    <n v="3.08"/>
    <n v="7.94"/>
    <n v="61.21"/>
    <n v="36.729999999999997"/>
    <x v="1"/>
    <n v="34.92"/>
    <x v="2"/>
    <n v="0.36649874055415615"/>
  </r>
  <r>
    <x v="2"/>
    <x v="41"/>
    <n v="8.99"/>
    <n v="3.41"/>
    <x v="29"/>
    <n v="6.74"/>
    <n v="1.34"/>
    <n v="8.08"/>
    <n v="83.42"/>
    <n v="111.26"/>
    <x v="1"/>
    <n v="107.88"/>
    <x v="5"/>
    <n v="1.1126237623762376"/>
  </r>
  <r>
    <x v="2"/>
    <x v="42"/>
    <n v="5.58"/>
    <n v="4.75"/>
    <x v="30"/>
    <n v="7.6"/>
    <n v="0.3"/>
    <n v="7.9"/>
    <n v="96.2"/>
    <n v="70.680000000000007"/>
    <x v="1"/>
    <n v="66.960000000000008"/>
    <x v="2"/>
    <n v="0.70632911392405062"/>
  </r>
  <r>
    <x v="2"/>
    <x v="43"/>
    <n v="0"/>
    <n v="0"/>
    <x v="0"/>
    <n v="4.43"/>
    <n v="4.55"/>
    <n v="8.98"/>
    <n v="49.33"/>
    <n v="0"/>
    <x v="1"/>
    <n v="0"/>
    <x v="3"/>
    <n v="0"/>
  </r>
  <r>
    <x v="2"/>
    <x v="44"/>
    <n v="2"/>
    <n v="2.67"/>
    <x v="31"/>
    <n v="3.36"/>
    <n v="5.61"/>
    <n v="8.9700000000000006"/>
    <n v="37.46"/>
    <n v="22.3"/>
    <x v="1"/>
    <n v="24"/>
    <x v="3"/>
    <n v="0.22296544035674468"/>
  </r>
  <r>
    <x v="2"/>
    <x v="45"/>
    <n v="0.19"/>
    <n v="0.06"/>
    <x v="9"/>
    <n v="0.71"/>
    <n v="7.23"/>
    <n v="7.94"/>
    <n v="8.94"/>
    <n v="2.39"/>
    <x v="1"/>
    <n v="2.2800000000000002"/>
    <x v="4"/>
    <n v="2.3929471032745592E-2"/>
  </r>
  <r>
    <x v="2"/>
    <x v="46"/>
    <n v="2.5499999999999998"/>
    <n v="2.64"/>
    <x v="32"/>
    <n v="7.49"/>
    <n v="0.55000000000000004"/>
    <n v="8.0399999999999991"/>
    <n v="93.16"/>
    <n v="31.76"/>
    <x v="1"/>
    <n v="30.6"/>
    <x v="4"/>
    <n v="0.31716417910447764"/>
  </r>
  <r>
    <x v="2"/>
    <x v="47"/>
    <n v="11.56"/>
    <n v="5.3"/>
    <x v="33"/>
    <n v="7.38"/>
    <n v="0.71"/>
    <n v="8.09"/>
    <n v="91.22"/>
    <n v="142.88999999999999"/>
    <x v="1"/>
    <n v="138.72"/>
    <x v="5"/>
    <n v="1.4289245982694685"/>
  </r>
  <r>
    <x v="2"/>
    <x v="48"/>
    <n v="0"/>
    <n v="0"/>
    <x v="0"/>
    <n v="0"/>
    <n v="0"/>
    <n v="0"/>
    <n v="0"/>
    <n v="0"/>
    <x v="1"/>
    <n v="0"/>
    <x v="6"/>
    <n v="0"/>
  </r>
  <r>
    <x v="2"/>
    <x v="49"/>
    <n v="0"/>
    <n v="0"/>
    <x v="0"/>
    <n v="6.53"/>
    <n v="2.4500000000000002"/>
    <n v="8.98"/>
    <n v="72.72"/>
    <n v="0"/>
    <x v="1"/>
    <n v="0"/>
    <x v="3"/>
    <n v="0"/>
  </r>
  <r>
    <x v="0"/>
    <x v="0"/>
    <n v="3.35"/>
    <n v="6.84"/>
    <x v="34"/>
    <n v="7.6"/>
    <n v="0.43"/>
    <n v="8.0299999999999994"/>
    <n v="94.65"/>
    <n v="41.72"/>
    <x v="2"/>
    <n v="40.200000000000003"/>
    <x v="0"/>
    <n v="0.4171855541718556"/>
  </r>
  <r>
    <x v="0"/>
    <x v="3"/>
    <n v="2.08"/>
    <n v="3.75"/>
    <x v="35"/>
    <n v="7.6"/>
    <n v="0.43"/>
    <n v="8.0299999999999994"/>
    <n v="94.65"/>
    <n v="25.9"/>
    <x v="2"/>
    <n v="24.96"/>
    <x v="0"/>
    <n v="0.25902864259028646"/>
  </r>
  <r>
    <x v="0"/>
    <x v="7"/>
    <n v="0"/>
    <n v="0"/>
    <x v="0"/>
    <n v="0"/>
    <n v="0"/>
    <n v="0"/>
    <n v="0"/>
    <n v="0"/>
    <x v="2"/>
    <n v="0"/>
    <x v="0"/>
    <n v="0"/>
  </r>
  <r>
    <x v="0"/>
    <x v="8"/>
    <n v="3.08"/>
    <n v="4.3499999999999996"/>
    <x v="36"/>
    <n v="6.67"/>
    <n v="1.37"/>
    <n v="8.0399999999999991"/>
    <n v="82.96"/>
    <n v="38.35"/>
    <x v="2"/>
    <n v="36.96"/>
    <x v="0"/>
    <n v="0.38308457711442789"/>
  </r>
  <r>
    <x v="1"/>
    <x v="9"/>
    <n v="0"/>
    <n v="0"/>
    <x v="0"/>
    <n v="5.93"/>
    <n v="2.13"/>
    <n v="8.06"/>
    <n v="73.569999999999993"/>
    <n v="0"/>
    <x v="2"/>
    <n v="0"/>
    <x v="1"/>
    <n v="0"/>
  </r>
  <r>
    <x v="1"/>
    <x v="11"/>
    <n v="8.64"/>
    <n v="4.96"/>
    <x v="37"/>
    <n v="4.32"/>
    <n v="3.76"/>
    <n v="8.08"/>
    <n v="53.47"/>
    <n v="106.93"/>
    <x v="2"/>
    <n v="103.68000000000002"/>
    <x v="1"/>
    <n v="1.0693069306930694"/>
  </r>
  <r>
    <x v="1"/>
    <x v="13"/>
    <n v="6.18"/>
    <n v="7.77"/>
    <x v="38"/>
    <n v="3.96"/>
    <n v="4.13"/>
    <n v="8.09"/>
    <n v="48.95"/>
    <n v="76.39"/>
    <x v="2"/>
    <n v="74.16"/>
    <x v="1"/>
    <n v="0.76390605686032131"/>
  </r>
  <r>
    <x v="2"/>
    <x v="14"/>
    <n v="12.91"/>
    <n v="8.24"/>
    <x v="39"/>
    <n v="9.77"/>
    <n v="1.37"/>
    <n v="11.14"/>
    <n v="87.7"/>
    <n v="115.95"/>
    <x v="2"/>
    <n v="154.92000000000002"/>
    <x v="2"/>
    <n v="1.1588868940754038"/>
  </r>
  <r>
    <x v="2"/>
    <x v="17"/>
    <n v="0.21"/>
    <n v="1.42"/>
    <x v="40"/>
    <n v="5.58"/>
    <n v="4.08"/>
    <n v="9.66"/>
    <n v="57.76"/>
    <n v="2.17"/>
    <x v="2"/>
    <n v="2.52"/>
    <x v="3"/>
    <n v="2.1739130434782608E-2"/>
  </r>
  <r>
    <x v="2"/>
    <x v="19"/>
    <n v="0"/>
    <n v="0"/>
    <x v="0"/>
    <n v="0"/>
    <n v="0"/>
    <n v="0"/>
    <n v="0"/>
    <n v="0"/>
    <x v="2"/>
    <n v="0"/>
    <x v="2"/>
    <n v="0"/>
  </r>
  <r>
    <x v="2"/>
    <x v="20"/>
    <n v="8.8699999999999992"/>
    <n v="9.6"/>
    <x v="41"/>
    <n v="11.27"/>
    <n v="1.25"/>
    <n v="12.52"/>
    <n v="90.02"/>
    <n v="70.87"/>
    <x v="2"/>
    <n v="106.43999999999998"/>
    <x v="5"/>
    <n v="0.70846645367412142"/>
  </r>
  <r>
    <x v="2"/>
    <x v="21"/>
    <n v="13.75"/>
    <n v="6.06"/>
    <x v="42"/>
    <n v="10.75"/>
    <n v="1.31"/>
    <n v="12.06"/>
    <n v="89.14"/>
    <n v="114.01"/>
    <x v="2"/>
    <n v="165"/>
    <x v="2"/>
    <n v="1.1401326699834162"/>
  </r>
  <r>
    <x v="2"/>
    <x v="23"/>
    <n v="0"/>
    <n v="0"/>
    <x v="0"/>
    <n v="9.3699999999999992"/>
    <n v="0.74"/>
    <n v="10.11"/>
    <n v="92.68"/>
    <n v="0"/>
    <x v="2"/>
    <n v="0"/>
    <x v="3"/>
    <n v="0"/>
  </r>
  <r>
    <x v="2"/>
    <x v="24"/>
    <n v="2.9"/>
    <n v="4.2300000000000004"/>
    <x v="43"/>
    <n v="9.57"/>
    <n v="0.47"/>
    <n v="10.039999999999999"/>
    <n v="95.32"/>
    <n v="28.92"/>
    <x v="2"/>
    <n v="34.799999999999997"/>
    <x v="5"/>
    <n v="0.28884462151394424"/>
  </r>
  <r>
    <x v="2"/>
    <x v="25"/>
    <n v="6.91"/>
    <n v="5"/>
    <x v="44"/>
    <n v="8.81"/>
    <n v="1.62"/>
    <n v="10.43"/>
    <n v="84.47"/>
    <n v="66.319999999999993"/>
    <x v="2"/>
    <n v="82.92"/>
    <x v="2"/>
    <n v="0.66251198465963568"/>
  </r>
  <r>
    <x v="2"/>
    <x v="26"/>
    <n v="2"/>
    <n v="2.4"/>
    <x v="45"/>
    <n v="6.21"/>
    <n v="1.89"/>
    <n v="8.1"/>
    <n v="76.67"/>
    <n v="24.69"/>
    <x v="2"/>
    <n v="24"/>
    <x v="3"/>
    <n v="0.24691358024691359"/>
  </r>
  <r>
    <x v="2"/>
    <x v="27"/>
    <n v="6.73"/>
    <n v="6.23"/>
    <x v="46"/>
    <n v="9.59"/>
    <n v="0.5"/>
    <n v="10.09"/>
    <n v="95.04"/>
    <n v="66.7"/>
    <x v="2"/>
    <n v="80.760000000000005"/>
    <x v="5"/>
    <n v="0.6669970267591675"/>
  </r>
  <r>
    <x v="2"/>
    <x v="28"/>
    <n v="0"/>
    <n v="0"/>
    <x v="0"/>
    <n v="0"/>
    <n v="0"/>
    <n v="0"/>
    <n v="0"/>
    <n v="0"/>
    <x v="2"/>
    <n v="0"/>
    <x v="2"/>
    <n v="0"/>
  </r>
  <r>
    <x v="2"/>
    <x v="29"/>
    <n v="6.18"/>
    <n v="5.61"/>
    <x v="47"/>
    <n v="12.76"/>
    <n v="0.78"/>
    <n v="13.54"/>
    <n v="94.24"/>
    <n v="45.69"/>
    <x v="2"/>
    <n v="74.16"/>
    <x v="5"/>
    <n v="0.45642540620384048"/>
  </r>
  <r>
    <x v="2"/>
    <x v="30"/>
    <n v="0"/>
    <n v="0"/>
    <x v="0"/>
    <n v="0"/>
    <n v="0"/>
    <n v="0"/>
    <n v="0"/>
    <n v="0"/>
    <x v="2"/>
    <n v="0"/>
    <x v="5"/>
    <n v="0"/>
  </r>
  <r>
    <x v="2"/>
    <x v="31"/>
    <n v="1.83"/>
    <n v="2.67"/>
    <x v="48"/>
    <n v="9.67"/>
    <n v="1.31"/>
    <n v="10.98"/>
    <n v="88.07"/>
    <n v="16.7"/>
    <x v="2"/>
    <n v="21.96"/>
    <x v="2"/>
    <n v="0.16666666666666666"/>
  </r>
  <r>
    <x v="2"/>
    <x v="32"/>
    <n v="0.5"/>
    <n v="0.76"/>
    <x v="49"/>
    <n v="7.74"/>
    <n v="2.0299999999999998"/>
    <n v="9.77"/>
    <n v="79.22"/>
    <n v="5.12"/>
    <x v="2"/>
    <n v="6"/>
    <x v="3"/>
    <n v="5.1177072671443197E-2"/>
  </r>
  <r>
    <x v="2"/>
    <x v="33"/>
    <n v="2.72"/>
    <n v="5.81"/>
    <x v="50"/>
    <n v="8.5399999999999991"/>
    <n v="1.56"/>
    <n v="10.1"/>
    <n v="84.55"/>
    <n v="26.93"/>
    <x v="2"/>
    <n v="32.64"/>
    <x v="3"/>
    <n v="0.26930693069306932"/>
  </r>
  <r>
    <x v="2"/>
    <x v="34"/>
    <n v="2.58"/>
    <n v="2.4500000000000002"/>
    <x v="51"/>
    <n v="10.130000000000001"/>
    <n v="1.08"/>
    <n v="11.21"/>
    <n v="90.37"/>
    <n v="23.04"/>
    <x v="2"/>
    <n v="30.96"/>
    <x v="4"/>
    <n v="0.23015165031222121"/>
  </r>
  <r>
    <x v="2"/>
    <x v="36"/>
    <n v="0"/>
    <n v="0"/>
    <x v="0"/>
    <n v="0"/>
    <n v="0"/>
    <n v="0"/>
    <n v="0"/>
    <n v="0"/>
    <x v="2"/>
    <n v="0"/>
    <x v="4"/>
    <n v="0"/>
  </r>
  <r>
    <x v="2"/>
    <x v="37"/>
    <n v="4.33"/>
    <n v="4.8600000000000003"/>
    <x v="52"/>
    <n v="6.7"/>
    <n v="1.7"/>
    <n v="8.4"/>
    <n v="79.760000000000005"/>
    <n v="51.59"/>
    <x v="2"/>
    <n v="51.96"/>
    <x v="4"/>
    <n v="0.51547619047619042"/>
  </r>
  <r>
    <x v="2"/>
    <x v="38"/>
    <n v="22.08"/>
    <n v="7.99"/>
    <x v="53"/>
    <n v="8.08"/>
    <n v="1.04"/>
    <n v="9.1199999999999992"/>
    <n v="88.6"/>
    <n v="242.18"/>
    <x v="2"/>
    <n v="264.95999999999998"/>
    <x v="2"/>
    <n v="2.4210526315789473"/>
  </r>
  <r>
    <x v="2"/>
    <x v="39"/>
    <n v="8.41"/>
    <n v="6.77"/>
    <x v="54"/>
    <n v="6.52"/>
    <n v="1.2"/>
    <n v="7.72"/>
    <n v="84.46"/>
    <n v="108.98"/>
    <x v="2"/>
    <n v="100.92"/>
    <x v="2"/>
    <n v="1.089378238341969"/>
  </r>
  <r>
    <x v="2"/>
    <x v="40"/>
    <n v="2.9"/>
    <n v="5.69"/>
    <x v="55"/>
    <n v="6.86"/>
    <n v="1.27"/>
    <n v="8.1300000000000008"/>
    <n v="84.38"/>
    <n v="35.71"/>
    <x v="2"/>
    <n v="34.799999999999997"/>
    <x v="3"/>
    <n v="0.3567035670356703"/>
  </r>
  <r>
    <x v="2"/>
    <x v="41"/>
    <n v="1"/>
    <n v="0.68"/>
    <x v="56"/>
    <n v="11.83"/>
    <n v="0.6"/>
    <n v="12.43"/>
    <n v="95.17"/>
    <n v="8.0500000000000007"/>
    <x v="2"/>
    <n v="12"/>
    <x v="5"/>
    <n v="8.0450522928399035E-2"/>
  </r>
  <r>
    <x v="2"/>
    <x v="42"/>
    <n v="11"/>
    <n v="6.88"/>
    <x v="57"/>
    <n v="8.23"/>
    <n v="1.33"/>
    <n v="9.56"/>
    <n v="86.09"/>
    <n v="115.06"/>
    <x v="2"/>
    <n v="132"/>
    <x v="2"/>
    <n v="1.1506276150627615"/>
  </r>
  <r>
    <x v="2"/>
    <x v="43"/>
    <n v="2.33"/>
    <n v="0.77"/>
    <x v="58"/>
    <n v="7.29"/>
    <n v="0.8"/>
    <n v="8.09"/>
    <n v="90.11"/>
    <n v="28.84"/>
    <x v="2"/>
    <n v="27.96"/>
    <x v="3"/>
    <n v="0.28800988875154515"/>
  </r>
  <r>
    <x v="2"/>
    <x v="44"/>
    <n v="2.25"/>
    <n v="2.5299999999999998"/>
    <x v="59"/>
    <n v="5.97"/>
    <n v="2.12"/>
    <n v="8.09"/>
    <n v="73.790000000000006"/>
    <n v="27.81"/>
    <x v="2"/>
    <n v="27"/>
    <x v="3"/>
    <n v="0.27812113720642767"/>
  </r>
  <r>
    <x v="2"/>
    <x v="45"/>
    <n v="5.5"/>
    <n v="5.23"/>
    <x v="60"/>
    <n v="3.51"/>
    <n v="4.4000000000000004"/>
    <n v="7.91"/>
    <n v="44.37"/>
    <n v="69.53"/>
    <x v="2"/>
    <n v="66"/>
    <x v="4"/>
    <n v="0.69532237673830588"/>
  </r>
  <r>
    <x v="2"/>
    <x v="47"/>
    <n v="2.91"/>
    <n v="1.38"/>
    <x v="61"/>
    <n v="7.92"/>
    <n v="0.15"/>
    <n v="8.07"/>
    <n v="98.14"/>
    <n v="36.14"/>
    <x v="2"/>
    <n v="34.92"/>
    <x v="5"/>
    <n v="0.36059479553903345"/>
  </r>
  <r>
    <x v="2"/>
    <x v="48"/>
    <n v="0"/>
    <n v="0"/>
    <x v="0"/>
    <n v="0"/>
    <n v="0"/>
    <n v="0"/>
    <n v="0"/>
    <n v="0"/>
    <x v="2"/>
    <n v="0"/>
    <x v="6"/>
    <n v="0"/>
  </r>
  <r>
    <x v="2"/>
    <x v="49"/>
    <n v="8"/>
    <n v="7.8"/>
    <x v="62"/>
    <n v="7.73"/>
    <n v="0.38"/>
    <n v="8.11"/>
    <n v="95.31"/>
    <n v="98.64"/>
    <x v="2"/>
    <n v="96"/>
    <x v="3"/>
    <n v="0.98643649815043166"/>
  </r>
  <r>
    <x v="2"/>
    <x v="50"/>
    <n v="2"/>
    <n v="3.82"/>
    <x v="63"/>
    <n v="7.06"/>
    <n v="0.78"/>
    <n v="7.84"/>
    <n v="90.05"/>
    <n v="25.51"/>
    <x v="2"/>
    <n v="24"/>
    <x v="4"/>
    <n v="0.25510204081632654"/>
  </r>
  <r>
    <x v="0"/>
    <x v="0"/>
    <n v="0"/>
    <n v="0"/>
    <x v="0"/>
    <n v="7.13"/>
    <n v="0.91"/>
    <n v="8.0399999999999991"/>
    <n v="88.68"/>
    <n v="0"/>
    <x v="3"/>
    <n v="0"/>
    <x v="0"/>
    <n v="0"/>
  </r>
  <r>
    <x v="0"/>
    <x v="1"/>
    <n v="0"/>
    <n v="0"/>
    <x v="0"/>
    <n v="7.92"/>
    <n v="0.23"/>
    <n v="8.15"/>
    <n v="97.18"/>
    <n v="0"/>
    <x v="3"/>
    <n v="0"/>
    <x v="0"/>
    <n v="0"/>
  </r>
  <r>
    <x v="0"/>
    <x v="2"/>
    <n v="0"/>
    <n v="0"/>
    <x v="0"/>
    <n v="7.91"/>
    <n v="0.24"/>
    <n v="8.15"/>
    <n v="97.06"/>
    <n v="0"/>
    <x v="3"/>
    <n v="0"/>
    <x v="0"/>
    <n v="0"/>
  </r>
  <r>
    <x v="0"/>
    <x v="3"/>
    <n v="0"/>
    <n v="0"/>
    <x v="0"/>
    <n v="7.01"/>
    <n v="1.01"/>
    <n v="8.02"/>
    <n v="87.41"/>
    <n v="0"/>
    <x v="3"/>
    <n v="0"/>
    <x v="0"/>
    <n v="0"/>
  </r>
  <r>
    <x v="0"/>
    <x v="4"/>
    <n v="1.79"/>
    <n v="4.0199999999999996"/>
    <x v="64"/>
    <n v="7.9"/>
    <n v="0.23"/>
    <n v="8.1300000000000008"/>
    <n v="97.17"/>
    <n v="22.02"/>
    <x v="3"/>
    <n v="21.48"/>
    <x v="0"/>
    <n v="0.22017220172201721"/>
  </r>
  <r>
    <x v="0"/>
    <x v="5"/>
    <n v="0"/>
    <n v="0"/>
    <x v="0"/>
    <n v="7.92"/>
    <n v="0.24"/>
    <n v="8.16"/>
    <n v="97.06"/>
    <n v="0"/>
    <x v="3"/>
    <n v="0"/>
    <x v="0"/>
    <n v="0"/>
  </r>
  <r>
    <x v="0"/>
    <x v="7"/>
    <n v="0"/>
    <n v="0"/>
    <x v="0"/>
    <n v="7.03"/>
    <n v="1"/>
    <n v="8.0299999999999994"/>
    <n v="87.55"/>
    <n v="0"/>
    <x v="3"/>
    <n v="0"/>
    <x v="0"/>
    <n v="0"/>
  </r>
  <r>
    <x v="0"/>
    <x v="8"/>
    <n v="7.58"/>
    <n v="7.57"/>
    <x v="65"/>
    <n v="7.13"/>
    <n v="0.91"/>
    <n v="8.0399999999999991"/>
    <n v="88.68"/>
    <n v="94.32"/>
    <x v="3"/>
    <n v="90.960000000000008"/>
    <x v="0"/>
    <n v="0.94278606965174139"/>
  </r>
  <r>
    <x v="1"/>
    <x v="9"/>
    <n v="3.5"/>
    <n v="2.27"/>
    <x v="66"/>
    <n v="6.53"/>
    <n v="1.56"/>
    <n v="8.09"/>
    <n v="80.72"/>
    <n v="43.26"/>
    <x v="3"/>
    <n v="42"/>
    <x v="1"/>
    <n v="0.43263288009888751"/>
  </r>
  <r>
    <x v="1"/>
    <x v="10"/>
    <n v="8.41"/>
    <n v="7.77"/>
    <x v="67"/>
    <n v="7.73"/>
    <n v="0.7"/>
    <n v="8.43"/>
    <n v="91.7"/>
    <n v="99.84"/>
    <x v="3"/>
    <n v="100.92"/>
    <x v="1"/>
    <n v="0.99762752075919336"/>
  </r>
  <r>
    <x v="1"/>
    <x v="11"/>
    <n v="2.2000000000000002"/>
    <n v="1.23"/>
    <x v="68"/>
    <n v="3.12"/>
    <n v="4.97"/>
    <n v="8.09"/>
    <n v="38.57"/>
    <n v="27.19"/>
    <x v="3"/>
    <n v="26.4"/>
    <x v="1"/>
    <n v="0.27194066749072932"/>
  </r>
  <r>
    <x v="1"/>
    <x v="12"/>
    <n v="5.96"/>
    <n v="3.33"/>
    <x v="69"/>
    <n v="3.81"/>
    <n v="4.2699999999999996"/>
    <n v="8.08"/>
    <n v="47.15"/>
    <n v="73.760000000000005"/>
    <x v="3"/>
    <n v="71.52000000000001"/>
    <x v="1"/>
    <n v="0.73762376237623761"/>
  </r>
  <r>
    <x v="1"/>
    <x v="13"/>
    <n v="0"/>
    <n v="0"/>
    <x v="0"/>
    <n v="3.83"/>
    <n v="4.25"/>
    <n v="8.08"/>
    <n v="47.4"/>
    <n v="0"/>
    <x v="3"/>
    <n v="0"/>
    <x v="1"/>
    <n v="0"/>
  </r>
  <r>
    <x v="2"/>
    <x v="14"/>
    <n v="5.33"/>
    <n v="3.65"/>
    <x v="70"/>
    <n v="8.36"/>
    <n v="0.63"/>
    <n v="8.99"/>
    <n v="92.99"/>
    <n v="59.33"/>
    <x v="3"/>
    <n v="63.96"/>
    <x v="2"/>
    <n v="0.59288097886540603"/>
  </r>
  <r>
    <x v="2"/>
    <x v="15"/>
    <n v="2.33"/>
    <n v="7.34"/>
    <x v="71"/>
    <n v="7.84"/>
    <n v="0.49"/>
    <n v="8.33"/>
    <n v="94.12"/>
    <n v="28.01"/>
    <x v="3"/>
    <n v="27.96"/>
    <x v="3"/>
    <n v="0.27971188475390157"/>
  </r>
  <r>
    <x v="2"/>
    <x v="17"/>
    <n v="0.73"/>
    <n v="1.18"/>
    <x v="72"/>
    <n v="5.8"/>
    <n v="4.1500000000000004"/>
    <n v="9.9499999999999993"/>
    <n v="58.29"/>
    <n v="7.34"/>
    <x v="3"/>
    <n v="8.76"/>
    <x v="3"/>
    <n v="7.3366834170854281E-2"/>
  </r>
  <r>
    <x v="2"/>
    <x v="18"/>
    <n v="1.97"/>
    <n v="0.75"/>
    <x v="73"/>
    <n v="7.28"/>
    <n v="0.81"/>
    <n v="8.09"/>
    <n v="89.99"/>
    <n v="24.35"/>
    <x v="3"/>
    <n v="23.64"/>
    <x v="3"/>
    <n v="0.24351050679851668"/>
  </r>
  <r>
    <x v="2"/>
    <x v="19"/>
    <n v="0"/>
    <n v="0"/>
    <x v="0"/>
    <n v="0"/>
    <n v="0"/>
    <n v="0"/>
    <n v="0"/>
    <n v="0"/>
    <x v="3"/>
    <n v="0"/>
    <x v="2"/>
    <n v="0"/>
  </r>
  <r>
    <x v="2"/>
    <x v="21"/>
    <n v="14.97"/>
    <n v="8.94"/>
    <x v="74"/>
    <n v="9.4600000000000009"/>
    <n v="1.19"/>
    <n v="10.65"/>
    <n v="88.83"/>
    <n v="140.63"/>
    <x v="3"/>
    <n v="179.64000000000001"/>
    <x v="2"/>
    <n v="1.4056338028169013"/>
  </r>
  <r>
    <x v="2"/>
    <x v="22"/>
    <n v="2.5"/>
    <n v="2.2999999999999998"/>
    <x v="75"/>
    <n v="5.46"/>
    <n v="2.73"/>
    <n v="8.19"/>
    <n v="66.67"/>
    <n v="30.53"/>
    <x v="3"/>
    <n v="30"/>
    <x v="4"/>
    <n v="0.30525030525030528"/>
  </r>
  <r>
    <x v="2"/>
    <x v="23"/>
    <n v="1.3"/>
    <n v="0.86"/>
    <x v="76"/>
    <n v="1.1599999999999999"/>
    <n v="8.76"/>
    <n v="9.92"/>
    <n v="11.69"/>
    <n v="13.1"/>
    <x v="3"/>
    <n v="15.6"/>
    <x v="3"/>
    <n v="0.13104838709677419"/>
  </r>
  <r>
    <x v="2"/>
    <x v="27"/>
    <n v="13.87"/>
    <n v="10.74"/>
    <x v="77"/>
    <n v="10.99"/>
    <n v="0.62"/>
    <n v="11.61"/>
    <n v="94.66"/>
    <n v="119.49"/>
    <x v="3"/>
    <n v="166.44"/>
    <x v="5"/>
    <n v="1.194659776055125"/>
  </r>
  <r>
    <x v="2"/>
    <x v="28"/>
    <n v="0"/>
    <n v="0"/>
    <x v="0"/>
    <n v="0"/>
    <n v="0"/>
    <n v="0"/>
    <n v="0"/>
    <n v="0"/>
    <x v="3"/>
    <n v="0"/>
    <x v="2"/>
    <n v="0"/>
  </r>
  <r>
    <x v="2"/>
    <x v="29"/>
    <n v="7.34"/>
    <n v="6.88"/>
    <x v="78"/>
    <n v="12.39"/>
    <n v="0.14000000000000001"/>
    <n v="12.53"/>
    <n v="98.88"/>
    <n v="58.63"/>
    <x v="3"/>
    <n v="88.08"/>
    <x v="5"/>
    <n v="0.58579409417398243"/>
  </r>
  <r>
    <x v="2"/>
    <x v="30"/>
    <n v="0"/>
    <n v="0"/>
    <x v="0"/>
    <n v="0"/>
    <n v="0"/>
    <n v="0"/>
    <n v="0"/>
    <n v="0"/>
    <x v="3"/>
    <n v="0"/>
    <x v="5"/>
    <n v="0"/>
  </r>
  <r>
    <x v="2"/>
    <x v="32"/>
    <n v="0.83"/>
    <n v="2.0499999999999998"/>
    <x v="79"/>
    <n v="4.95"/>
    <n v="4.9800000000000004"/>
    <n v="9.93"/>
    <n v="49.85"/>
    <n v="8.39"/>
    <x v="3"/>
    <n v="9.9599999999999991"/>
    <x v="3"/>
    <n v="8.3585095669687817E-2"/>
  </r>
  <r>
    <x v="2"/>
    <x v="33"/>
    <n v="0"/>
    <n v="0"/>
    <x v="0"/>
    <n v="8.86"/>
    <n v="0.56999999999999995"/>
    <n v="9.43"/>
    <n v="93.96"/>
    <n v="0"/>
    <x v="3"/>
    <n v="0"/>
    <x v="3"/>
    <n v="0"/>
  </r>
  <r>
    <x v="2"/>
    <x v="34"/>
    <n v="5.7"/>
    <n v="7.37"/>
    <x v="80"/>
    <n v="6.54"/>
    <n v="1.48"/>
    <n v="8.02"/>
    <n v="81.55"/>
    <n v="71.069999999999993"/>
    <x v="3"/>
    <n v="68.400000000000006"/>
    <x v="4"/>
    <n v="0.71072319201995016"/>
  </r>
  <r>
    <x v="2"/>
    <x v="36"/>
    <n v="0"/>
    <n v="0"/>
    <x v="0"/>
    <n v="0"/>
    <n v="0"/>
    <n v="0"/>
    <n v="0"/>
    <n v="0"/>
    <x v="3"/>
    <n v="0"/>
    <x v="4"/>
    <n v="0"/>
  </r>
  <r>
    <x v="2"/>
    <x v="37"/>
    <n v="4.41"/>
    <n v="1.08"/>
    <x v="81"/>
    <n v="7.38"/>
    <n v="0.78"/>
    <n v="8.16"/>
    <n v="90.44"/>
    <n v="54.13"/>
    <x v="3"/>
    <n v="52.92"/>
    <x v="4"/>
    <n v="0.5404411764705882"/>
  </r>
  <r>
    <x v="2"/>
    <x v="38"/>
    <n v="22.33"/>
    <n v="8.75"/>
    <x v="82"/>
    <n v="11.34"/>
    <n v="0.4"/>
    <n v="11.74"/>
    <n v="96.59"/>
    <n v="190.23"/>
    <x v="3"/>
    <n v="267.95999999999998"/>
    <x v="2"/>
    <n v="1.9020442930153321"/>
  </r>
  <r>
    <x v="2"/>
    <x v="39"/>
    <n v="13.25"/>
    <n v="7.21"/>
    <x v="83"/>
    <n v="7.92"/>
    <n v="0.27"/>
    <n v="8.19"/>
    <n v="96.7"/>
    <n v="161.78"/>
    <x v="3"/>
    <n v="159"/>
    <x v="2"/>
    <n v="1.6178266178266179"/>
  </r>
  <r>
    <x v="2"/>
    <x v="43"/>
    <n v="5"/>
    <n v="3.74"/>
    <x v="84"/>
    <n v="7.26"/>
    <n v="2.69"/>
    <n v="9.9499999999999993"/>
    <n v="72.959999999999994"/>
    <n v="50.25"/>
    <x v="3"/>
    <n v="60"/>
    <x v="3"/>
    <n v="0.50251256281407042"/>
  </r>
  <r>
    <x v="2"/>
    <x v="44"/>
    <n v="2"/>
    <n v="4.07"/>
    <x v="85"/>
    <n v="3.69"/>
    <n v="4.37"/>
    <n v="8.06"/>
    <n v="45.78"/>
    <n v="24.81"/>
    <x v="3"/>
    <n v="24"/>
    <x v="3"/>
    <n v="0.24813895781637715"/>
  </r>
  <r>
    <x v="2"/>
    <x v="45"/>
    <n v="4.5"/>
    <n v="5.18"/>
    <x v="86"/>
    <n v="5.38"/>
    <n v="2.76"/>
    <n v="8.14"/>
    <n v="66.09"/>
    <n v="55.28"/>
    <x v="3"/>
    <n v="54"/>
    <x v="4"/>
    <n v="0.55282555282555279"/>
  </r>
  <r>
    <x v="2"/>
    <x v="46"/>
    <n v="2.21"/>
    <n v="2.69"/>
    <x v="87"/>
    <n v="8"/>
    <n v="0.22"/>
    <n v="8.2200000000000006"/>
    <n v="97.32"/>
    <n v="26.97"/>
    <x v="3"/>
    <n v="26.52"/>
    <x v="4"/>
    <n v="0.26885644768856443"/>
  </r>
  <r>
    <x v="2"/>
    <x v="48"/>
    <n v="0"/>
    <n v="0"/>
    <x v="0"/>
    <n v="0"/>
    <n v="0"/>
    <n v="0"/>
    <n v="0"/>
    <n v="0"/>
    <x v="3"/>
    <n v="0"/>
    <x v="6"/>
    <n v="0"/>
  </r>
  <r>
    <x v="2"/>
    <x v="49"/>
    <n v="0"/>
    <n v="0"/>
    <x v="0"/>
    <n v="7.63"/>
    <n v="0.28000000000000003"/>
    <n v="7.91"/>
    <n v="96.46"/>
    <n v="0"/>
    <x v="3"/>
    <n v="0"/>
    <x v="3"/>
    <n v="0"/>
  </r>
  <r>
    <x v="2"/>
    <x v="50"/>
    <n v="4.3"/>
    <n v="7.91"/>
    <x v="88"/>
    <n v="9.5500000000000007"/>
    <n v="0.55000000000000004"/>
    <n v="10.1"/>
    <n v="94.55"/>
    <n v="42.61"/>
    <x v="3"/>
    <n v="51.6"/>
    <x v="4"/>
    <n v="0.42574257425742573"/>
  </r>
  <r>
    <x v="0"/>
    <x v="0"/>
    <n v="0"/>
    <n v="0"/>
    <x v="0"/>
    <n v="7.28"/>
    <n v="0.77"/>
    <n v="8.0500000000000007"/>
    <n v="90.43"/>
    <n v="0"/>
    <x v="4"/>
    <n v="0"/>
    <x v="0"/>
    <n v="0"/>
  </r>
  <r>
    <x v="0"/>
    <x v="1"/>
    <n v="0"/>
    <n v="0"/>
    <x v="0"/>
    <n v="7.49"/>
    <n v="0.55000000000000004"/>
    <n v="8.0399999999999991"/>
    <n v="93.16"/>
    <n v="0"/>
    <x v="4"/>
    <n v="0"/>
    <x v="0"/>
    <n v="0"/>
  </r>
  <r>
    <x v="0"/>
    <x v="2"/>
    <n v="0"/>
    <n v="0"/>
    <x v="0"/>
    <n v="7.47"/>
    <n v="0.57999999999999996"/>
    <n v="8.0500000000000007"/>
    <n v="92.8"/>
    <n v="0"/>
    <x v="4"/>
    <n v="0"/>
    <x v="0"/>
    <n v="0"/>
  </r>
  <r>
    <x v="0"/>
    <x v="3"/>
    <n v="1.78"/>
    <n v="3.7"/>
    <x v="89"/>
    <n v="7.26"/>
    <n v="0.77"/>
    <n v="8.0299999999999994"/>
    <n v="90.41"/>
    <n v="22.17"/>
    <x v="4"/>
    <n v="21.36"/>
    <x v="0"/>
    <n v="0.22166874221668745"/>
  </r>
  <r>
    <x v="0"/>
    <x v="4"/>
    <n v="3.71"/>
    <n v="6.22"/>
    <x v="90"/>
    <n v="7.16"/>
    <n v="0.85"/>
    <n v="8.01"/>
    <n v="89.39"/>
    <n v="46.32"/>
    <x v="4"/>
    <n v="44.519999999999996"/>
    <x v="0"/>
    <n v="0.46317103620474409"/>
  </r>
  <r>
    <x v="0"/>
    <x v="5"/>
    <n v="0"/>
    <n v="0"/>
    <x v="0"/>
    <n v="7.49"/>
    <n v="0.56000000000000005"/>
    <n v="8.0500000000000007"/>
    <n v="93.04"/>
    <n v="0"/>
    <x v="4"/>
    <n v="0"/>
    <x v="0"/>
    <n v="0"/>
  </r>
  <r>
    <x v="0"/>
    <x v="6"/>
    <n v="3.71"/>
    <n v="6.22"/>
    <x v="90"/>
    <n v="7.16"/>
    <n v="0.82"/>
    <n v="7.98"/>
    <n v="89.72"/>
    <n v="46.49"/>
    <x v="4"/>
    <n v="44.519999999999996"/>
    <x v="0"/>
    <n v="0.46491228070175433"/>
  </r>
  <r>
    <x v="1"/>
    <x v="10"/>
    <n v="0"/>
    <n v="0"/>
    <x v="0"/>
    <n v="6.96"/>
    <n v="1.1399999999999999"/>
    <n v="8.1"/>
    <n v="85.93"/>
    <n v="0"/>
    <x v="4"/>
    <n v="0"/>
    <x v="1"/>
    <n v="0"/>
  </r>
  <r>
    <x v="1"/>
    <x v="11"/>
    <n v="5.16"/>
    <n v="3.35"/>
    <x v="91"/>
    <n v="6.49"/>
    <n v="1.59"/>
    <n v="8.08"/>
    <n v="80.319999999999993"/>
    <n v="63.94"/>
    <x v="4"/>
    <n v="61.92"/>
    <x v="1"/>
    <n v="0.63861386138613863"/>
  </r>
  <r>
    <x v="1"/>
    <x v="12"/>
    <n v="0"/>
    <n v="0"/>
    <x v="0"/>
    <n v="4.6500000000000004"/>
    <n v="3.4"/>
    <n v="8.0500000000000007"/>
    <n v="57.76"/>
    <n v="0"/>
    <x v="4"/>
    <n v="0"/>
    <x v="1"/>
    <n v="0"/>
  </r>
  <r>
    <x v="1"/>
    <x v="13"/>
    <n v="0"/>
    <n v="0"/>
    <x v="0"/>
    <n v="4.6900000000000004"/>
    <n v="3.39"/>
    <n v="8.08"/>
    <n v="58.04"/>
    <n v="0"/>
    <x v="4"/>
    <n v="0"/>
    <x v="1"/>
    <n v="0"/>
  </r>
  <r>
    <x v="2"/>
    <x v="16"/>
    <n v="1.37"/>
    <n v="1.83"/>
    <x v="92"/>
    <n v="6.41"/>
    <n v="1.48"/>
    <n v="7.89"/>
    <n v="81.239999999999995"/>
    <n v="17.36"/>
    <x v="4"/>
    <n v="16.440000000000001"/>
    <x v="4"/>
    <n v="0.17363751584283907"/>
  </r>
  <r>
    <x v="2"/>
    <x v="17"/>
    <n v="0.93"/>
    <n v="2.0099999999999998"/>
    <x v="93"/>
    <n v="3.15"/>
    <n v="5"/>
    <n v="8.15"/>
    <n v="38.65"/>
    <n v="11.49"/>
    <x v="4"/>
    <n v="11.16"/>
    <x v="3"/>
    <n v="0.11411042944785277"/>
  </r>
  <r>
    <x v="2"/>
    <x v="18"/>
    <n v="2.91"/>
    <n v="7.09"/>
    <x v="94"/>
    <n v="2.6"/>
    <n v="5.55"/>
    <n v="8.15"/>
    <n v="31.9"/>
    <n v="35.79"/>
    <x v="4"/>
    <n v="34.92"/>
    <x v="3"/>
    <n v="0.35705521472392637"/>
  </r>
  <r>
    <x v="2"/>
    <x v="19"/>
    <n v="0"/>
    <n v="0"/>
    <x v="0"/>
    <n v="0"/>
    <n v="0"/>
    <n v="0"/>
    <n v="0"/>
    <n v="0"/>
    <x v="4"/>
    <n v="0"/>
    <x v="2"/>
    <n v="0"/>
  </r>
  <r>
    <x v="2"/>
    <x v="20"/>
    <n v="7.89"/>
    <n v="4.9000000000000004"/>
    <x v="95"/>
    <n v="8.84"/>
    <n v="1.82"/>
    <n v="10.66"/>
    <n v="82.93"/>
    <n v="74.05"/>
    <x v="4"/>
    <n v="94.679999999999993"/>
    <x v="5"/>
    <n v="0.74015009380863039"/>
  </r>
  <r>
    <x v="2"/>
    <x v="22"/>
    <n v="1"/>
    <n v="0.79"/>
    <x v="96"/>
    <n v="8.56"/>
    <n v="1.23"/>
    <n v="9.7899999999999991"/>
    <n v="87.44"/>
    <n v="10.210000000000001"/>
    <x v="4"/>
    <n v="12"/>
    <x v="4"/>
    <n v="0.10214504596527069"/>
  </r>
  <r>
    <x v="2"/>
    <x v="23"/>
    <n v="0.99"/>
    <n v="0.83"/>
    <x v="97"/>
    <n v="3.55"/>
    <n v="4.58"/>
    <n v="8.1300000000000008"/>
    <n v="43.67"/>
    <n v="12.18"/>
    <x v="4"/>
    <n v="11.879999999999999"/>
    <x v="3"/>
    <n v="0.12177121771217711"/>
  </r>
  <r>
    <x v="2"/>
    <x v="25"/>
    <n v="6.83"/>
    <n v="6.03"/>
    <x v="98"/>
    <n v="7.58"/>
    <n v="0.51"/>
    <n v="8.09"/>
    <n v="93.7"/>
    <n v="84.47"/>
    <x v="4"/>
    <n v="81.960000000000008"/>
    <x v="2"/>
    <n v="0.84425216316440055"/>
  </r>
  <r>
    <x v="2"/>
    <x v="26"/>
    <n v="4.83"/>
    <n v="5.84"/>
    <x v="99"/>
    <n v="5.33"/>
    <n v="2.8"/>
    <n v="8.1300000000000008"/>
    <n v="65.56"/>
    <n v="59.45"/>
    <x v="4"/>
    <n v="57.96"/>
    <x v="3"/>
    <n v="0.59409594095940954"/>
  </r>
  <r>
    <x v="2"/>
    <x v="28"/>
    <n v="0"/>
    <n v="0"/>
    <x v="0"/>
    <n v="0"/>
    <n v="0"/>
    <n v="0"/>
    <n v="0"/>
    <n v="0"/>
    <x v="4"/>
    <n v="0"/>
    <x v="2"/>
    <n v="0"/>
  </r>
  <r>
    <x v="2"/>
    <x v="29"/>
    <n v="16.93"/>
    <n v="9.5399999999999991"/>
    <x v="100"/>
    <n v="8.4499999999999993"/>
    <n v="2.2000000000000002"/>
    <n v="10.65"/>
    <n v="79.34"/>
    <n v="159.03"/>
    <x v="4"/>
    <n v="203.16"/>
    <x v="5"/>
    <n v="1.5896713615023474"/>
  </r>
  <r>
    <x v="2"/>
    <x v="30"/>
    <n v="0"/>
    <n v="0"/>
    <x v="0"/>
    <n v="0"/>
    <n v="0"/>
    <n v="0"/>
    <n v="0"/>
    <n v="0"/>
    <x v="4"/>
    <n v="0"/>
    <x v="5"/>
    <n v="0"/>
  </r>
  <r>
    <x v="2"/>
    <x v="31"/>
    <n v="9.75"/>
    <n v="6.62"/>
    <x v="101"/>
    <n v="7.34"/>
    <n v="0.74"/>
    <n v="8.08"/>
    <n v="90.84"/>
    <n v="120.67"/>
    <x v="4"/>
    <n v="117"/>
    <x v="2"/>
    <n v="1.2066831683168318"/>
  </r>
  <r>
    <x v="2"/>
    <x v="32"/>
    <n v="1.26"/>
    <n v="3.14"/>
    <x v="102"/>
    <n v="4.33"/>
    <n v="3.8"/>
    <n v="8.1300000000000008"/>
    <n v="53.26"/>
    <n v="15.58"/>
    <x v="4"/>
    <n v="15.12"/>
    <x v="3"/>
    <n v="0.15498154981549814"/>
  </r>
  <r>
    <x v="2"/>
    <x v="34"/>
    <n v="4.07"/>
    <n v="5.29"/>
    <x v="103"/>
    <n v="4.45"/>
    <n v="3.3"/>
    <n v="7.75"/>
    <n v="57.42"/>
    <n v="52.52"/>
    <x v="4"/>
    <n v="48.84"/>
    <x v="4"/>
    <n v="0.52516129032258063"/>
  </r>
  <r>
    <x v="2"/>
    <x v="35"/>
    <n v="21.5"/>
    <n v="7.06"/>
    <x v="104"/>
    <n v="8.7799999999999994"/>
    <n v="0.47"/>
    <n v="9.25"/>
    <n v="94.92"/>
    <n v="232.43"/>
    <x v="4"/>
    <n v="258"/>
    <x v="2"/>
    <n v="2.3243243243243241"/>
  </r>
  <r>
    <x v="2"/>
    <x v="36"/>
    <n v="1.24"/>
    <n v="1.45"/>
    <x v="105"/>
    <n v="7.16"/>
    <n v="0.69"/>
    <n v="7.85"/>
    <n v="91.21"/>
    <n v="15.8"/>
    <x v="4"/>
    <n v="14.88"/>
    <x v="4"/>
    <n v="0.15796178343949044"/>
  </r>
  <r>
    <x v="2"/>
    <x v="39"/>
    <n v="10"/>
    <n v="7.33"/>
    <x v="106"/>
    <n v="7.03"/>
    <n v="0.92"/>
    <n v="7.95"/>
    <n v="88.43"/>
    <n v="125.79"/>
    <x v="4"/>
    <n v="120"/>
    <x v="2"/>
    <n v="1.2578616352201257"/>
  </r>
  <r>
    <x v="2"/>
    <x v="40"/>
    <n v="5.46"/>
    <n v="6.59"/>
    <x v="107"/>
    <n v="6.79"/>
    <n v="1.35"/>
    <n v="8.14"/>
    <n v="83.42"/>
    <n v="67.16"/>
    <x v="4"/>
    <n v="65.52000000000001"/>
    <x v="3"/>
    <n v="0.6707616707616707"/>
  </r>
  <r>
    <x v="2"/>
    <x v="42"/>
    <n v="0"/>
    <n v="0"/>
    <x v="0"/>
    <n v="0"/>
    <n v="0"/>
    <n v="0"/>
    <n v="0"/>
    <n v="0"/>
    <x v="4"/>
    <n v="0"/>
    <x v="2"/>
    <n v="0"/>
  </r>
  <r>
    <x v="2"/>
    <x v="43"/>
    <n v="5.75"/>
    <n v="8.74"/>
    <x v="49"/>
    <n v="8.1"/>
    <n v="0.75"/>
    <n v="8.85"/>
    <n v="91.53"/>
    <n v="64.97"/>
    <x v="4"/>
    <n v="69"/>
    <x v="3"/>
    <n v="0.64971751412429379"/>
  </r>
  <r>
    <x v="2"/>
    <x v="44"/>
    <n v="3"/>
    <n v="6.94"/>
    <x v="108"/>
    <n v="4.51"/>
    <n v="3.64"/>
    <n v="8.15"/>
    <n v="55.34"/>
    <n v="36.81"/>
    <x v="4"/>
    <n v="36"/>
    <x v="3"/>
    <n v="0.36809815950920244"/>
  </r>
  <r>
    <x v="2"/>
    <x v="45"/>
    <n v="4.83"/>
    <n v="3.37"/>
    <x v="109"/>
    <n v="3.79"/>
    <n v="3.96"/>
    <n v="7.75"/>
    <n v="48.9"/>
    <n v="62.37"/>
    <x v="4"/>
    <n v="57.96"/>
    <x v="4"/>
    <n v="0.62322580645161296"/>
  </r>
  <r>
    <x v="2"/>
    <x v="48"/>
    <n v="0"/>
    <n v="0"/>
    <x v="0"/>
    <n v="0"/>
    <n v="0"/>
    <n v="0"/>
    <n v="0"/>
    <n v="0"/>
    <x v="4"/>
    <n v="0"/>
    <x v="6"/>
    <n v="0"/>
  </r>
  <r>
    <x v="2"/>
    <x v="49"/>
    <n v="3.41"/>
    <n v="3.56"/>
    <x v="110"/>
    <n v="7.82"/>
    <n v="0.34"/>
    <n v="8.16"/>
    <n v="95.83"/>
    <n v="41.87"/>
    <x v="4"/>
    <n v="40.92"/>
    <x v="3"/>
    <n v="0.41789215686274511"/>
  </r>
  <r>
    <x v="2"/>
    <x v="50"/>
    <n v="4.12"/>
    <n v="7.98"/>
    <x v="111"/>
    <n v="7.19"/>
    <n v="2.38"/>
    <n v="9.57"/>
    <n v="75.13"/>
    <n v="43.05"/>
    <x v="4"/>
    <n v="49.440000000000005"/>
    <x v="4"/>
    <n v="0.43051201671891326"/>
  </r>
  <r>
    <x v="0"/>
    <x v="0"/>
    <n v="0"/>
    <n v="0"/>
    <x v="0"/>
    <n v="0"/>
    <n v="0"/>
    <n v="0"/>
    <n v="0"/>
    <n v="0"/>
    <x v="5"/>
    <n v="0"/>
    <x v="0"/>
    <n v="0"/>
  </r>
  <r>
    <x v="0"/>
    <x v="1"/>
    <n v="0"/>
    <n v="0"/>
    <x v="0"/>
    <n v="0"/>
    <n v="0"/>
    <n v="0"/>
    <n v="0"/>
    <n v="0"/>
    <x v="5"/>
    <n v="0"/>
    <x v="0"/>
    <n v="0"/>
  </r>
  <r>
    <x v="0"/>
    <x v="2"/>
    <n v="0"/>
    <n v="0"/>
    <x v="0"/>
    <n v="0"/>
    <n v="0"/>
    <n v="0"/>
    <n v="0"/>
    <n v="0"/>
    <x v="5"/>
    <n v="0"/>
    <x v="0"/>
    <n v="0"/>
  </r>
  <r>
    <x v="0"/>
    <x v="3"/>
    <n v="0"/>
    <n v="0"/>
    <x v="0"/>
    <n v="0"/>
    <n v="0"/>
    <n v="0"/>
    <n v="0"/>
    <n v="0"/>
    <x v="5"/>
    <n v="0"/>
    <x v="0"/>
    <n v="0"/>
  </r>
  <r>
    <x v="0"/>
    <x v="4"/>
    <n v="0.5"/>
    <n v="1.07"/>
    <x v="112"/>
    <n v="7.65"/>
    <n v="0.14000000000000001"/>
    <n v="7.79"/>
    <n v="98.2"/>
    <n v="6.42"/>
    <x v="5"/>
    <n v="6"/>
    <x v="0"/>
    <n v="6.4184852374839535E-2"/>
  </r>
  <r>
    <x v="0"/>
    <x v="5"/>
    <n v="0"/>
    <n v="0"/>
    <x v="0"/>
    <n v="0"/>
    <n v="0"/>
    <n v="0"/>
    <n v="0"/>
    <n v="0"/>
    <x v="5"/>
    <n v="0"/>
    <x v="0"/>
    <n v="0"/>
  </r>
  <r>
    <x v="0"/>
    <x v="7"/>
    <n v="0"/>
    <n v="0"/>
    <x v="0"/>
    <n v="0"/>
    <n v="0"/>
    <n v="0"/>
    <n v="0"/>
    <n v="0"/>
    <x v="5"/>
    <n v="0"/>
    <x v="0"/>
    <n v="0"/>
  </r>
  <r>
    <x v="0"/>
    <x v="8"/>
    <n v="0"/>
    <n v="0"/>
    <x v="0"/>
    <n v="6.5"/>
    <n v="1.54"/>
    <n v="8.0399999999999991"/>
    <n v="80.849999999999994"/>
    <n v="0"/>
    <x v="5"/>
    <n v="0"/>
    <x v="0"/>
    <n v="0"/>
  </r>
  <r>
    <x v="1"/>
    <x v="9"/>
    <n v="0"/>
    <n v="0"/>
    <x v="0"/>
    <n v="0"/>
    <n v="0"/>
    <n v="0"/>
    <n v="0"/>
    <n v="0"/>
    <x v="5"/>
    <n v="0"/>
    <x v="1"/>
    <n v="0"/>
  </r>
  <r>
    <x v="1"/>
    <x v="10"/>
    <n v="0"/>
    <n v="0"/>
    <x v="0"/>
    <n v="7.57"/>
    <n v="0.48"/>
    <n v="8.0500000000000007"/>
    <n v="94.04"/>
    <n v="0"/>
    <x v="5"/>
    <n v="0"/>
    <x v="1"/>
    <n v="0"/>
  </r>
  <r>
    <x v="1"/>
    <x v="11"/>
    <n v="0"/>
    <n v="0"/>
    <x v="0"/>
    <n v="6.33"/>
    <n v="1.72"/>
    <n v="8.0500000000000007"/>
    <n v="78.63"/>
    <n v="0"/>
    <x v="5"/>
    <n v="0"/>
    <x v="1"/>
    <n v="0"/>
  </r>
  <r>
    <x v="1"/>
    <x v="12"/>
    <n v="0"/>
    <n v="0"/>
    <x v="0"/>
    <n v="0"/>
    <n v="0"/>
    <n v="0"/>
    <n v="0"/>
    <n v="0"/>
    <x v="5"/>
    <n v="0"/>
    <x v="1"/>
    <n v="0"/>
  </r>
  <r>
    <x v="1"/>
    <x v="13"/>
    <n v="0"/>
    <n v="0"/>
    <x v="0"/>
    <n v="0"/>
    <n v="0"/>
    <n v="0"/>
    <n v="0"/>
    <n v="0"/>
    <x v="5"/>
    <n v="0"/>
    <x v="1"/>
    <n v="0"/>
  </r>
  <r>
    <x v="2"/>
    <x v="18"/>
    <n v="7.17"/>
    <n v="4.8499999999999996"/>
    <x v="113"/>
    <n v="4.8499999999999996"/>
    <n v="3.15"/>
    <n v="8"/>
    <n v="60.63"/>
    <n v="89.63"/>
    <x v="5"/>
    <n v="86.039999999999992"/>
    <x v="3"/>
    <n v="0.89624999999999999"/>
  </r>
  <r>
    <x v="2"/>
    <x v="19"/>
    <n v="0"/>
    <n v="0"/>
    <x v="0"/>
    <n v="0"/>
    <n v="0"/>
    <n v="0"/>
    <n v="0"/>
    <n v="0"/>
    <x v="5"/>
    <n v="0"/>
    <x v="2"/>
    <n v="0"/>
  </r>
  <r>
    <x v="2"/>
    <x v="21"/>
    <n v="5.1100000000000003"/>
    <n v="3.78"/>
    <x v="114"/>
    <n v="5.29"/>
    <n v="2.72"/>
    <n v="8.01"/>
    <n v="66.040000000000006"/>
    <n v="63.88"/>
    <x v="5"/>
    <n v="61.320000000000007"/>
    <x v="2"/>
    <n v="0.63795255930087391"/>
  </r>
  <r>
    <x v="2"/>
    <x v="22"/>
    <n v="0"/>
    <n v="0"/>
    <x v="0"/>
    <n v="0"/>
    <n v="0"/>
    <n v="0"/>
    <n v="0"/>
    <n v="0"/>
    <x v="5"/>
    <n v="0"/>
    <x v="4"/>
    <n v="0"/>
  </r>
  <r>
    <x v="2"/>
    <x v="24"/>
    <n v="6.36"/>
    <n v="6.36"/>
    <x v="115"/>
    <n v="4.6900000000000004"/>
    <n v="3.28"/>
    <n v="7.97"/>
    <n v="58.85"/>
    <n v="79.84"/>
    <x v="5"/>
    <n v="76.320000000000007"/>
    <x v="5"/>
    <n v="0.79799247176913435"/>
  </r>
  <r>
    <x v="2"/>
    <x v="25"/>
    <n v="5.82"/>
    <n v="5.83"/>
    <x v="116"/>
    <n v="7.59"/>
    <n v="0.51"/>
    <n v="8.1"/>
    <n v="93.7"/>
    <n v="71.89"/>
    <x v="5"/>
    <n v="69.84"/>
    <x v="2"/>
    <n v="0.71851851851851856"/>
  </r>
  <r>
    <x v="2"/>
    <x v="27"/>
    <n v="6.97"/>
    <n v="7.18"/>
    <x v="117"/>
    <n v="4.71"/>
    <n v="3.25"/>
    <n v="7.96"/>
    <n v="59.17"/>
    <n v="87.56"/>
    <x v="5"/>
    <n v="83.64"/>
    <x v="5"/>
    <n v="0.87562814070351758"/>
  </r>
  <r>
    <x v="2"/>
    <x v="28"/>
    <n v="0"/>
    <n v="0"/>
    <x v="0"/>
    <n v="0"/>
    <n v="0"/>
    <n v="0"/>
    <n v="0"/>
    <n v="0"/>
    <x v="5"/>
    <n v="0"/>
    <x v="2"/>
    <n v="0"/>
  </r>
  <r>
    <x v="2"/>
    <x v="30"/>
    <n v="0"/>
    <n v="0"/>
    <x v="0"/>
    <n v="0"/>
    <n v="0"/>
    <n v="0"/>
    <n v="0"/>
    <n v="0"/>
    <x v="5"/>
    <n v="0"/>
    <x v="5"/>
    <n v="0"/>
  </r>
  <r>
    <x v="2"/>
    <x v="31"/>
    <n v="4.66"/>
    <n v="5.99"/>
    <x v="118"/>
    <n v="5.18"/>
    <n v="2.81"/>
    <n v="7.99"/>
    <n v="64.83"/>
    <n v="58.41"/>
    <x v="5"/>
    <n v="55.92"/>
    <x v="2"/>
    <n v="0.58322903629536926"/>
  </r>
  <r>
    <x v="2"/>
    <x v="33"/>
    <n v="0"/>
    <n v="0"/>
    <x v="0"/>
    <n v="0"/>
    <n v="0"/>
    <n v="0"/>
    <n v="0"/>
    <n v="0"/>
    <x v="5"/>
    <n v="0"/>
    <x v="3"/>
    <n v="0"/>
  </r>
  <r>
    <x v="2"/>
    <x v="34"/>
    <n v="0"/>
    <n v="0"/>
    <x v="0"/>
    <n v="0"/>
    <n v="0"/>
    <n v="0"/>
    <n v="0"/>
    <n v="0"/>
    <x v="5"/>
    <n v="0"/>
    <x v="4"/>
    <n v="0"/>
  </r>
  <r>
    <x v="2"/>
    <x v="35"/>
    <n v="0"/>
    <n v="0"/>
    <x v="0"/>
    <n v="0"/>
    <n v="0"/>
    <n v="0"/>
    <n v="0"/>
    <n v="0"/>
    <x v="5"/>
    <n v="0"/>
    <x v="2"/>
    <n v="0"/>
  </r>
  <r>
    <x v="2"/>
    <x v="36"/>
    <n v="0"/>
    <n v="0"/>
    <x v="0"/>
    <n v="0"/>
    <n v="0"/>
    <n v="0"/>
    <n v="0"/>
    <n v="0"/>
    <x v="5"/>
    <n v="0"/>
    <x v="4"/>
    <n v="0"/>
  </r>
  <r>
    <x v="2"/>
    <x v="39"/>
    <n v="4.08"/>
    <n v="5.1100000000000003"/>
    <x v="119"/>
    <n v="4.33"/>
    <n v="3.65"/>
    <n v="7.98"/>
    <n v="54.26"/>
    <n v="51.17"/>
    <x v="5"/>
    <n v="48.96"/>
    <x v="2"/>
    <n v="0.51127819548872178"/>
  </r>
  <r>
    <x v="2"/>
    <x v="40"/>
    <n v="0"/>
    <n v="0"/>
    <x v="0"/>
    <n v="0"/>
    <n v="0"/>
    <n v="0"/>
    <n v="0"/>
    <n v="0"/>
    <x v="5"/>
    <n v="0"/>
    <x v="3"/>
    <n v="0"/>
  </r>
  <r>
    <x v="2"/>
    <x v="41"/>
    <n v="0"/>
    <n v="0"/>
    <x v="0"/>
    <n v="0"/>
    <n v="0"/>
    <n v="0"/>
    <n v="0"/>
    <n v="0"/>
    <x v="5"/>
    <n v="0"/>
    <x v="5"/>
    <n v="0"/>
  </r>
  <r>
    <x v="2"/>
    <x v="42"/>
    <n v="4.83"/>
    <n v="4.1500000000000004"/>
    <x v="120"/>
    <n v="4.0599999999999996"/>
    <n v="3.91"/>
    <n v="7.97"/>
    <n v="50.94"/>
    <n v="60.64"/>
    <x v="5"/>
    <n v="57.96"/>
    <x v="2"/>
    <n v="0.60602258469259729"/>
  </r>
  <r>
    <x v="2"/>
    <x v="43"/>
    <n v="6.27"/>
    <n v="7.68"/>
    <x v="121"/>
    <n v="6.75"/>
    <n v="1.25"/>
    <n v="8"/>
    <n v="84.38"/>
    <n v="78.38"/>
    <x v="5"/>
    <n v="75.239999999999995"/>
    <x v="3"/>
    <n v="0.78374999999999995"/>
  </r>
  <r>
    <x v="2"/>
    <x v="44"/>
    <n v="0"/>
    <n v="0"/>
    <x v="0"/>
    <n v="0"/>
    <n v="0"/>
    <n v="0"/>
    <n v="0"/>
    <n v="0"/>
    <x v="5"/>
    <n v="0"/>
    <x v="3"/>
    <n v="0"/>
  </r>
  <r>
    <x v="2"/>
    <x v="45"/>
    <n v="5"/>
    <n v="3.1"/>
    <x v="122"/>
    <n v="3.1"/>
    <n v="4.88"/>
    <n v="7.98"/>
    <n v="38.85"/>
    <n v="62.66"/>
    <x v="5"/>
    <n v="60"/>
    <x v="4"/>
    <n v="0.62656641604010022"/>
  </r>
  <r>
    <x v="2"/>
    <x v="46"/>
    <n v="0"/>
    <n v="0"/>
    <x v="0"/>
    <n v="0"/>
    <n v="0"/>
    <n v="0"/>
    <n v="0"/>
    <n v="0"/>
    <x v="5"/>
    <n v="0"/>
    <x v="4"/>
    <n v="0"/>
  </r>
  <r>
    <x v="2"/>
    <x v="47"/>
    <n v="0"/>
    <n v="0"/>
    <x v="0"/>
    <n v="6.49"/>
    <n v="1.53"/>
    <n v="8.02"/>
    <n v="80.92"/>
    <n v="0"/>
    <x v="5"/>
    <n v="0"/>
    <x v="5"/>
    <n v="0"/>
  </r>
  <r>
    <x v="2"/>
    <x v="48"/>
    <n v="0"/>
    <n v="0"/>
    <x v="0"/>
    <n v="0"/>
    <n v="0"/>
    <n v="0"/>
    <n v="0"/>
    <n v="0"/>
    <x v="5"/>
    <n v="0"/>
    <x v="6"/>
    <n v="0"/>
  </r>
  <r>
    <x v="2"/>
    <x v="50"/>
    <n v="9.8000000000000007"/>
    <n v="6.45"/>
    <x v="123"/>
    <n v="5"/>
    <n v="3.08"/>
    <n v="8.08"/>
    <n v="61.88"/>
    <n v="121.37"/>
    <x v="5"/>
    <n v="117.6"/>
    <x v="4"/>
    <n v="1.2128712871287128"/>
  </r>
  <r>
    <x v="0"/>
    <x v="0"/>
    <n v="0"/>
    <n v="0"/>
    <x v="0"/>
    <n v="0"/>
    <n v="0"/>
    <n v="0"/>
    <n v="0"/>
    <n v="0"/>
    <x v="6"/>
    <n v="0"/>
    <x v="0"/>
    <n v="0"/>
  </r>
  <r>
    <x v="0"/>
    <x v="1"/>
    <n v="0"/>
    <n v="0"/>
    <x v="0"/>
    <n v="0"/>
    <n v="0"/>
    <n v="0"/>
    <n v="0"/>
    <n v="0"/>
    <x v="6"/>
    <n v="0"/>
    <x v="0"/>
    <n v="0"/>
  </r>
  <r>
    <x v="0"/>
    <x v="2"/>
    <n v="0"/>
    <n v="0"/>
    <x v="0"/>
    <n v="0"/>
    <n v="0"/>
    <n v="0"/>
    <n v="0"/>
    <n v="0"/>
    <x v="6"/>
    <n v="0"/>
    <x v="0"/>
    <n v="0"/>
  </r>
  <r>
    <x v="0"/>
    <x v="3"/>
    <n v="0"/>
    <n v="0"/>
    <x v="0"/>
    <n v="0"/>
    <n v="0"/>
    <n v="0"/>
    <n v="0"/>
    <n v="0"/>
    <x v="6"/>
    <n v="0"/>
    <x v="0"/>
    <n v="0"/>
  </r>
  <r>
    <x v="0"/>
    <x v="4"/>
    <n v="0"/>
    <n v="0"/>
    <x v="0"/>
    <n v="0"/>
    <n v="0"/>
    <n v="0"/>
    <n v="0"/>
    <n v="0"/>
    <x v="6"/>
    <n v="0"/>
    <x v="0"/>
    <n v="0"/>
  </r>
  <r>
    <x v="0"/>
    <x v="5"/>
    <n v="0"/>
    <n v="0"/>
    <x v="0"/>
    <n v="0"/>
    <n v="0"/>
    <n v="0"/>
    <n v="0"/>
    <n v="0"/>
    <x v="6"/>
    <n v="0"/>
    <x v="0"/>
    <n v="0"/>
  </r>
  <r>
    <x v="0"/>
    <x v="6"/>
    <n v="0"/>
    <n v="0"/>
    <x v="0"/>
    <n v="0"/>
    <n v="0"/>
    <n v="0"/>
    <n v="0"/>
    <n v="0"/>
    <x v="6"/>
    <n v="0"/>
    <x v="0"/>
    <n v="0"/>
  </r>
  <r>
    <x v="0"/>
    <x v="7"/>
    <n v="0"/>
    <n v="0"/>
    <x v="0"/>
    <n v="0"/>
    <n v="0"/>
    <n v="0"/>
    <n v="0"/>
    <n v="0"/>
    <x v="6"/>
    <n v="0"/>
    <x v="0"/>
    <n v="0"/>
  </r>
  <r>
    <x v="0"/>
    <x v="8"/>
    <n v="0"/>
    <n v="0"/>
    <x v="0"/>
    <n v="0"/>
    <n v="0"/>
    <n v="0"/>
    <n v="0"/>
    <n v="0"/>
    <x v="6"/>
    <n v="0"/>
    <x v="0"/>
    <n v="0"/>
  </r>
  <r>
    <x v="1"/>
    <x v="9"/>
    <n v="0"/>
    <n v="0"/>
    <x v="0"/>
    <n v="0"/>
    <n v="0"/>
    <n v="0"/>
    <n v="0"/>
    <n v="0"/>
    <x v="6"/>
    <n v="0"/>
    <x v="1"/>
    <n v="0"/>
  </r>
  <r>
    <x v="1"/>
    <x v="10"/>
    <n v="0"/>
    <n v="0"/>
    <x v="0"/>
    <n v="0"/>
    <n v="0"/>
    <n v="0"/>
    <n v="0"/>
    <n v="0"/>
    <x v="6"/>
    <n v="0"/>
    <x v="1"/>
    <n v="0"/>
  </r>
  <r>
    <x v="1"/>
    <x v="11"/>
    <n v="0"/>
    <n v="0"/>
    <x v="0"/>
    <n v="0"/>
    <n v="0"/>
    <n v="0"/>
    <n v="0"/>
    <n v="0"/>
    <x v="6"/>
    <n v="0"/>
    <x v="1"/>
    <n v="0"/>
  </r>
  <r>
    <x v="1"/>
    <x v="12"/>
    <n v="0"/>
    <n v="0"/>
    <x v="0"/>
    <n v="0"/>
    <n v="0"/>
    <n v="0"/>
    <n v="0"/>
    <n v="0"/>
    <x v="6"/>
    <n v="0"/>
    <x v="1"/>
    <n v="0"/>
  </r>
  <r>
    <x v="1"/>
    <x v="13"/>
    <n v="0"/>
    <n v="0"/>
    <x v="0"/>
    <n v="0"/>
    <n v="0"/>
    <n v="0"/>
    <n v="0"/>
    <n v="0"/>
    <x v="6"/>
    <n v="0"/>
    <x v="1"/>
    <n v="0"/>
  </r>
  <r>
    <x v="2"/>
    <x v="14"/>
    <n v="0"/>
    <n v="0"/>
    <x v="0"/>
    <n v="0"/>
    <n v="0"/>
    <n v="0"/>
    <n v="0"/>
    <n v="0"/>
    <x v="6"/>
    <n v="0"/>
    <x v="2"/>
    <n v="0"/>
  </r>
  <r>
    <x v="2"/>
    <x v="15"/>
    <n v="0"/>
    <n v="0"/>
    <x v="0"/>
    <n v="0"/>
    <n v="0"/>
    <n v="0"/>
    <n v="0"/>
    <n v="0"/>
    <x v="6"/>
    <n v="0"/>
    <x v="3"/>
    <n v="0"/>
  </r>
  <r>
    <x v="2"/>
    <x v="16"/>
    <n v="0"/>
    <n v="0"/>
    <x v="0"/>
    <n v="0"/>
    <n v="0"/>
    <n v="0"/>
    <n v="0"/>
    <n v="0"/>
    <x v="6"/>
    <n v="0"/>
    <x v="4"/>
    <n v="0"/>
  </r>
  <r>
    <x v="2"/>
    <x v="17"/>
    <n v="0"/>
    <n v="0"/>
    <x v="0"/>
    <n v="0"/>
    <n v="0"/>
    <n v="0"/>
    <n v="0"/>
    <n v="0"/>
    <x v="6"/>
    <n v="0"/>
    <x v="3"/>
    <n v="0"/>
  </r>
  <r>
    <x v="2"/>
    <x v="18"/>
    <n v="0"/>
    <n v="0"/>
    <x v="0"/>
    <n v="0"/>
    <n v="0"/>
    <n v="0"/>
    <n v="0"/>
    <n v="0"/>
    <x v="6"/>
    <n v="0"/>
    <x v="3"/>
    <n v="0"/>
  </r>
  <r>
    <x v="2"/>
    <x v="19"/>
    <n v="0"/>
    <n v="0"/>
    <x v="0"/>
    <n v="0"/>
    <n v="0"/>
    <n v="0"/>
    <n v="0"/>
    <n v="0"/>
    <x v="6"/>
    <n v="0"/>
    <x v="2"/>
    <n v="0"/>
  </r>
  <r>
    <x v="2"/>
    <x v="20"/>
    <n v="0"/>
    <n v="0"/>
    <x v="0"/>
    <n v="0"/>
    <n v="0"/>
    <n v="0"/>
    <n v="0"/>
    <n v="0"/>
    <x v="6"/>
    <n v="0"/>
    <x v="5"/>
    <n v="0"/>
  </r>
  <r>
    <x v="2"/>
    <x v="21"/>
    <n v="0"/>
    <n v="0"/>
    <x v="0"/>
    <n v="0"/>
    <n v="0"/>
    <n v="0"/>
    <n v="0"/>
    <n v="0"/>
    <x v="6"/>
    <n v="0"/>
    <x v="2"/>
    <n v="0"/>
  </r>
  <r>
    <x v="2"/>
    <x v="22"/>
    <n v="0"/>
    <n v="0"/>
    <x v="0"/>
    <n v="0"/>
    <n v="0"/>
    <n v="0"/>
    <n v="0"/>
    <n v="0"/>
    <x v="6"/>
    <n v="0"/>
    <x v="4"/>
    <n v="0"/>
  </r>
  <r>
    <x v="2"/>
    <x v="23"/>
    <n v="0"/>
    <n v="0"/>
    <x v="0"/>
    <n v="0"/>
    <n v="0"/>
    <n v="0"/>
    <n v="0"/>
    <n v="0"/>
    <x v="6"/>
    <n v="0"/>
    <x v="3"/>
    <n v="0"/>
  </r>
  <r>
    <x v="2"/>
    <x v="24"/>
    <n v="0"/>
    <n v="0"/>
    <x v="0"/>
    <n v="0"/>
    <n v="0"/>
    <n v="0"/>
    <n v="0"/>
    <n v="0"/>
    <x v="6"/>
    <n v="0"/>
    <x v="5"/>
    <n v="0"/>
  </r>
  <r>
    <x v="2"/>
    <x v="25"/>
    <n v="0"/>
    <n v="0"/>
    <x v="0"/>
    <n v="0"/>
    <n v="0"/>
    <n v="0"/>
    <n v="0"/>
    <n v="0"/>
    <x v="6"/>
    <n v="0"/>
    <x v="2"/>
    <n v="0"/>
  </r>
  <r>
    <x v="2"/>
    <x v="26"/>
    <n v="0"/>
    <n v="0"/>
    <x v="0"/>
    <n v="0"/>
    <n v="0"/>
    <n v="0"/>
    <n v="0"/>
    <n v="0"/>
    <x v="6"/>
    <n v="0"/>
    <x v="3"/>
    <n v="0"/>
  </r>
  <r>
    <x v="2"/>
    <x v="27"/>
    <n v="0"/>
    <n v="0"/>
    <x v="0"/>
    <n v="0"/>
    <n v="0"/>
    <n v="0"/>
    <n v="0"/>
    <n v="0"/>
    <x v="6"/>
    <n v="0"/>
    <x v="5"/>
    <n v="0"/>
  </r>
  <r>
    <x v="2"/>
    <x v="28"/>
    <n v="0"/>
    <n v="0"/>
    <x v="0"/>
    <n v="0"/>
    <n v="0"/>
    <n v="0"/>
    <n v="0"/>
    <n v="0"/>
    <x v="6"/>
    <n v="0"/>
    <x v="2"/>
    <n v="0"/>
  </r>
  <r>
    <x v="2"/>
    <x v="29"/>
    <n v="0"/>
    <n v="0"/>
    <x v="0"/>
    <n v="0"/>
    <n v="0"/>
    <n v="0"/>
    <n v="0"/>
    <n v="0"/>
    <x v="6"/>
    <n v="0"/>
    <x v="5"/>
    <n v="0"/>
  </r>
  <r>
    <x v="2"/>
    <x v="30"/>
    <n v="0"/>
    <n v="0"/>
    <x v="0"/>
    <n v="0"/>
    <n v="0"/>
    <n v="0"/>
    <n v="0"/>
    <n v="0"/>
    <x v="6"/>
    <n v="0"/>
    <x v="5"/>
    <n v="0"/>
  </r>
  <r>
    <x v="2"/>
    <x v="31"/>
    <n v="0"/>
    <n v="0"/>
    <x v="0"/>
    <n v="0"/>
    <n v="0"/>
    <n v="0"/>
    <n v="0"/>
    <n v="0"/>
    <x v="6"/>
    <n v="0"/>
    <x v="2"/>
    <n v="0"/>
  </r>
  <r>
    <x v="2"/>
    <x v="32"/>
    <n v="0"/>
    <n v="0"/>
    <x v="0"/>
    <n v="0"/>
    <n v="0"/>
    <n v="0"/>
    <n v="0"/>
    <n v="0"/>
    <x v="6"/>
    <n v="0"/>
    <x v="3"/>
    <n v="0"/>
  </r>
  <r>
    <x v="2"/>
    <x v="33"/>
    <n v="0"/>
    <n v="0"/>
    <x v="0"/>
    <n v="0"/>
    <n v="0"/>
    <n v="0"/>
    <n v="0"/>
    <n v="0"/>
    <x v="6"/>
    <n v="0"/>
    <x v="3"/>
    <n v="0"/>
  </r>
  <r>
    <x v="2"/>
    <x v="34"/>
    <n v="0"/>
    <n v="0"/>
    <x v="0"/>
    <n v="0"/>
    <n v="0"/>
    <n v="0"/>
    <n v="0"/>
    <n v="0"/>
    <x v="6"/>
    <n v="0"/>
    <x v="4"/>
    <n v="0"/>
  </r>
  <r>
    <x v="2"/>
    <x v="35"/>
    <n v="0"/>
    <n v="0"/>
    <x v="0"/>
    <n v="0"/>
    <n v="0"/>
    <n v="0"/>
    <n v="0"/>
    <n v="0"/>
    <x v="6"/>
    <n v="0"/>
    <x v="2"/>
    <n v="0"/>
  </r>
  <r>
    <x v="2"/>
    <x v="36"/>
    <n v="0"/>
    <n v="0"/>
    <x v="0"/>
    <n v="0"/>
    <n v="0"/>
    <n v="0"/>
    <n v="0"/>
    <n v="0"/>
    <x v="6"/>
    <n v="0"/>
    <x v="4"/>
    <n v="0"/>
  </r>
  <r>
    <x v="2"/>
    <x v="37"/>
    <n v="0"/>
    <n v="0"/>
    <x v="0"/>
    <n v="0"/>
    <n v="0"/>
    <n v="0"/>
    <n v="0"/>
    <n v="0"/>
    <x v="6"/>
    <n v="0"/>
    <x v="4"/>
    <n v="0"/>
  </r>
  <r>
    <x v="2"/>
    <x v="38"/>
    <n v="0"/>
    <n v="0"/>
    <x v="0"/>
    <n v="0"/>
    <n v="0"/>
    <n v="0"/>
    <n v="0"/>
    <n v="0"/>
    <x v="6"/>
    <n v="0"/>
    <x v="2"/>
    <n v="0"/>
  </r>
  <r>
    <x v="2"/>
    <x v="39"/>
    <n v="0"/>
    <n v="0"/>
    <x v="0"/>
    <n v="0"/>
    <n v="0"/>
    <n v="0"/>
    <n v="0"/>
    <n v="0"/>
    <x v="6"/>
    <n v="0"/>
    <x v="2"/>
    <n v="0"/>
  </r>
  <r>
    <x v="2"/>
    <x v="40"/>
    <n v="0"/>
    <n v="0"/>
    <x v="0"/>
    <n v="0"/>
    <n v="0"/>
    <n v="0"/>
    <n v="0"/>
    <n v="0"/>
    <x v="6"/>
    <n v="0"/>
    <x v="3"/>
    <n v="0"/>
  </r>
  <r>
    <x v="2"/>
    <x v="41"/>
    <n v="0"/>
    <n v="0"/>
    <x v="0"/>
    <n v="0"/>
    <n v="0"/>
    <n v="0"/>
    <n v="0"/>
    <n v="0"/>
    <x v="6"/>
    <n v="0"/>
    <x v="5"/>
    <n v="0"/>
  </r>
  <r>
    <x v="2"/>
    <x v="42"/>
    <n v="0"/>
    <n v="0"/>
    <x v="0"/>
    <n v="0"/>
    <n v="0"/>
    <n v="0"/>
    <n v="0"/>
    <n v="0"/>
    <x v="6"/>
    <n v="0"/>
    <x v="2"/>
    <n v="0"/>
  </r>
  <r>
    <x v="2"/>
    <x v="43"/>
    <n v="0"/>
    <n v="0"/>
    <x v="0"/>
    <n v="0"/>
    <n v="0"/>
    <n v="0"/>
    <n v="0"/>
    <n v="0"/>
    <x v="6"/>
    <n v="0"/>
    <x v="3"/>
    <n v="0"/>
  </r>
  <r>
    <x v="2"/>
    <x v="44"/>
    <n v="0"/>
    <n v="0"/>
    <x v="0"/>
    <n v="0"/>
    <n v="0"/>
    <n v="0"/>
    <n v="0"/>
    <n v="0"/>
    <x v="6"/>
    <n v="0"/>
    <x v="3"/>
    <n v="0"/>
  </r>
  <r>
    <x v="2"/>
    <x v="45"/>
    <n v="0"/>
    <n v="0"/>
    <x v="0"/>
    <n v="0"/>
    <n v="0"/>
    <n v="0"/>
    <n v="0"/>
    <n v="0"/>
    <x v="6"/>
    <n v="0"/>
    <x v="4"/>
    <n v="0"/>
  </r>
  <r>
    <x v="2"/>
    <x v="46"/>
    <n v="0"/>
    <n v="0"/>
    <x v="0"/>
    <n v="0"/>
    <n v="0"/>
    <n v="0"/>
    <n v="0"/>
    <n v="0"/>
    <x v="6"/>
    <n v="0"/>
    <x v="4"/>
    <n v="0"/>
  </r>
  <r>
    <x v="2"/>
    <x v="47"/>
    <n v="0"/>
    <n v="0"/>
    <x v="0"/>
    <n v="0"/>
    <n v="0"/>
    <n v="0"/>
    <n v="0"/>
    <n v="0"/>
    <x v="6"/>
    <n v="0"/>
    <x v="5"/>
    <n v="0"/>
  </r>
  <r>
    <x v="2"/>
    <x v="48"/>
    <n v="0"/>
    <n v="0"/>
    <x v="0"/>
    <n v="0"/>
    <n v="0"/>
    <n v="0"/>
    <n v="0"/>
    <n v="0"/>
    <x v="6"/>
    <n v="0"/>
    <x v="6"/>
    <n v="0"/>
  </r>
  <r>
    <x v="2"/>
    <x v="49"/>
    <n v="0"/>
    <n v="0"/>
    <x v="0"/>
    <n v="0"/>
    <n v="0"/>
    <n v="0"/>
    <n v="0"/>
    <n v="0"/>
    <x v="6"/>
    <n v="0"/>
    <x v="3"/>
    <n v="0"/>
  </r>
  <r>
    <x v="2"/>
    <x v="50"/>
    <n v="0"/>
    <n v="0"/>
    <x v="0"/>
    <n v="0"/>
    <n v="0"/>
    <n v="0"/>
    <n v="0"/>
    <n v="0"/>
    <x v="6"/>
    <n v="0"/>
    <x v="4"/>
    <n v="0"/>
  </r>
  <r>
    <x v="0"/>
    <x v="0"/>
    <n v="2.3199999999999998"/>
    <n v="5.62"/>
    <x v="124"/>
    <n v="7.7"/>
    <n v="0.4"/>
    <n v="8.1"/>
    <n v="95.06"/>
    <n v="28.64"/>
    <x v="7"/>
    <n v="27.839999999999996"/>
    <x v="0"/>
    <n v="0.28641975308641976"/>
  </r>
  <r>
    <x v="0"/>
    <x v="1"/>
    <n v="0"/>
    <n v="0"/>
    <x v="0"/>
    <n v="10.37"/>
    <n v="0.18"/>
    <n v="10.55"/>
    <n v="98.29"/>
    <n v="0"/>
    <x v="7"/>
    <n v="0"/>
    <x v="0"/>
    <n v="0"/>
  </r>
  <r>
    <x v="0"/>
    <x v="2"/>
    <n v="0"/>
    <n v="0"/>
    <x v="0"/>
    <n v="10.37"/>
    <n v="0.18"/>
    <n v="10.55"/>
    <n v="98.29"/>
    <n v="0"/>
    <x v="7"/>
    <n v="0"/>
    <x v="0"/>
    <n v="0"/>
  </r>
  <r>
    <x v="0"/>
    <x v="3"/>
    <n v="0"/>
    <n v="0"/>
    <x v="0"/>
    <n v="7.65"/>
    <n v="0.45"/>
    <n v="8.1"/>
    <n v="94.44"/>
    <n v="0"/>
    <x v="7"/>
    <n v="0"/>
    <x v="0"/>
    <n v="0"/>
  </r>
  <r>
    <x v="0"/>
    <x v="4"/>
    <n v="0"/>
    <n v="0"/>
    <x v="0"/>
    <n v="8.33"/>
    <n v="2.2599999999999998"/>
    <n v="10.59"/>
    <n v="78.66"/>
    <n v="0"/>
    <x v="7"/>
    <n v="0"/>
    <x v="0"/>
    <n v="0"/>
  </r>
  <r>
    <x v="0"/>
    <x v="5"/>
    <n v="0"/>
    <n v="0"/>
    <x v="0"/>
    <n v="10.39"/>
    <n v="0.18"/>
    <n v="10.57"/>
    <n v="98.3"/>
    <n v="0"/>
    <x v="7"/>
    <n v="0"/>
    <x v="0"/>
    <n v="0"/>
  </r>
  <r>
    <x v="0"/>
    <x v="6"/>
    <n v="2.5"/>
    <n v="4.88"/>
    <x v="125"/>
    <n v="8.33"/>
    <n v="2.2599999999999998"/>
    <n v="10.59"/>
    <n v="78.66"/>
    <n v="23.61"/>
    <x v="7"/>
    <n v="30"/>
    <x v="0"/>
    <n v="0.2360717658168083"/>
  </r>
  <r>
    <x v="0"/>
    <x v="7"/>
    <n v="1.01"/>
    <n v="2.4500000000000002"/>
    <x v="126"/>
    <n v="7.66"/>
    <n v="0.38"/>
    <n v="8.0399999999999991"/>
    <n v="95.27"/>
    <n v="12.56"/>
    <x v="7"/>
    <n v="12.120000000000001"/>
    <x v="0"/>
    <n v="0.12562189054726369"/>
  </r>
  <r>
    <x v="0"/>
    <x v="8"/>
    <n v="0"/>
    <n v="0"/>
    <x v="0"/>
    <n v="7.4"/>
    <n v="0.7"/>
    <n v="8.1"/>
    <n v="91.36"/>
    <n v="0"/>
    <x v="7"/>
    <n v="0"/>
    <x v="0"/>
    <n v="0"/>
  </r>
  <r>
    <x v="1"/>
    <x v="9"/>
    <n v="0"/>
    <n v="0"/>
    <x v="0"/>
    <n v="6.36"/>
    <n v="1.78"/>
    <n v="8.14"/>
    <n v="78.13"/>
    <n v="0"/>
    <x v="7"/>
    <n v="0"/>
    <x v="1"/>
    <n v="0"/>
  </r>
  <r>
    <x v="1"/>
    <x v="10"/>
    <n v="3.7"/>
    <n v="3.63"/>
    <x v="127"/>
    <n v="6.96"/>
    <n v="1.1299999999999999"/>
    <n v="8.09"/>
    <n v="86.03"/>
    <n v="45.74"/>
    <x v="7"/>
    <n v="44.4"/>
    <x v="1"/>
    <n v="0.4573547589616811"/>
  </r>
  <r>
    <x v="1"/>
    <x v="11"/>
    <n v="2.63"/>
    <n v="2.98"/>
    <x v="128"/>
    <n v="3.2"/>
    <n v="4.9400000000000004"/>
    <n v="8.14"/>
    <n v="39.31"/>
    <n v="32.42"/>
    <x v="7"/>
    <n v="31.559999999999995"/>
    <x v="1"/>
    <n v="0.32309582309582308"/>
  </r>
  <r>
    <x v="1"/>
    <x v="12"/>
    <n v="1.31"/>
    <n v="1.37"/>
    <x v="129"/>
    <n v="3.18"/>
    <n v="4.93"/>
    <n v="8.11"/>
    <n v="39.21"/>
    <n v="16.149999999999999"/>
    <x v="7"/>
    <n v="15.720000000000002"/>
    <x v="1"/>
    <n v="0.16152897657213319"/>
  </r>
  <r>
    <x v="1"/>
    <x v="13"/>
    <n v="3.31"/>
    <n v="5.42"/>
    <x v="130"/>
    <n v="3.18"/>
    <n v="4.95"/>
    <n v="8.1300000000000008"/>
    <n v="39.11"/>
    <n v="40.71"/>
    <x v="7"/>
    <n v="39.72"/>
    <x v="1"/>
    <n v="0.40713407134071339"/>
  </r>
  <r>
    <x v="2"/>
    <x v="14"/>
    <n v="17.53"/>
    <n v="7.79"/>
    <x v="131"/>
    <n v="8.89"/>
    <n v="1.21"/>
    <n v="10.1"/>
    <n v="88.02"/>
    <n v="173.6"/>
    <x v="7"/>
    <n v="210.36000000000004"/>
    <x v="2"/>
    <n v="1.7356435643564359"/>
  </r>
  <r>
    <x v="2"/>
    <x v="15"/>
    <n v="1"/>
    <n v="1.35"/>
    <x v="132"/>
    <n v="9.0399999999999991"/>
    <n v="1.0900000000000001"/>
    <n v="10.130000000000001"/>
    <n v="89.24"/>
    <n v="9.8699999999999992"/>
    <x v="7"/>
    <n v="12"/>
    <x v="3"/>
    <n v="9.8716683119447174E-2"/>
  </r>
  <r>
    <x v="2"/>
    <x v="17"/>
    <n v="0"/>
    <n v="0"/>
    <x v="0"/>
    <n v="4.9800000000000004"/>
    <n v="4.6500000000000004"/>
    <n v="9.6300000000000008"/>
    <n v="51.71"/>
    <n v="0"/>
    <x v="7"/>
    <n v="0"/>
    <x v="3"/>
    <n v="0"/>
  </r>
  <r>
    <x v="2"/>
    <x v="18"/>
    <n v="5.41"/>
    <n v="5.92"/>
    <x v="133"/>
    <n v="6.23"/>
    <n v="1.85"/>
    <n v="8.08"/>
    <n v="77.099999999999994"/>
    <n v="67.040000000000006"/>
    <x v="7"/>
    <n v="64.92"/>
    <x v="3"/>
    <n v="0.66955445544554459"/>
  </r>
  <r>
    <x v="2"/>
    <x v="19"/>
    <n v="0"/>
    <n v="0"/>
    <x v="0"/>
    <n v="0"/>
    <n v="0"/>
    <n v="0"/>
    <n v="0"/>
    <n v="0"/>
    <x v="7"/>
    <n v="0"/>
    <x v="2"/>
    <n v="0"/>
  </r>
  <r>
    <x v="2"/>
    <x v="20"/>
    <n v="7.91"/>
    <n v="7.76"/>
    <x v="134"/>
    <n v="8.91"/>
    <n v="1.8"/>
    <n v="10.71"/>
    <n v="83.19"/>
    <n v="73.92"/>
    <x v="7"/>
    <n v="94.92"/>
    <x v="5"/>
    <n v="0.7385620915032679"/>
  </r>
  <r>
    <x v="2"/>
    <x v="21"/>
    <n v="6.79"/>
    <n v="4.51"/>
    <x v="135"/>
    <n v="8.24"/>
    <n v="0.22"/>
    <n v="8.4600000000000009"/>
    <n v="97.4"/>
    <n v="80.34"/>
    <x v="7"/>
    <n v="81.47999999999999"/>
    <x v="2"/>
    <n v="0.80260047281323865"/>
  </r>
  <r>
    <x v="2"/>
    <x v="22"/>
    <n v="4.58"/>
    <n v="6.17"/>
    <x v="136"/>
    <n v="9.36"/>
    <n v="0.39"/>
    <n v="9.75"/>
    <n v="96"/>
    <n v="47.01"/>
    <x v="7"/>
    <n v="54.96"/>
    <x v="4"/>
    <n v="0.46974358974358976"/>
  </r>
  <r>
    <x v="2"/>
    <x v="23"/>
    <n v="0"/>
    <n v="0"/>
    <x v="0"/>
    <n v="8.43"/>
    <n v="1.2"/>
    <n v="9.6300000000000008"/>
    <n v="87.54"/>
    <n v="0"/>
    <x v="7"/>
    <n v="0"/>
    <x v="3"/>
    <n v="0"/>
  </r>
  <r>
    <x v="2"/>
    <x v="24"/>
    <n v="8.7899999999999991"/>
    <n v="7.24"/>
    <x v="137"/>
    <n v="9.99"/>
    <n v="7.0000000000000007E-2"/>
    <n v="10.06"/>
    <n v="99.3"/>
    <n v="87.44"/>
    <x v="7"/>
    <n v="105.47999999999999"/>
    <x v="5"/>
    <n v="0.87375745526838955"/>
  </r>
  <r>
    <x v="2"/>
    <x v="26"/>
    <n v="0"/>
    <n v="0"/>
    <x v="0"/>
    <n v="4.3"/>
    <n v="3.77"/>
    <n v="8.07"/>
    <n v="53.28"/>
    <n v="0"/>
    <x v="7"/>
    <n v="0"/>
    <x v="3"/>
    <n v="0"/>
  </r>
  <r>
    <x v="2"/>
    <x v="27"/>
    <n v="10.47"/>
    <n v="8.14"/>
    <x v="138"/>
    <n v="9.9700000000000006"/>
    <n v="7.0000000000000007E-2"/>
    <n v="10.039999999999999"/>
    <n v="99.3"/>
    <n v="104.35"/>
    <x v="7"/>
    <n v="125.64000000000001"/>
    <x v="5"/>
    <n v="1.0428286852589643"/>
  </r>
  <r>
    <x v="2"/>
    <x v="28"/>
    <n v="0"/>
    <n v="0"/>
    <x v="0"/>
    <n v="0"/>
    <n v="0"/>
    <n v="0"/>
    <n v="0"/>
    <n v="0"/>
    <x v="7"/>
    <n v="0"/>
    <x v="2"/>
    <n v="0"/>
  </r>
  <r>
    <x v="2"/>
    <x v="30"/>
    <n v="0"/>
    <n v="0"/>
    <x v="0"/>
    <n v="0"/>
    <n v="0"/>
    <n v="0"/>
    <n v="0"/>
    <n v="0"/>
    <x v="7"/>
    <n v="0"/>
    <x v="5"/>
    <n v="0"/>
  </r>
  <r>
    <x v="2"/>
    <x v="31"/>
    <n v="12"/>
    <n v="6.96"/>
    <x v="139"/>
    <n v="7.64"/>
    <n v="1.48"/>
    <n v="9.1199999999999992"/>
    <n v="83.77"/>
    <n v="131.58000000000001"/>
    <x v="7"/>
    <n v="144"/>
    <x v="2"/>
    <n v="1.3157894736842106"/>
  </r>
  <r>
    <x v="2"/>
    <x v="32"/>
    <n v="0.83"/>
    <n v="3.03"/>
    <x v="140"/>
    <n v="8.43"/>
    <n v="1.17"/>
    <n v="9.6"/>
    <n v="87.81"/>
    <n v="8.68"/>
    <x v="7"/>
    <n v="9.9599999999999991"/>
    <x v="3"/>
    <n v="8.6458333333333331E-2"/>
  </r>
  <r>
    <x v="2"/>
    <x v="33"/>
    <n v="0"/>
    <n v="0"/>
    <x v="0"/>
    <n v="7.75"/>
    <n v="0.47"/>
    <n v="8.2200000000000006"/>
    <n v="94.28"/>
    <n v="0"/>
    <x v="7"/>
    <n v="0"/>
    <x v="3"/>
    <n v="0"/>
  </r>
  <r>
    <x v="2"/>
    <x v="34"/>
    <n v="4.41"/>
    <n v="2.8"/>
    <x v="141"/>
    <n v="6.52"/>
    <n v="3.47"/>
    <n v="9.99"/>
    <n v="65.27"/>
    <n v="44.21"/>
    <x v="7"/>
    <n v="52.92"/>
    <x v="4"/>
    <n v="0.44144144144144143"/>
  </r>
  <r>
    <x v="2"/>
    <x v="35"/>
    <n v="11.83"/>
    <n v="7.57"/>
    <x v="142"/>
    <n v="11.24"/>
    <n v="1.23"/>
    <n v="12.47"/>
    <n v="90.14"/>
    <n v="94.89"/>
    <x v="7"/>
    <n v="141.95999999999998"/>
    <x v="2"/>
    <n v="0.94867682437850842"/>
  </r>
  <r>
    <x v="2"/>
    <x v="36"/>
    <n v="0"/>
    <n v="0"/>
    <x v="0"/>
    <n v="9.3800000000000008"/>
    <n v="0.63"/>
    <n v="10.01"/>
    <n v="93.71"/>
    <n v="0"/>
    <x v="7"/>
    <n v="0"/>
    <x v="4"/>
    <n v="0"/>
  </r>
  <r>
    <x v="2"/>
    <x v="37"/>
    <n v="0.57999999999999996"/>
    <n v="1.88"/>
    <x v="143"/>
    <n v="7.75"/>
    <n v="0.55000000000000004"/>
    <n v="8.3000000000000007"/>
    <n v="93.37"/>
    <n v="7.03"/>
    <x v="7"/>
    <n v="6.9599999999999991"/>
    <x v="4"/>
    <n v="6.9879518072289148E-2"/>
  </r>
  <r>
    <x v="2"/>
    <x v="39"/>
    <n v="5.58"/>
    <n v="5.54"/>
    <x v="144"/>
    <n v="4.91"/>
    <n v="3.94"/>
    <n v="8.85"/>
    <n v="55.48"/>
    <n v="63.09"/>
    <x v="7"/>
    <n v="66.960000000000008"/>
    <x v="2"/>
    <n v="0.63050847457627124"/>
  </r>
  <r>
    <x v="2"/>
    <x v="40"/>
    <n v="0"/>
    <n v="0"/>
    <x v="0"/>
    <n v="7.74"/>
    <n v="0.49"/>
    <n v="8.23"/>
    <n v="94.05"/>
    <n v="0"/>
    <x v="7"/>
    <n v="0"/>
    <x v="3"/>
    <n v="0"/>
  </r>
  <r>
    <x v="2"/>
    <x v="41"/>
    <n v="3.91"/>
    <n v="7"/>
    <x v="145"/>
    <n v="9.6300000000000008"/>
    <n v="1"/>
    <n v="10.63"/>
    <n v="90.59"/>
    <n v="36.85"/>
    <x v="7"/>
    <n v="46.92"/>
    <x v="5"/>
    <n v="0.36782690498588899"/>
  </r>
  <r>
    <x v="2"/>
    <x v="42"/>
    <n v="7.91"/>
    <n v="4.8600000000000003"/>
    <x v="146"/>
    <n v="8.4"/>
    <n v="0.55000000000000004"/>
    <n v="8.9499999999999993"/>
    <n v="93.85"/>
    <n v="88.45"/>
    <x v="7"/>
    <n v="94.92"/>
    <x v="2"/>
    <n v="0.88379888268156437"/>
  </r>
  <r>
    <x v="2"/>
    <x v="43"/>
    <n v="1"/>
    <n v="0.65"/>
    <x v="147"/>
    <n v="7.25"/>
    <n v="0.9"/>
    <n v="8.15"/>
    <n v="88.96"/>
    <n v="12.27"/>
    <x v="7"/>
    <n v="12"/>
    <x v="3"/>
    <n v="0.12269938650306748"/>
  </r>
  <r>
    <x v="2"/>
    <x v="44"/>
    <n v="0"/>
    <n v="0"/>
    <x v="0"/>
    <n v="5.04"/>
    <n v="3.02"/>
    <n v="8.06"/>
    <n v="62.53"/>
    <n v="0"/>
    <x v="7"/>
    <n v="0"/>
    <x v="3"/>
    <n v="0"/>
  </r>
  <r>
    <x v="2"/>
    <x v="45"/>
    <n v="0"/>
    <n v="0"/>
    <x v="0"/>
    <n v="4.16"/>
    <n v="4.12"/>
    <n v="8.2799999999999994"/>
    <n v="50.24"/>
    <n v="0"/>
    <x v="7"/>
    <n v="0"/>
    <x v="4"/>
    <n v="0"/>
  </r>
  <r>
    <x v="2"/>
    <x v="46"/>
    <n v="7.38"/>
    <n v="6.4"/>
    <x v="148"/>
    <n v="9.67"/>
    <n v="0.37"/>
    <n v="10.039999999999999"/>
    <n v="96.31"/>
    <n v="73.510000000000005"/>
    <x v="7"/>
    <n v="88.56"/>
    <x v="4"/>
    <n v="0.73505976095617531"/>
  </r>
  <r>
    <x v="2"/>
    <x v="47"/>
    <n v="2.4300000000000002"/>
    <n v="4.08"/>
    <x v="149"/>
    <n v="7.4"/>
    <n v="0.67"/>
    <n v="8.07"/>
    <n v="91.7"/>
    <n v="30.11"/>
    <x v="7"/>
    <n v="29.160000000000004"/>
    <x v="5"/>
    <n v="0.30111524163568776"/>
  </r>
  <r>
    <x v="2"/>
    <x v="48"/>
    <n v="0"/>
    <n v="0"/>
    <x v="0"/>
    <n v="0"/>
    <n v="0"/>
    <n v="0"/>
    <n v="0"/>
    <n v="0"/>
    <x v="7"/>
    <n v="0"/>
    <x v="6"/>
    <n v="0"/>
  </r>
  <r>
    <x v="2"/>
    <x v="49"/>
    <n v="1.33"/>
    <n v="1.7"/>
    <x v="150"/>
    <n v="7.59"/>
    <n v="0.49"/>
    <n v="8.08"/>
    <n v="93.94"/>
    <n v="16.5"/>
    <x v="7"/>
    <n v="15.960000000000003"/>
    <x v="3"/>
    <n v="0.16460396039603961"/>
  </r>
  <r>
    <x v="2"/>
    <x v="50"/>
    <n v="2.16"/>
    <n v="5.67"/>
    <x v="151"/>
    <n v="9.26"/>
    <n v="0.7"/>
    <n v="9.9600000000000009"/>
    <n v="92.97"/>
    <n v="21.75"/>
    <x v="7"/>
    <n v="25.920000000000005"/>
    <x v="4"/>
    <n v="0.21686746987951808"/>
  </r>
  <r>
    <x v="0"/>
    <x v="0"/>
    <n v="0"/>
    <n v="0"/>
    <x v="0"/>
    <n v="7.12"/>
    <n v="1.01"/>
    <n v="8.1300000000000008"/>
    <n v="87.58"/>
    <n v="0"/>
    <x v="8"/>
    <n v="0"/>
    <x v="0"/>
    <n v="0"/>
  </r>
  <r>
    <x v="0"/>
    <x v="1"/>
    <n v="0.16"/>
    <n v="6.57"/>
    <x v="152"/>
    <n v="10.36"/>
    <n v="0.26"/>
    <n v="10.62"/>
    <n v="97.55"/>
    <n v="1.51"/>
    <x v="8"/>
    <n v="1.92"/>
    <x v="0"/>
    <n v="1.5065913370998118E-2"/>
  </r>
  <r>
    <x v="0"/>
    <x v="2"/>
    <n v="0.16"/>
    <n v="6.57"/>
    <x v="152"/>
    <n v="10.36"/>
    <n v="0.25"/>
    <n v="10.61"/>
    <n v="97.64"/>
    <n v="1.51"/>
    <x v="8"/>
    <n v="1.92"/>
    <x v="0"/>
    <n v="1.5080113100848258E-2"/>
  </r>
  <r>
    <x v="0"/>
    <x v="3"/>
    <n v="1.04"/>
    <n v="7.66"/>
    <x v="153"/>
    <n v="8.9600000000000009"/>
    <n v="1.1299999999999999"/>
    <n v="10.09"/>
    <n v="88.8"/>
    <n v="10.31"/>
    <x v="8"/>
    <n v="12.48"/>
    <x v="0"/>
    <n v="0.10307234886025769"/>
  </r>
  <r>
    <x v="0"/>
    <x v="4"/>
    <n v="3.21"/>
    <n v="6.48"/>
    <x v="154"/>
    <n v="10.43"/>
    <n v="0.2"/>
    <n v="10.63"/>
    <n v="98.12"/>
    <n v="30.2"/>
    <x v="8"/>
    <n v="38.519999999999996"/>
    <x v="0"/>
    <n v="0.30197554092191908"/>
  </r>
  <r>
    <x v="0"/>
    <x v="5"/>
    <n v="0.16"/>
    <n v="6.57"/>
    <x v="152"/>
    <n v="10.38"/>
    <n v="0.25"/>
    <n v="10.63"/>
    <n v="97.65"/>
    <n v="1.51"/>
    <x v="8"/>
    <n v="1.92"/>
    <x v="0"/>
    <n v="1.5051740357478832E-2"/>
  </r>
  <r>
    <x v="0"/>
    <x v="6"/>
    <n v="3.21"/>
    <n v="6.48"/>
    <x v="154"/>
    <n v="10.43"/>
    <n v="0.2"/>
    <n v="10.63"/>
    <n v="98.12"/>
    <n v="30.2"/>
    <x v="8"/>
    <n v="38.519999999999996"/>
    <x v="0"/>
    <n v="0.30197554092191908"/>
  </r>
  <r>
    <x v="0"/>
    <x v="7"/>
    <n v="1.04"/>
    <n v="7.66"/>
    <x v="153"/>
    <n v="9.5500000000000007"/>
    <n v="1.01"/>
    <n v="10.56"/>
    <n v="90.44"/>
    <n v="9.85"/>
    <x v="8"/>
    <n v="12.48"/>
    <x v="0"/>
    <n v="9.8484848484848481E-2"/>
  </r>
  <r>
    <x v="0"/>
    <x v="8"/>
    <n v="0"/>
    <n v="0"/>
    <x v="0"/>
    <n v="10.18"/>
    <n v="0.44"/>
    <n v="10.62"/>
    <n v="95.86"/>
    <n v="0"/>
    <x v="8"/>
    <n v="0"/>
    <x v="0"/>
    <n v="0"/>
  </r>
  <r>
    <x v="1"/>
    <x v="9"/>
    <n v="0"/>
    <n v="0"/>
    <x v="0"/>
    <n v="5.92"/>
    <n v="2.11"/>
    <n v="8.0299999999999994"/>
    <n v="73.72"/>
    <n v="0"/>
    <x v="8"/>
    <n v="0"/>
    <x v="1"/>
    <n v="0"/>
  </r>
  <r>
    <x v="1"/>
    <x v="10"/>
    <n v="12"/>
    <n v="7.78"/>
    <x v="155"/>
    <n v="7.05"/>
    <n v="1.03"/>
    <n v="8.08"/>
    <n v="87.25"/>
    <n v="148.51"/>
    <x v="8"/>
    <n v="144"/>
    <x v="1"/>
    <n v="1.4851485148514851"/>
  </r>
  <r>
    <x v="1"/>
    <x v="12"/>
    <n v="0.04"/>
    <n v="0.35"/>
    <x v="156"/>
    <n v="4.03"/>
    <n v="4.05"/>
    <n v="8.08"/>
    <n v="49.88"/>
    <n v="0.5"/>
    <x v="8"/>
    <n v="0.48"/>
    <x v="1"/>
    <n v="4.9504950495049506E-3"/>
  </r>
  <r>
    <x v="1"/>
    <x v="13"/>
    <n v="0.05"/>
    <n v="0.67"/>
    <x v="157"/>
    <n v="4.03"/>
    <n v="4.0599999999999996"/>
    <n v="8.09"/>
    <n v="49.81"/>
    <n v="0.62"/>
    <x v="8"/>
    <n v="0.6"/>
    <x v="1"/>
    <n v="6.1804697156983938E-3"/>
  </r>
  <r>
    <x v="2"/>
    <x v="14"/>
    <n v="5.5"/>
    <n v="3.68"/>
    <x v="158"/>
    <n v="7.43"/>
    <n v="0.43"/>
    <n v="7.86"/>
    <n v="94.53"/>
    <n v="69.97"/>
    <x v="8"/>
    <n v="66"/>
    <x v="2"/>
    <n v="0.69974554707379133"/>
  </r>
  <r>
    <x v="2"/>
    <x v="16"/>
    <n v="1"/>
    <n v="1.82"/>
    <x v="159"/>
    <n v="7.05"/>
    <n v="0.94"/>
    <n v="7.99"/>
    <n v="88.24"/>
    <n v="12.52"/>
    <x v="8"/>
    <n v="12"/>
    <x v="4"/>
    <n v="0.12515644555694619"/>
  </r>
  <r>
    <x v="2"/>
    <x v="17"/>
    <n v="0"/>
    <n v="0"/>
    <x v="0"/>
    <n v="3.52"/>
    <n v="0.9"/>
    <n v="4.42"/>
    <n v="79.64"/>
    <n v="0"/>
    <x v="8"/>
    <n v="0"/>
    <x v="3"/>
    <n v="0"/>
  </r>
  <r>
    <x v="2"/>
    <x v="19"/>
    <n v="0"/>
    <n v="0"/>
    <x v="0"/>
    <n v="0"/>
    <n v="0"/>
    <n v="0"/>
    <n v="0"/>
    <n v="0"/>
    <x v="8"/>
    <n v="0"/>
    <x v="2"/>
    <n v="0"/>
  </r>
  <r>
    <x v="2"/>
    <x v="20"/>
    <n v="8.32"/>
    <n v="5.4"/>
    <x v="160"/>
    <n v="7.33"/>
    <n v="1.68"/>
    <n v="9.01"/>
    <n v="81.349999999999994"/>
    <n v="92.38"/>
    <x v="8"/>
    <n v="99.84"/>
    <x v="5"/>
    <n v="0.92341842397336293"/>
  </r>
  <r>
    <x v="2"/>
    <x v="23"/>
    <n v="1.08"/>
    <n v="0.6"/>
    <x v="161"/>
    <n v="2.58"/>
    <n v="5.93"/>
    <n v="8.51"/>
    <n v="30.32"/>
    <n v="12.69"/>
    <x v="8"/>
    <n v="12.960000000000003"/>
    <x v="3"/>
    <n v="0.12690951821386606"/>
  </r>
  <r>
    <x v="2"/>
    <x v="24"/>
    <n v="0"/>
    <n v="0"/>
    <x v="0"/>
    <n v="10.4"/>
    <n v="0.08"/>
    <n v="10.48"/>
    <n v="99.24"/>
    <n v="0"/>
    <x v="8"/>
    <n v="0"/>
    <x v="5"/>
    <n v="0"/>
  </r>
  <r>
    <x v="2"/>
    <x v="25"/>
    <n v="12.16"/>
    <n v="7.37"/>
    <x v="162"/>
    <n v="7.37"/>
    <n v="1.01"/>
    <n v="8.3800000000000008"/>
    <n v="87.95"/>
    <n v="145.19"/>
    <x v="8"/>
    <n v="145.92000000000002"/>
    <x v="2"/>
    <n v="1.4510739856801909"/>
  </r>
  <r>
    <x v="2"/>
    <x v="26"/>
    <n v="1"/>
    <n v="0.87"/>
    <x v="163"/>
    <n v="3.2"/>
    <n v="5.03"/>
    <n v="8.23"/>
    <n v="38.880000000000003"/>
    <n v="12.15"/>
    <x v="8"/>
    <n v="12"/>
    <x v="3"/>
    <n v="0.12150668286755771"/>
  </r>
  <r>
    <x v="2"/>
    <x v="27"/>
    <n v="2.29"/>
    <n v="2.02"/>
    <x v="164"/>
    <n v="10.45"/>
    <n v="0.06"/>
    <n v="10.51"/>
    <n v="99.43"/>
    <n v="21.8"/>
    <x v="8"/>
    <n v="27.48"/>
    <x v="5"/>
    <n v="0.21788772597526165"/>
  </r>
  <r>
    <x v="2"/>
    <x v="28"/>
    <n v="0"/>
    <n v="0"/>
    <x v="0"/>
    <n v="0"/>
    <n v="0"/>
    <n v="0"/>
    <n v="0"/>
    <n v="0"/>
    <x v="8"/>
    <n v="0"/>
    <x v="2"/>
    <n v="0"/>
  </r>
  <r>
    <x v="2"/>
    <x v="29"/>
    <n v="0"/>
    <n v="0"/>
    <x v="0"/>
    <n v="0"/>
    <n v="0"/>
    <n v="0"/>
    <n v="0"/>
    <n v="0"/>
    <x v="8"/>
    <n v="0"/>
    <x v="5"/>
    <n v="0"/>
  </r>
  <r>
    <x v="2"/>
    <x v="30"/>
    <n v="0"/>
    <n v="0"/>
    <x v="0"/>
    <n v="0"/>
    <n v="0"/>
    <n v="0"/>
    <n v="0"/>
    <n v="0"/>
    <x v="8"/>
    <n v="0"/>
    <x v="5"/>
    <n v="0"/>
  </r>
  <r>
    <x v="2"/>
    <x v="31"/>
    <n v="8.41"/>
    <n v="5.86"/>
    <x v="165"/>
    <n v="8.07"/>
    <n v="0.53"/>
    <n v="8.6"/>
    <n v="93.84"/>
    <n v="97.87"/>
    <x v="8"/>
    <n v="100.92"/>
    <x v="2"/>
    <n v="0.97790697674418614"/>
  </r>
  <r>
    <x v="2"/>
    <x v="32"/>
    <n v="1.95"/>
    <n v="7.42"/>
    <x v="166"/>
    <n v="3.77"/>
    <n v="4.76"/>
    <n v="8.5299999999999994"/>
    <n v="44.2"/>
    <n v="22.86"/>
    <x v="8"/>
    <n v="23.4"/>
    <x v="3"/>
    <n v="0.22860492379835876"/>
  </r>
  <r>
    <x v="2"/>
    <x v="33"/>
    <n v="0"/>
    <n v="0"/>
    <x v="0"/>
    <n v="7.87"/>
    <n v="0.35"/>
    <n v="8.2200000000000006"/>
    <n v="95.74"/>
    <n v="0"/>
    <x v="8"/>
    <n v="0"/>
    <x v="3"/>
    <n v="0"/>
  </r>
  <r>
    <x v="2"/>
    <x v="34"/>
    <n v="1.66"/>
    <n v="1.57"/>
    <x v="167"/>
    <n v="7.4"/>
    <n v="2.52"/>
    <n v="9.92"/>
    <n v="74.599999999999994"/>
    <n v="16.8"/>
    <x v="8"/>
    <n v="19.919999999999998"/>
    <x v="4"/>
    <n v="0.16733870967741934"/>
  </r>
  <r>
    <x v="2"/>
    <x v="35"/>
    <n v="14.91"/>
    <n v="6.49"/>
    <x v="168"/>
    <n v="11.03"/>
    <n v="0.1"/>
    <n v="11.13"/>
    <n v="99.1"/>
    <n v="134.02000000000001"/>
    <x v="8"/>
    <n v="178.92000000000002"/>
    <x v="2"/>
    <n v="1.3396226415094339"/>
  </r>
  <r>
    <x v="2"/>
    <x v="36"/>
    <n v="0"/>
    <n v="0"/>
    <x v="0"/>
    <n v="7.38"/>
    <n v="2.58"/>
    <n v="9.9600000000000009"/>
    <n v="74.099999999999994"/>
    <n v="0"/>
    <x v="8"/>
    <n v="0"/>
    <x v="4"/>
    <n v="0"/>
  </r>
  <r>
    <x v="2"/>
    <x v="37"/>
    <n v="0.33"/>
    <n v="0.45"/>
    <x v="132"/>
    <n v="6.09"/>
    <n v="0.51"/>
    <n v="6.6"/>
    <n v="92.27"/>
    <n v="5.05"/>
    <x v="8"/>
    <n v="3.96"/>
    <x v="4"/>
    <n v="0.05"/>
  </r>
  <r>
    <x v="2"/>
    <x v="38"/>
    <n v="13.41"/>
    <n v="6.5"/>
    <x v="169"/>
    <n v="8.1"/>
    <n v="0.13"/>
    <n v="8.23"/>
    <n v="98.42"/>
    <n v="163.02000000000001"/>
    <x v="8"/>
    <n v="160.92000000000002"/>
    <x v="2"/>
    <n v="1.6294046172539489"/>
  </r>
  <r>
    <x v="2"/>
    <x v="39"/>
    <n v="0"/>
    <n v="0"/>
    <x v="0"/>
    <n v="0"/>
    <n v="0"/>
    <n v="0"/>
    <n v="0"/>
    <n v="0"/>
    <x v="8"/>
    <n v="0"/>
    <x v="2"/>
    <n v="0"/>
  </r>
  <r>
    <x v="2"/>
    <x v="40"/>
    <n v="0"/>
    <n v="0"/>
    <x v="0"/>
    <n v="7.86"/>
    <n v="0.34"/>
    <n v="8.1999999999999993"/>
    <n v="95.85"/>
    <n v="0"/>
    <x v="8"/>
    <n v="0"/>
    <x v="3"/>
    <n v="0"/>
  </r>
  <r>
    <x v="2"/>
    <x v="41"/>
    <n v="9.52"/>
    <n v="11.38"/>
    <x v="170"/>
    <n v="8.4600000000000009"/>
    <n v="3.12"/>
    <n v="11.58"/>
    <n v="73.06"/>
    <n v="82.21"/>
    <x v="8"/>
    <n v="114.23999999999998"/>
    <x v="5"/>
    <n v="0.82210708117443865"/>
  </r>
  <r>
    <x v="2"/>
    <x v="44"/>
    <n v="0"/>
    <n v="0"/>
    <x v="0"/>
    <n v="6.83"/>
    <n v="1.51"/>
    <n v="8.34"/>
    <n v="81.89"/>
    <n v="0"/>
    <x v="8"/>
    <n v="0"/>
    <x v="3"/>
    <n v="0"/>
  </r>
  <r>
    <x v="2"/>
    <x v="45"/>
    <n v="1.91"/>
    <n v="3.58"/>
    <x v="171"/>
    <n v="5.83"/>
    <n v="2.5499999999999998"/>
    <n v="8.3800000000000008"/>
    <n v="69.569999999999993"/>
    <n v="22.87"/>
    <x v="8"/>
    <n v="22.919999999999998"/>
    <x v="4"/>
    <n v="0.22792362768496416"/>
  </r>
  <r>
    <x v="2"/>
    <x v="46"/>
    <n v="1.83"/>
    <n v="2.13"/>
    <x v="172"/>
    <n v="7.05"/>
    <n v="0.94"/>
    <n v="7.99"/>
    <n v="88.24"/>
    <n v="22.95"/>
    <x v="8"/>
    <n v="21.96"/>
    <x v="4"/>
    <n v="0.22903629536921152"/>
  </r>
  <r>
    <x v="2"/>
    <x v="48"/>
    <n v="0"/>
    <n v="0"/>
    <x v="0"/>
    <n v="0"/>
    <n v="0"/>
    <n v="0"/>
    <n v="0"/>
    <n v="0"/>
    <x v="8"/>
    <n v="0"/>
    <x v="6"/>
    <n v="0"/>
  </r>
  <r>
    <x v="2"/>
    <x v="49"/>
    <n v="6.42"/>
    <n v="8.0399999999999991"/>
    <x v="173"/>
    <n v="7.82"/>
    <n v="0.41"/>
    <n v="8.23"/>
    <n v="95.02"/>
    <n v="78.010000000000005"/>
    <x v="8"/>
    <n v="77.039999999999992"/>
    <x v="3"/>
    <n v="0.78007290400972051"/>
  </r>
  <r>
    <x v="2"/>
    <x v="50"/>
    <n v="0"/>
    <n v="0"/>
    <x v="0"/>
    <n v="8.75"/>
    <n v="0.62"/>
    <n v="9.3699999999999992"/>
    <n v="93.38"/>
    <n v="0"/>
    <x v="8"/>
    <n v="0"/>
    <x v="4"/>
    <n v="0"/>
  </r>
  <r>
    <x v="0"/>
    <x v="7"/>
    <n v="2.77"/>
    <n v="7.48"/>
    <x v="174"/>
    <n v="6.8"/>
    <n v="1.25"/>
    <n v="8.0500000000000007"/>
    <n v="84.47"/>
    <n v="34.409999999999997"/>
    <x v="9"/>
    <n v="33.239999999999995"/>
    <x v="0"/>
    <n v="0.34409937888198755"/>
  </r>
  <r>
    <x v="1"/>
    <x v="11"/>
    <n v="7.28"/>
    <n v="4.3499999999999996"/>
    <x v="175"/>
    <n v="5.36"/>
    <n v="2.69"/>
    <n v="8.0500000000000007"/>
    <n v="66.58"/>
    <n v="90.43"/>
    <x v="9"/>
    <n v="87.36"/>
    <x v="1"/>
    <n v="0.90434782608695652"/>
  </r>
  <r>
    <x v="2"/>
    <x v="15"/>
    <n v="6"/>
    <n v="6.81"/>
    <x v="176"/>
    <n v="8.1999999999999993"/>
    <n v="0.21"/>
    <n v="8.41"/>
    <n v="97.5"/>
    <n v="71.34"/>
    <x v="9"/>
    <n v="72"/>
    <x v="3"/>
    <n v="0.71343638525564801"/>
  </r>
  <r>
    <x v="2"/>
    <x v="16"/>
    <n v="5.33"/>
    <n v="5.55"/>
    <x v="177"/>
    <n v="6.85"/>
    <n v="1.07"/>
    <n v="7.92"/>
    <n v="86.49"/>
    <n v="67.3"/>
    <x v="9"/>
    <n v="63.96"/>
    <x v="4"/>
    <n v="0.67297979797979801"/>
  </r>
  <r>
    <x v="2"/>
    <x v="17"/>
    <n v="4.25"/>
    <n v="9.2799999999999994"/>
    <x v="178"/>
    <n v="0"/>
    <n v="10.08"/>
    <n v="10.08"/>
    <n v="0"/>
    <n v="42.16"/>
    <x v="9"/>
    <n v="51"/>
    <x v="3"/>
    <n v="0.42162698412698413"/>
  </r>
  <r>
    <x v="2"/>
    <x v="19"/>
    <n v="0"/>
    <n v="0"/>
    <x v="0"/>
    <n v="0"/>
    <n v="0"/>
    <n v="0"/>
    <n v="0"/>
    <n v="0"/>
    <x v="9"/>
    <n v="0"/>
    <x v="2"/>
    <n v="0"/>
  </r>
  <r>
    <x v="2"/>
    <x v="20"/>
    <n v="17.989999999999998"/>
    <n v="8.48"/>
    <x v="179"/>
    <n v="7.19"/>
    <n v="1.66"/>
    <n v="8.85"/>
    <n v="81.239999999999995"/>
    <n v="203.28"/>
    <x v="9"/>
    <n v="215.87999999999997"/>
    <x v="5"/>
    <n v="2.0327683615819208"/>
  </r>
  <r>
    <x v="2"/>
    <x v="21"/>
    <n v="10.08"/>
    <n v="6.44"/>
    <x v="180"/>
    <n v="7.82"/>
    <n v="0.38"/>
    <n v="8.1999999999999993"/>
    <n v="95.37"/>
    <n v="122.97"/>
    <x v="9"/>
    <n v="120.96"/>
    <x v="2"/>
    <n v="1.229268292682927"/>
  </r>
  <r>
    <x v="2"/>
    <x v="22"/>
    <n v="3.83"/>
    <n v="5.29"/>
    <x v="181"/>
    <n v="6.18"/>
    <n v="1.81"/>
    <n v="7.99"/>
    <n v="77.349999999999994"/>
    <n v="47.98"/>
    <x v="9"/>
    <n v="45.96"/>
    <x v="4"/>
    <n v="0.47934918648310387"/>
  </r>
  <r>
    <x v="2"/>
    <x v="23"/>
    <n v="0.92"/>
    <n v="1.58"/>
    <x v="182"/>
    <n v="2.83"/>
    <n v="7.26"/>
    <n v="10.09"/>
    <n v="28.05"/>
    <n v="9.1199999999999992"/>
    <x v="9"/>
    <n v="11.040000000000001"/>
    <x v="3"/>
    <n v="9.117938553022796E-2"/>
  </r>
  <r>
    <x v="2"/>
    <x v="25"/>
    <n v="11.58"/>
    <n v="8.2899999999999991"/>
    <x v="183"/>
    <n v="9.92"/>
    <n v="0.47"/>
    <n v="10.39"/>
    <n v="95.48"/>
    <n v="111.49"/>
    <x v="9"/>
    <n v="138.95999999999998"/>
    <x v="2"/>
    <n v="1.1145332050048122"/>
  </r>
  <r>
    <x v="2"/>
    <x v="28"/>
    <n v="0"/>
    <n v="0"/>
    <x v="0"/>
    <n v="0"/>
    <n v="0"/>
    <n v="0"/>
    <n v="0"/>
    <n v="0"/>
    <x v="9"/>
    <n v="0"/>
    <x v="2"/>
    <n v="0"/>
  </r>
  <r>
    <x v="2"/>
    <x v="30"/>
    <n v="0"/>
    <n v="0"/>
    <x v="0"/>
    <n v="0"/>
    <n v="0"/>
    <n v="0"/>
    <n v="0"/>
    <n v="0"/>
    <x v="9"/>
    <n v="0"/>
    <x v="5"/>
    <n v="0"/>
  </r>
  <r>
    <x v="2"/>
    <x v="31"/>
    <n v="4.99"/>
    <n v="3.49"/>
    <x v="184"/>
    <n v="8.32"/>
    <n v="0.46"/>
    <n v="8.7799999999999994"/>
    <n v="94.76"/>
    <n v="56.87"/>
    <x v="9"/>
    <n v="59.88000000000001"/>
    <x v="2"/>
    <n v="0.56833712984054674"/>
  </r>
  <r>
    <x v="2"/>
    <x v="32"/>
    <n v="4.16"/>
    <n v="5.38"/>
    <x v="185"/>
    <n v="4.8899999999999997"/>
    <n v="5.21"/>
    <n v="10.1"/>
    <n v="48.42"/>
    <n v="41.25"/>
    <x v="9"/>
    <n v="49.92"/>
    <x v="3"/>
    <n v="0.41188118811881191"/>
  </r>
  <r>
    <x v="2"/>
    <x v="33"/>
    <n v="6.82"/>
    <n v="6.48"/>
    <x v="186"/>
    <n v="9.09"/>
    <n v="1.04"/>
    <n v="10.130000000000001"/>
    <n v="89.73"/>
    <n v="67.319999999999993"/>
    <x v="9"/>
    <n v="81.84"/>
    <x v="3"/>
    <n v="0.67324777887462983"/>
  </r>
  <r>
    <x v="2"/>
    <x v="34"/>
    <n v="2.2200000000000002"/>
    <n v="1.66"/>
    <x v="187"/>
    <n v="8.2799999999999994"/>
    <n v="1.03"/>
    <n v="9.31"/>
    <n v="88.94"/>
    <n v="23.85"/>
    <x v="9"/>
    <n v="26.640000000000004"/>
    <x v="4"/>
    <n v="0.23845327604726102"/>
  </r>
  <r>
    <x v="2"/>
    <x v="39"/>
    <n v="0"/>
    <n v="0"/>
    <x v="0"/>
    <n v="0"/>
    <n v="0"/>
    <n v="0"/>
    <n v="0"/>
    <n v="0"/>
    <x v="9"/>
    <n v="0"/>
    <x v="2"/>
    <n v="0"/>
  </r>
  <r>
    <x v="2"/>
    <x v="40"/>
    <n v="2.76"/>
    <n v="2.48"/>
    <x v="188"/>
    <n v="4.6500000000000004"/>
    <n v="0.48"/>
    <n v="5.13"/>
    <n v="90.64"/>
    <n v="53.8"/>
    <x v="9"/>
    <n v="33.119999999999997"/>
    <x v="3"/>
    <n v="0.53801169590643272"/>
  </r>
  <r>
    <x v="2"/>
    <x v="41"/>
    <n v="4.4800000000000004"/>
    <n v="3.39"/>
    <x v="189"/>
    <n v="7.54"/>
    <n v="0.61"/>
    <n v="8.15"/>
    <n v="92.52"/>
    <n v="55.01"/>
    <x v="9"/>
    <n v="53.760000000000005"/>
    <x v="5"/>
    <n v="0.54969325153374238"/>
  </r>
  <r>
    <x v="2"/>
    <x v="43"/>
    <n v="1.41"/>
    <n v="3.64"/>
    <x v="190"/>
    <n v="6.29"/>
    <n v="1.94"/>
    <n v="8.23"/>
    <n v="76.430000000000007"/>
    <n v="17.21"/>
    <x v="9"/>
    <n v="16.919999999999998"/>
    <x v="3"/>
    <n v="0.17132442284325636"/>
  </r>
  <r>
    <x v="2"/>
    <x v="44"/>
    <n v="1"/>
    <n v="0.91"/>
    <x v="191"/>
    <n v="6.73"/>
    <n v="1.42"/>
    <n v="8.15"/>
    <n v="82.58"/>
    <n v="12.27"/>
    <x v="9"/>
    <n v="12"/>
    <x v="3"/>
    <n v="0.12269938650306748"/>
  </r>
  <r>
    <x v="2"/>
    <x v="45"/>
    <n v="0.5"/>
    <n v="0.01"/>
    <x v="192"/>
    <n v="7.45"/>
    <n v="1.1200000000000001"/>
    <n v="8.57"/>
    <n v="86.93"/>
    <n v="5.83"/>
    <x v="9"/>
    <n v="6"/>
    <x v="4"/>
    <n v="5.8343057176196034E-2"/>
  </r>
  <r>
    <x v="2"/>
    <x v="47"/>
    <n v="6.9"/>
    <n v="3.05"/>
    <x v="193"/>
    <n v="7.63"/>
    <n v="0.55000000000000004"/>
    <n v="8.18"/>
    <n v="93.28"/>
    <n v="84.35"/>
    <x v="9"/>
    <n v="82.8"/>
    <x v="5"/>
    <n v="0.84352078239608808"/>
  </r>
  <r>
    <x v="2"/>
    <x v="48"/>
    <n v="0"/>
    <n v="0"/>
    <x v="0"/>
    <n v="0"/>
    <n v="0"/>
    <n v="0"/>
    <n v="0"/>
    <n v="0"/>
    <x v="9"/>
    <n v="0"/>
    <x v="6"/>
    <n v="0"/>
  </r>
  <r>
    <x v="2"/>
    <x v="49"/>
    <n v="5.91"/>
    <n v="7.53"/>
    <x v="194"/>
    <n v="7.74"/>
    <n v="0.39"/>
    <n v="8.1300000000000008"/>
    <n v="95.2"/>
    <n v="72.78"/>
    <x v="9"/>
    <n v="70.92"/>
    <x v="3"/>
    <n v="0.72693726937269365"/>
  </r>
  <r>
    <x v="2"/>
    <x v="50"/>
    <n v="2.64"/>
    <n v="3.15"/>
    <x v="195"/>
    <n v="8.39"/>
    <n v="1.43"/>
    <n v="9.82"/>
    <n v="85.44"/>
    <n v="26.95"/>
    <x v="9"/>
    <n v="31.68"/>
    <x v="4"/>
    <n v="0.26883910386965376"/>
  </r>
  <r>
    <x v="0"/>
    <x v="0"/>
    <n v="0"/>
    <n v="0"/>
    <x v="0"/>
    <n v="6.83"/>
    <n v="1.19"/>
    <n v="8.02"/>
    <n v="85.16"/>
    <n v="0"/>
    <x v="10"/>
    <n v="0"/>
    <x v="0"/>
    <n v="0"/>
  </r>
  <r>
    <x v="0"/>
    <x v="3"/>
    <n v="0"/>
    <n v="0"/>
    <x v="0"/>
    <n v="1.8"/>
    <n v="6.19"/>
    <n v="7.99"/>
    <n v="22.53"/>
    <n v="0"/>
    <x v="10"/>
    <n v="0"/>
    <x v="0"/>
    <n v="0"/>
  </r>
  <r>
    <x v="0"/>
    <x v="4"/>
    <n v="6.17"/>
    <n v="9.42"/>
    <x v="196"/>
    <n v="10.33"/>
    <n v="0.24"/>
    <n v="10.57"/>
    <n v="97.73"/>
    <n v="58.37"/>
    <x v="10"/>
    <n v="74.039999999999992"/>
    <x v="0"/>
    <n v="0.58372753074739825"/>
  </r>
  <r>
    <x v="0"/>
    <x v="7"/>
    <n v="0"/>
    <n v="0"/>
    <x v="0"/>
    <n v="1.8"/>
    <n v="6.19"/>
    <n v="7.99"/>
    <n v="22.53"/>
    <n v="0"/>
    <x v="10"/>
    <n v="0"/>
    <x v="0"/>
    <n v="0"/>
  </r>
  <r>
    <x v="1"/>
    <x v="9"/>
    <n v="1"/>
    <n v="0.5"/>
    <x v="197"/>
    <n v="9.02"/>
    <n v="1.63"/>
    <n v="10.65"/>
    <n v="84.69"/>
    <n v="9.39"/>
    <x v="10"/>
    <n v="12"/>
    <x v="1"/>
    <n v="9.3896713615023469E-2"/>
  </r>
  <r>
    <x v="1"/>
    <x v="11"/>
    <n v="0.63"/>
    <n v="0.96"/>
    <x v="198"/>
    <n v="7.15"/>
    <n v="0.92"/>
    <n v="8.07"/>
    <n v="88.6"/>
    <n v="7.81"/>
    <x v="10"/>
    <n v="7.56"/>
    <x v="1"/>
    <n v="7.8066914498141265E-2"/>
  </r>
  <r>
    <x v="2"/>
    <x v="14"/>
    <n v="11.35"/>
    <n v="6.2"/>
    <x v="199"/>
    <n v="8.65"/>
    <n v="0.42"/>
    <n v="9.07"/>
    <n v="95.37"/>
    <n v="125.17"/>
    <x v="10"/>
    <n v="136.19999999999999"/>
    <x v="2"/>
    <n v="1.2513781697905182"/>
  </r>
  <r>
    <x v="2"/>
    <x v="16"/>
    <n v="4.33"/>
    <n v="8.52"/>
    <x v="200"/>
    <n v="7.46"/>
    <n v="1.3"/>
    <n v="8.76"/>
    <n v="85.16"/>
    <n v="49.51"/>
    <x v="10"/>
    <n v="51.96"/>
    <x v="4"/>
    <n v="0.49429223744292239"/>
  </r>
  <r>
    <x v="2"/>
    <x v="17"/>
    <n v="1.61"/>
    <n v="1.67"/>
    <x v="201"/>
    <n v="1.67"/>
    <n v="6.63"/>
    <n v="8.3000000000000007"/>
    <n v="20.12"/>
    <n v="19.440000000000001"/>
    <x v="10"/>
    <n v="19.32"/>
    <x v="3"/>
    <n v="0.19397590361445782"/>
  </r>
  <r>
    <x v="2"/>
    <x v="18"/>
    <n v="6.5"/>
    <n v="7.86"/>
    <x v="202"/>
    <n v="6.57"/>
    <n v="1.52"/>
    <n v="8.09"/>
    <n v="81.209999999999994"/>
    <n v="80.349999999999994"/>
    <x v="10"/>
    <n v="78"/>
    <x v="3"/>
    <n v="0.80346106304079112"/>
  </r>
  <r>
    <x v="2"/>
    <x v="19"/>
    <n v="0"/>
    <n v="0"/>
    <x v="0"/>
    <n v="0"/>
    <n v="0"/>
    <n v="0"/>
    <n v="0"/>
    <n v="0"/>
    <x v="10"/>
    <n v="0"/>
    <x v="2"/>
    <n v="0"/>
  </r>
  <r>
    <x v="2"/>
    <x v="20"/>
    <n v="16.170000000000002"/>
    <n v="10.39"/>
    <x v="203"/>
    <n v="9.4700000000000006"/>
    <n v="1.05"/>
    <n v="10.52"/>
    <n v="90.02"/>
    <n v="153.77000000000001"/>
    <x v="10"/>
    <n v="194.04000000000002"/>
    <x v="5"/>
    <n v="1.5370722433460078"/>
  </r>
  <r>
    <x v="2"/>
    <x v="22"/>
    <n v="6.08"/>
    <n v="6.94"/>
    <x v="204"/>
    <n v="7.41"/>
    <n v="1.02"/>
    <n v="8.43"/>
    <n v="87.9"/>
    <n v="72.16"/>
    <x v="10"/>
    <n v="72.960000000000008"/>
    <x v="4"/>
    <n v="0.72123368920521946"/>
  </r>
  <r>
    <x v="2"/>
    <x v="23"/>
    <n v="1"/>
    <n v="5.41"/>
    <x v="205"/>
    <n v="5.2"/>
    <n v="3.13"/>
    <n v="8.33"/>
    <n v="62.42"/>
    <n v="12"/>
    <x v="10"/>
    <n v="12"/>
    <x v="3"/>
    <n v="0.12004801920768307"/>
  </r>
  <r>
    <x v="2"/>
    <x v="25"/>
    <n v="3.16"/>
    <n v="3.15"/>
    <x v="206"/>
    <n v="6.92"/>
    <n v="1.45"/>
    <n v="8.3699999999999992"/>
    <n v="82.68"/>
    <n v="37.83"/>
    <x v="10"/>
    <n v="37.92"/>
    <x v="2"/>
    <n v="0.37753882915173242"/>
  </r>
  <r>
    <x v="2"/>
    <x v="26"/>
    <n v="4.16"/>
    <n v="5.84"/>
    <x v="207"/>
    <n v="6.19"/>
    <n v="1.83"/>
    <n v="8.02"/>
    <n v="77.180000000000007"/>
    <n v="51.95"/>
    <x v="10"/>
    <n v="49.92"/>
    <x v="3"/>
    <n v="0.51870324189526185"/>
  </r>
  <r>
    <x v="2"/>
    <x v="27"/>
    <n v="6.78"/>
    <n v="7.62"/>
    <x v="208"/>
    <n v="10.07"/>
    <n v="0.4"/>
    <n v="10.47"/>
    <n v="96.18"/>
    <n v="64.819999999999993"/>
    <x v="10"/>
    <n v="81.36"/>
    <x v="5"/>
    <n v="0.64756446991404015"/>
  </r>
  <r>
    <x v="2"/>
    <x v="28"/>
    <n v="0"/>
    <n v="0"/>
    <x v="0"/>
    <n v="0"/>
    <n v="0"/>
    <n v="0"/>
    <n v="0"/>
    <n v="0"/>
    <x v="10"/>
    <n v="0"/>
    <x v="2"/>
    <n v="0"/>
  </r>
  <r>
    <x v="2"/>
    <x v="29"/>
    <n v="7.72"/>
    <n v="6.12"/>
    <x v="209"/>
    <n v="9.73"/>
    <n v="0.93"/>
    <n v="10.66"/>
    <n v="91.28"/>
    <n v="72.42"/>
    <x v="10"/>
    <n v="92.64"/>
    <x v="5"/>
    <n v="0.72420262664165103"/>
  </r>
  <r>
    <x v="2"/>
    <x v="30"/>
    <n v="0"/>
    <n v="0"/>
    <x v="0"/>
    <n v="0"/>
    <n v="0"/>
    <n v="0"/>
    <n v="0"/>
    <n v="0"/>
    <x v="10"/>
    <n v="0"/>
    <x v="5"/>
    <n v="0"/>
  </r>
  <r>
    <x v="2"/>
    <x v="31"/>
    <n v="6.66"/>
    <n v="6.1"/>
    <x v="210"/>
    <n v="7.59"/>
    <n v="0.51"/>
    <n v="8.1"/>
    <n v="93.7"/>
    <n v="82.3"/>
    <x v="10"/>
    <n v="79.92"/>
    <x v="2"/>
    <n v="0.8222222222222223"/>
  </r>
  <r>
    <x v="2"/>
    <x v="32"/>
    <n v="1.72"/>
    <n v="5.85"/>
    <x v="211"/>
    <n v="4.2699999999999996"/>
    <n v="4.05"/>
    <n v="8.32"/>
    <n v="51.32"/>
    <n v="20.67"/>
    <x v="10"/>
    <n v="20.64"/>
    <x v="3"/>
    <n v="0.20673076923076922"/>
  </r>
  <r>
    <x v="2"/>
    <x v="36"/>
    <n v="8.08"/>
    <n v="8.41"/>
    <x v="212"/>
    <n v="6.83"/>
    <n v="3.11"/>
    <n v="9.94"/>
    <n v="68.709999999999994"/>
    <n v="81.319999999999993"/>
    <x v="10"/>
    <n v="96.960000000000008"/>
    <x v="4"/>
    <n v="0.81287726358148893"/>
  </r>
  <r>
    <x v="2"/>
    <x v="37"/>
    <n v="3.5"/>
    <n v="5.38"/>
    <x v="213"/>
    <n v="7.01"/>
    <n v="1.19"/>
    <n v="8.1999999999999993"/>
    <n v="85.49"/>
    <n v="42.68"/>
    <x v="10"/>
    <n v="42"/>
    <x v="4"/>
    <n v="0.42682926829268297"/>
  </r>
  <r>
    <x v="2"/>
    <x v="38"/>
    <n v="21.33"/>
    <n v="4.32"/>
    <x v="214"/>
    <n v="7.65"/>
    <n v="0.5"/>
    <n v="8.15"/>
    <n v="93.87"/>
    <n v="261.76"/>
    <x v="10"/>
    <n v="255.95999999999998"/>
    <x v="2"/>
    <n v="2.617177914110429"/>
  </r>
  <r>
    <x v="2"/>
    <x v="39"/>
    <n v="0"/>
    <n v="0"/>
    <x v="0"/>
    <n v="0"/>
    <n v="0"/>
    <n v="0"/>
    <n v="0"/>
    <n v="0"/>
    <x v="10"/>
    <n v="0"/>
    <x v="2"/>
    <n v="0"/>
  </r>
  <r>
    <x v="2"/>
    <x v="41"/>
    <n v="5.47"/>
    <n v="4.8600000000000003"/>
    <x v="215"/>
    <n v="8.93"/>
    <n v="1.72"/>
    <n v="10.65"/>
    <n v="83.85"/>
    <n v="51.36"/>
    <x v="10"/>
    <n v="65.64"/>
    <x v="5"/>
    <n v="0.51361502347417831"/>
  </r>
  <r>
    <x v="2"/>
    <x v="43"/>
    <n v="2.25"/>
    <n v="4.3899999999999997"/>
    <x v="216"/>
    <n v="6.1"/>
    <n v="1.89"/>
    <n v="7.99"/>
    <n v="76.349999999999994"/>
    <n v="28.16"/>
    <x v="10"/>
    <n v="27"/>
    <x v="3"/>
    <n v="0.28160200250312889"/>
  </r>
  <r>
    <x v="2"/>
    <x v="45"/>
    <n v="5.41"/>
    <n v="4.63"/>
    <x v="217"/>
    <n v="7.3"/>
    <n v="2.58"/>
    <n v="9.8800000000000008"/>
    <n v="73.89"/>
    <n v="54.82"/>
    <x v="10"/>
    <n v="64.92"/>
    <x v="4"/>
    <n v="0.54757085020242913"/>
  </r>
  <r>
    <x v="2"/>
    <x v="48"/>
    <n v="0"/>
    <n v="0"/>
    <x v="0"/>
    <n v="0"/>
    <n v="0"/>
    <n v="0"/>
    <n v="0"/>
    <n v="0"/>
    <x v="10"/>
    <n v="0"/>
    <x v="6"/>
    <n v="0"/>
  </r>
  <r>
    <x v="2"/>
    <x v="49"/>
    <n v="0"/>
    <n v="0"/>
    <x v="0"/>
    <n v="7.89"/>
    <n v="0.1"/>
    <n v="7.99"/>
    <n v="98.75"/>
    <n v="0"/>
    <x v="10"/>
    <n v="0"/>
    <x v="3"/>
    <n v="0"/>
  </r>
  <r>
    <x v="2"/>
    <x v="50"/>
    <n v="2.58"/>
    <n v="2.98"/>
    <x v="218"/>
    <n v="7.32"/>
    <n v="2.31"/>
    <n v="9.6300000000000008"/>
    <n v="76.010000000000005"/>
    <n v="26.83"/>
    <x v="10"/>
    <n v="30.96"/>
    <x v="4"/>
    <n v="0.26791277258566976"/>
  </r>
  <r>
    <x v="0"/>
    <x v="4"/>
    <n v="5.66"/>
    <n v="5.33"/>
    <x v="219"/>
    <n v="7.75"/>
    <n v="0.23"/>
    <n v="7.98"/>
    <n v="97.12"/>
    <n v="70.930000000000007"/>
    <x v="11"/>
    <n v="67.92"/>
    <x v="0"/>
    <n v="0.7092731829573935"/>
  </r>
  <r>
    <x v="0"/>
    <x v="6"/>
    <n v="5.68"/>
    <n v="5.35"/>
    <x v="220"/>
    <n v="7.75"/>
    <n v="0.23"/>
    <n v="7.98"/>
    <n v="97.12"/>
    <n v="71.180000000000007"/>
    <x v="11"/>
    <n v="68.16"/>
    <x v="0"/>
    <n v="0.71177944862155385"/>
  </r>
  <r>
    <x v="1"/>
    <x v="12"/>
    <n v="2.02"/>
    <n v="0.9"/>
    <x v="221"/>
    <n v="3.07"/>
    <n v="4.9800000000000004"/>
    <n v="8.0500000000000007"/>
    <n v="38.14"/>
    <n v="25.09"/>
    <x v="11"/>
    <n v="24.240000000000002"/>
    <x v="1"/>
    <n v="0.2509316770186335"/>
  </r>
  <r>
    <x v="1"/>
    <x v="13"/>
    <n v="0.71"/>
    <n v="0.15"/>
    <x v="222"/>
    <n v="6.04"/>
    <n v="2.0099999999999998"/>
    <n v="8.0500000000000007"/>
    <n v="75.03"/>
    <n v="8.82"/>
    <x v="11"/>
    <n v="8.52"/>
    <x v="1"/>
    <n v="8.819875776397515E-2"/>
  </r>
  <r>
    <x v="2"/>
    <x v="15"/>
    <n v="2.25"/>
    <n v="4.28"/>
    <x v="223"/>
    <n v="6.28"/>
    <n v="1.69"/>
    <n v="7.97"/>
    <n v="78.8"/>
    <n v="28.23"/>
    <x v="11"/>
    <n v="27"/>
    <x v="3"/>
    <n v="0.2823086574654956"/>
  </r>
  <r>
    <x v="2"/>
    <x v="16"/>
    <n v="4.13"/>
    <n v="4.55"/>
    <x v="224"/>
    <n v="5.48"/>
    <n v="3.03"/>
    <n v="8.51"/>
    <n v="64.39"/>
    <n v="48.53"/>
    <x v="11"/>
    <n v="49.559999999999995"/>
    <x v="4"/>
    <n v="0.48531139835487663"/>
  </r>
  <r>
    <x v="2"/>
    <x v="17"/>
    <n v="1.18"/>
    <n v="0.6"/>
    <x v="225"/>
    <n v="0.6"/>
    <n v="7.69"/>
    <n v="8.2899999999999991"/>
    <n v="7.24"/>
    <n v="14.23"/>
    <x v="11"/>
    <n v="14.16"/>
    <x v="3"/>
    <n v="0.14234016887816647"/>
  </r>
  <r>
    <x v="2"/>
    <x v="19"/>
    <n v="0"/>
    <n v="0"/>
    <x v="0"/>
    <n v="0"/>
    <n v="0"/>
    <n v="0"/>
    <n v="0"/>
    <n v="0"/>
    <x v="11"/>
    <n v="0"/>
    <x v="2"/>
    <n v="0"/>
  </r>
  <r>
    <x v="2"/>
    <x v="21"/>
    <n v="12.13"/>
    <n v="6.93"/>
    <x v="226"/>
    <n v="9.85"/>
    <n v="1.29"/>
    <n v="11.14"/>
    <n v="88.42"/>
    <n v="108.89"/>
    <x v="11"/>
    <n v="145.56"/>
    <x v="2"/>
    <n v="1.0888689407540395"/>
  </r>
  <r>
    <x v="2"/>
    <x v="22"/>
    <n v="1.5"/>
    <n v="0.77"/>
    <x v="227"/>
    <n v="5.59"/>
    <n v="2.29"/>
    <n v="7.88"/>
    <n v="70.94"/>
    <n v="19.04"/>
    <x v="11"/>
    <n v="18"/>
    <x v="4"/>
    <n v="0.19035532994923859"/>
  </r>
  <r>
    <x v="2"/>
    <x v="23"/>
    <n v="2.2200000000000002"/>
    <n v="4.7699999999999996"/>
    <x v="228"/>
    <n v="2.15"/>
    <n v="7.97"/>
    <n v="10.119999999999999"/>
    <n v="21.25"/>
    <n v="21.94"/>
    <x v="11"/>
    <n v="26.640000000000004"/>
    <x v="3"/>
    <n v="0.21936758893280636"/>
  </r>
  <r>
    <x v="2"/>
    <x v="25"/>
    <n v="12"/>
    <n v="8.7200000000000006"/>
    <x v="229"/>
    <n v="6.99"/>
    <n v="2.54"/>
    <n v="9.5299999999999994"/>
    <n v="73.349999999999994"/>
    <n v="125.92"/>
    <x v="11"/>
    <n v="144"/>
    <x v="2"/>
    <n v="1.2591815320041972"/>
  </r>
  <r>
    <x v="2"/>
    <x v="28"/>
    <n v="0"/>
    <n v="0"/>
    <x v="0"/>
    <n v="0"/>
    <n v="0"/>
    <n v="0"/>
    <n v="0"/>
    <n v="0"/>
    <x v="11"/>
    <n v="0"/>
    <x v="2"/>
    <n v="0"/>
  </r>
  <r>
    <x v="2"/>
    <x v="30"/>
    <n v="0"/>
    <n v="0"/>
    <x v="0"/>
    <n v="0"/>
    <n v="0"/>
    <n v="0"/>
    <n v="0"/>
    <n v="0"/>
    <x v="11"/>
    <n v="0"/>
    <x v="5"/>
    <n v="0"/>
  </r>
  <r>
    <x v="2"/>
    <x v="32"/>
    <n v="3.25"/>
    <n v="6.61"/>
    <x v="230"/>
    <n v="6.11"/>
    <n v="2.19"/>
    <n v="8.3000000000000007"/>
    <n v="73.61"/>
    <n v="39.159999999999997"/>
    <x v="11"/>
    <n v="39"/>
    <x v="3"/>
    <n v="0.39156626506024095"/>
  </r>
  <r>
    <x v="2"/>
    <x v="33"/>
    <n v="0"/>
    <n v="0"/>
    <x v="0"/>
    <n v="0"/>
    <n v="0"/>
    <n v="0"/>
    <n v="0"/>
    <n v="0"/>
    <x v="11"/>
    <n v="0"/>
    <x v="3"/>
    <n v="0"/>
  </r>
  <r>
    <x v="2"/>
    <x v="34"/>
    <n v="5.41"/>
    <n v="5.31"/>
    <x v="231"/>
    <n v="6.67"/>
    <n v="1.17"/>
    <n v="7.84"/>
    <n v="85.08"/>
    <n v="69.09"/>
    <x v="11"/>
    <n v="64.92"/>
    <x v="4"/>
    <n v="0.69005102040816335"/>
  </r>
  <r>
    <x v="2"/>
    <x v="35"/>
    <n v="0"/>
    <n v="0"/>
    <x v="0"/>
    <n v="0"/>
    <n v="0"/>
    <n v="0"/>
    <n v="0"/>
    <n v="0"/>
    <x v="11"/>
    <n v="0"/>
    <x v="2"/>
    <n v="0"/>
  </r>
  <r>
    <x v="2"/>
    <x v="36"/>
    <n v="1.25"/>
    <n v="1.75"/>
    <x v="232"/>
    <n v="5.65"/>
    <n v="2.16"/>
    <n v="7.81"/>
    <n v="72.34"/>
    <n v="16.010000000000002"/>
    <x v="11"/>
    <n v="15"/>
    <x v="4"/>
    <n v="0.16005121638924458"/>
  </r>
  <r>
    <x v="2"/>
    <x v="37"/>
    <n v="3.41"/>
    <n v="7.5"/>
    <x v="233"/>
    <n v="6.49"/>
    <n v="1.84"/>
    <n v="8.33"/>
    <n v="77.91"/>
    <n v="41.02"/>
    <x v="11"/>
    <n v="40.92"/>
    <x v="4"/>
    <n v="0.40936374549819932"/>
  </r>
  <r>
    <x v="2"/>
    <x v="38"/>
    <n v="16.829999999999998"/>
    <n v="6.03"/>
    <x v="234"/>
    <n v="7.41"/>
    <n v="1.41"/>
    <n v="8.82"/>
    <n v="84.01"/>
    <n v="190.85"/>
    <x v="11"/>
    <n v="201.95999999999998"/>
    <x v="2"/>
    <n v="1.9081632653061222"/>
  </r>
  <r>
    <x v="2"/>
    <x v="39"/>
    <n v="6.58"/>
    <n v="5.2"/>
    <x v="235"/>
    <n v="7.1"/>
    <n v="0.96"/>
    <n v="8.06"/>
    <n v="88.09"/>
    <n v="81.680000000000007"/>
    <x v="11"/>
    <n v="78.960000000000008"/>
    <x v="2"/>
    <n v="0.81637717121588083"/>
  </r>
  <r>
    <x v="2"/>
    <x v="40"/>
    <n v="1.41"/>
    <n v="1.36"/>
    <x v="236"/>
    <n v="8.0500000000000007"/>
    <n v="0.28000000000000003"/>
    <n v="8.33"/>
    <n v="96.64"/>
    <n v="17.010000000000002"/>
    <x v="11"/>
    <n v="16.919999999999998"/>
    <x v="3"/>
    <n v="0.16926770708283312"/>
  </r>
  <r>
    <x v="2"/>
    <x v="43"/>
    <n v="1"/>
    <n v="0.77"/>
    <x v="237"/>
    <n v="7.41"/>
    <n v="0.92"/>
    <n v="8.33"/>
    <n v="88.96"/>
    <n v="12"/>
    <x v="11"/>
    <n v="12"/>
    <x v="3"/>
    <n v="0.12004801920768307"/>
  </r>
  <r>
    <x v="2"/>
    <x v="44"/>
    <n v="1"/>
    <n v="1.58"/>
    <x v="238"/>
    <n v="6.35"/>
    <n v="1.61"/>
    <n v="7.96"/>
    <n v="79.77"/>
    <n v="12.56"/>
    <x v="11"/>
    <n v="12"/>
    <x v="3"/>
    <n v="0.12562814070351758"/>
  </r>
  <r>
    <x v="2"/>
    <x v="45"/>
    <n v="0"/>
    <n v="0"/>
    <x v="0"/>
    <n v="6.97"/>
    <n v="0.99"/>
    <n v="7.96"/>
    <n v="87.56"/>
    <n v="0"/>
    <x v="11"/>
    <n v="0"/>
    <x v="4"/>
    <n v="0"/>
  </r>
  <r>
    <x v="2"/>
    <x v="46"/>
    <n v="0"/>
    <n v="0"/>
    <x v="0"/>
    <n v="0"/>
    <n v="0"/>
    <n v="0"/>
    <n v="0"/>
    <n v="0"/>
    <x v="11"/>
    <n v="0"/>
    <x v="4"/>
    <n v="0"/>
  </r>
  <r>
    <x v="2"/>
    <x v="48"/>
    <n v="0"/>
    <n v="0"/>
    <x v="0"/>
    <n v="0"/>
    <n v="0"/>
    <n v="0"/>
    <n v="0"/>
    <n v="0"/>
    <x v="11"/>
    <n v="0"/>
    <x v="6"/>
    <n v="0"/>
  </r>
  <r>
    <x v="2"/>
    <x v="50"/>
    <n v="3.5"/>
    <n v="3.97"/>
    <x v="239"/>
    <n v="7.24"/>
    <n v="0.85"/>
    <n v="8.09"/>
    <n v="89.49"/>
    <n v="43.26"/>
    <x v="11"/>
    <n v="42"/>
    <x v="4"/>
    <n v="0.43263288009888751"/>
  </r>
  <r>
    <x v="0"/>
    <x v="0"/>
    <n v="0"/>
    <n v="0"/>
    <x v="0"/>
    <n v="0"/>
    <n v="0"/>
    <n v="0"/>
    <n v="0"/>
    <n v="0"/>
    <x v="12"/>
    <n v="0"/>
    <x v="0"/>
    <n v="0"/>
  </r>
  <r>
    <x v="0"/>
    <x v="1"/>
    <n v="0"/>
    <n v="0"/>
    <x v="0"/>
    <n v="0"/>
    <n v="0"/>
    <n v="0"/>
    <n v="0"/>
    <n v="0"/>
    <x v="12"/>
    <n v="0"/>
    <x v="0"/>
    <n v="0"/>
  </r>
  <r>
    <x v="0"/>
    <x v="2"/>
    <n v="0"/>
    <n v="0"/>
    <x v="0"/>
    <n v="0"/>
    <n v="0"/>
    <n v="0"/>
    <n v="0"/>
    <n v="0"/>
    <x v="12"/>
    <n v="0"/>
    <x v="0"/>
    <n v="0"/>
  </r>
  <r>
    <x v="0"/>
    <x v="4"/>
    <n v="0"/>
    <n v="0"/>
    <x v="0"/>
    <n v="5.65"/>
    <n v="2.37"/>
    <n v="8.02"/>
    <n v="70.45"/>
    <n v="0"/>
    <x v="12"/>
    <n v="0"/>
    <x v="0"/>
    <n v="0"/>
  </r>
  <r>
    <x v="0"/>
    <x v="5"/>
    <n v="0"/>
    <n v="0"/>
    <x v="0"/>
    <n v="5.72"/>
    <n v="2.3199999999999998"/>
    <n v="8.0399999999999991"/>
    <n v="71.14"/>
    <n v="0"/>
    <x v="12"/>
    <n v="0"/>
    <x v="0"/>
    <n v="0"/>
  </r>
  <r>
    <x v="0"/>
    <x v="6"/>
    <n v="0"/>
    <n v="0"/>
    <x v="0"/>
    <n v="5.67"/>
    <n v="2.36"/>
    <n v="8.0299999999999994"/>
    <n v="70.61"/>
    <n v="0"/>
    <x v="12"/>
    <n v="0"/>
    <x v="0"/>
    <n v="0"/>
  </r>
  <r>
    <x v="0"/>
    <x v="8"/>
    <n v="0"/>
    <n v="0"/>
    <x v="0"/>
    <n v="0"/>
    <n v="0"/>
    <n v="0"/>
    <n v="0"/>
    <n v="0"/>
    <x v="12"/>
    <n v="0"/>
    <x v="0"/>
    <n v="0"/>
  </r>
  <r>
    <x v="1"/>
    <x v="9"/>
    <n v="0"/>
    <n v="0"/>
    <x v="0"/>
    <n v="6.85"/>
    <n v="1.18"/>
    <n v="8.0299999999999994"/>
    <n v="85.31"/>
    <n v="0"/>
    <x v="12"/>
    <n v="0"/>
    <x v="1"/>
    <n v="0"/>
  </r>
  <r>
    <x v="1"/>
    <x v="10"/>
    <n v="0"/>
    <n v="0"/>
    <x v="0"/>
    <n v="0"/>
    <n v="0"/>
    <n v="0"/>
    <n v="0"/>
    <n v="0"/>
    <x v="12"/>
    <n v="0"/>
    <x v="1"/>
    <n v="0"/>
  </r>
  <r>
    <x v="1"/>
    <x v="11"/>
    <n v="0"/>
    <n v="0"/>
    <x v="0"/>
    <n v="0"/>
    <n v="0"/>
    <n v="0"/>
    <n v="0"/>
    <n v="0"/>
    <x v="12"/>
    <n v="0"/>
    <x v="1"/>
    <n v="0"/>
  </r>
  <r>
    <x v="1"/>
    <x v="12"/>
    <n v="0"/>
    <n v="0"/>
    <x v="0"/>
    <n v="0"/>
    <n v="0"/>
    <n v="0"/>
    <n v="0"/>
    <n v="0"/>
    <x v="12"/>
    <n v="0"/>
    <x v="1"/>
    <n v="0"/>
  </r>
  <r>
    <x v="1"/>
    <x v="13"/>
    <n v="0"/>
    <n v="0"/>
    <x v="0"/>
    <n v="0"/>
    <n v="0"/>
    <n v="0"/>
    <n v="0"/>
    <n v="0"/>
    <x v="12"/>
    <n v="0"/>
    <x v="1"/>
    <n v="0"/>
  </r>
  <r>
    <x v="2"/>
    <x v="14"/>
    <n v="2.08"/>
    <n v="3.03"/>
    <x v="240"/>
    <n v="3.7"/>
    <n v="3.77"/>
    <n v="7.47"/>
    <n v="49.53"/>
    <n v="27.89"/>
    <x v="12"/>
    <n v="24.96"/>
    <x v="2"/>
    <n v="0.27844712182061582"/>
  </r>
  <r>
    <x v="2"/>
    <x v="15"/>
    <n v="3.95"/>
    <n v="4.29"/>
    <x v="241"/>
    <n v="3.27"/>
    <n v="2.29"/>
    <n v="5.56"/>
    <n v="58.81"/>
    <n v="71.16"/>
    <x v="12"/>
    <n v="47.4"/>
    <x v="3"/>
    <n v="0.71043165467625913"/>
  </r>
  <r>
    <x v="2"/>
    <x v="17"/>
    <n v="1.08"/>
    <n v="2.35"/>
    <x v="242"/>
    <n v="2.35"/>
    <n v="1.07"/>
    <n v="3.42"/>
    <n v="68.709999999999994"/>
    <n v="31.68"/>
    <x v="12"/>
    <n v="12.960000000000003"/>
    <x v="3"/>
    <n v="0.31578947368421056"/>
  </r>
  <r>
    <x v="2"/>
    <x v="18"/>
    <n v="0"/>
    <n v="0"/>
    <x v="0"/>
    <n v="0"/>
    <n v="0"/>
    <n v="0"/>
    <n v="0"/>
    <n v="0"/>
    <x v="12"/>
    <n v="0"/>
    <x v="3"/>
    <n v="0"/>
  </r>
  <r>
    <x v="2"/>
    <x v="19"/>
    <n v="0"/>
    <n v="0"/>
    <x v="0"/>
    <n v="0"/>
    <n v="0"/>
    <n v="0"/>
    <n v="0"/>
    <n v="0"/>
    <x v="12"/>
    <n v="0"/>
    <x v="2"/>
    <n v="0"/>
  </r>
  <r>
    <x v="2"/>
    <x v="22"/>
    <n v="3.03"/>
    <n v="2.2000000000000002"/>
    <x v="243"/>
    <n v="2.2000000000000002"/>
    <n v="1.89"/>
    <n v="4.09"/>
    <n v="53.79"/>
    <n v="74.08"/>
    <x v="12"/>
    <n v="36.36"/>
    <x v="4"/>
    <n v="0.74083129584352081"/>
  </r>
  <r>
    <x v="2"/>
    <x v="23"/>
    <n v="0"/>
    <n v="0"/>
    <x v="0"/>
    <n v="0"/>
    <n v="0"/>
    <n v="0"/>
    <n v="0"/>
    <n v="0"/>
    <x v="12"/>
    <n v="0"/>
    <x v="3"/>
    <n v="0"/>
  </r>
  <r>
    <x v="2"/>
    <x v="24"/>
    <n v="0"/>
    <n v="0"/>
    <x v="0"/>
    <n v="0"/>
    <n v="0"/>
    <n v="0"/>
    <n v="0"/>
    <n v="0"/>
    <x v="12"/>
    <n v="0"/>
    <x v="5"/>
    <n v="0"/>
  </r>
  <r>
    <x v="2"/>
    <x v="26"/>
    <n v="1.08"/>
    <n v="0.9"/>
    <x v="244"/>
    <n v="1.5"/>
    <n v="2.33"/>
    <n v="3.83"/>
    <n v="39.159999999999997"/>
    <n v="28.29"/>
    <x v="12"/>
    <n v="12.960000000000003"/>
    <x v="3"/>
    <n v="0.28198433420365537"/>
  </r>
  <r>
    <x v="2"/>
    <x v="28"/>
    <n v="0"/>
    <n v="0"/>
    <x v="0"/>
    <n v="0"/>
    <n v="0"/>
    <n v="0"/>
    <n v="0"/>
    <n v="0"/>
    <x v="12"/>
    <n v="0"/>
    <x v="2"/>
    <n v="0"/>
  </r>
  <r>
    <x v="2"/>
    <x v="30"/>
    <n v="0"/>
    <n v="0"/>
    <x v="0"/>
    <n v="0"/>
    <n v="0"/>
    <n v="0"/>
    <n v="0"/>
    <n v="0"/>
    <x v="12"/>
    <n v="0"/>
    <x v="5"/>
    <n v="0"/>
  </r>
  <r>
    <x v="2"/>
    <x v="31"/>
    <n v="0"/>
    <n v="0"/>
    <x v="0"/>
    <n v="0"/>
    <n v="0"/>
    <n v="0"/>
    <n v="0"/>
    <n v="0"/>
    <x v="12"/>
    <n v="0"/>
    <x v="2"/>
    <n v="0"/>
  </r>
  <r>
    <x v="2"/>
    <x v="32"/>
    <n v="1"/>
    <n v="2.35"/>
    <x v="245"/>
    <n v="2.35"/>
    <n v="1.65"/>
    <n v="4"/>
    <n v="58.75"/>
    <n v="25"/>
    <x v="12"/>
    <n v="12"/>
    <x v="3"/>
    <n v="0.25"/>
  </r>
  <r>
    <x v="2"/>
    <x v="33"/>
    <n v="1.66"/>
    <n v="0.35"/>
    <x v="246"/>
    <n v="2.62"/>
    <n v="1.36"/>
    <n v="3.98"/>
    <n v="65.83"/>
    <n v="41.88"/>
    <x v="12"/>
    <n v="19.919999999999998"/>
    <x v="3"/>
    <n v="0.41708542713567837"/>
  </r>
  <r>
    <x v="2"/>
    <x v="35"/>
    <n v="3.75"/>
    <n v="2.5"/>
    <x v="247"/>
    <n v="2.5"/>
    <n v="1.55"/>
    <n v="4.05"/>
    <n v="61.73"/>
    <n v="92.59"/>
    <x v="12"/>
    <n v="45"/>
    <x v="2"/>
    <n v="0.92592592592592593"/>
  </r>
  <r>
    <x v="2"/>
    <x v="36"/>
    <n v="1.4"/>
    <n v="2.7"/>
    <x v="248"/>
    <n v="4.1500000000000004"/>
    <n v="3.38"/>
    <n v="7.53"/>
    <n v="55.11"/>
    <n v="18.59"/>
    <x v="12"/>
    <n v="16.8"/>
    <x v="4"/>
    <n v="0.18592297476759626"/>
  </r>
  <r>
    <x v="2"/>
    <x v="37"/>
    <n v="1.3"/>
    <n v="2.04"/>
    <x v="249"/>
    <n v="2.04"/>
    <n v="1.94"/>
    <n v="3.98"/>
    <n v="51.26"/>
    <n v="32.659999999999997"/>
    <x v="12"/>
    <n v="15.6"/>
    <x v="4"/>
    <n v="0.32663316582914576"/>
  </r>
  <r>
    <x v="2"/>
    <x v="40"/>
    <n v="2"/>
    <n v="2.35"/>
    <x v="250"/>
    <n v="2.35"/>
    <n v="1.65"/>
    <n v="4"/>
    <n v="58.75"/>
    <n v="50"/>
    <x v="12"/>
    <n v="24"/>
    <x v="3"/>
    <n v="0.5"/>
  </r>
  <r>
    <x v="2"/>
    <x v="41"/>
    <n v="2.42"/>
    <n v="1.1299999999999999"/>
    <x v="251"/>
    <n v="2.98"/>
    <n v="1.04"/>
    <n v="4.0199999999999996"/>
    <n v="74.13"/>
    <n v="60.2"/>
    <x v="12"/>
    <n v="29.04"/>
    <x v="5"/>
    <n v="0.60199004975124382"/>
  </r>
  <r>
    <x v="2"/>
    <x v="42"/>
    <n v="0"/>
    <n v="0"/>
    <x v="0"/>
    <n v="0"/>
    <n v="0"/>
    <n v="0"/>
    <n v="0"/>
    <n v="0"/>
    <x v="12"/>
    <n v="0"/>
    <x v="2"/>
    <n v="0"/>
  </r>
  <r>
    <x v="2"/>
    <x v="43"/>
    <n v="0"/>
    <n v="0"/>
    <x v="0"/>
    <n v="0"/>
    <n v="0"/>
    <n v="0"/>
    <n v="0"/>
    <n v="0"/>
    <x v="12"/>
    <n v="0"/>
    <x v="3"/>
    <n v="0"/>
  </r>
  <r>
    <x v="2"/>
    <x v="46"/>
    <n v="0"/>
    <n v="0"/>
    <x v="0"/>
    <n v="0"/>
    <n v="0"/>
    <n v="0"/>
    <n v="0"/>
    <n v="0"/>
    <x v="12"/>
    <n v="0"/>
    <x v="4"/>
    <n v="0"/>
  </r>
  <r>
    <x v="2"/>
    <x v="48"/>
    <n v="0"/>
    <n v="0"/>
    <x v="0"/>
    <n v="0"/>
    <n v="0"/>
    <n v="0"/>
    <n v="0"/>
    <n v="0"/>
    <x v="12"/>
    <n v="0"/>
    <x v="6"/>
    <n v="0"/>
  </r>
  <r>
    <x v="2"/>
    <x v="49"/>
    <n v="0"/>
    <n v="0"/>
    <x v="0"/>
    <n v="0"/>
    <n v="0"/>
    <n v="0"/>
    <n v="0"/>
    <n v="0"/>
    <x v="12"/>
    <n v="0"/>
    <x v="3"/>
    <n v="0"/>
  </r>
  <r>
    <x v="2"/>
    <x v="50"/>
    <n v="0"/>
    <n v="0"/>
    <x v="0"/>
    <n v="0"/>
    <n v="0"/>
    <n v="0"/>
    <n v="0"/>
    <n v="0"/>
    <x v="12"/>
    <n v="0"/>
    <x v="4"/>
    <n v="0"/>
  </r>
  <r>
    <x v="0"/>
    <x v="0"/>
    <n v="0"/>
    <n v="0"/>
    <x v="0"/>
    <n v="0"/>
    <n v="0"/>
    <n v="0"/>
    <n v="0"/>
    <n v="0"/>
    <x v="13"/>
    <n v="0"/>
    <x v="0"/>
    <n v="0"/>
  </r>
  <r>
    <x v="0"/>
    <x v="1"/>
    <n v="0"/>
    <n v="0"/>
    <x v="0"/>
    <n v="0"/>
    <n v="0"/>
    <n v="0"/>
    <n v="0"/>
    <n v="0"/>
    <x v="13"/>
    <n v="0"/>
    <x v="0"/>
    <n v="0"/>
  </r>
  <r>
    <x v="0"/>
    <x v="2"/>
    <n v="0"/>
    <n v="0"/>
    <x v="0"/>
    <n v="0"/>
    <n v="0"/>
    <n v="0"/>
    <n v="0"/>
    <n v="0"/>
    <x v="13"/>
    <n v="0"/>
    <x v="0"/>
    <n v="0"/>
  </r>
  <r>
    <x v="0"/>
    <x v="3"/>
    <n v="0"/>
    <n v="0"/>
    <x v="0"/>
    <n v="0"/>
    <n v="0"/>
    <n v="0"/>
    <n v="0"/>
    <n v="0"/>
    <x v="13"/>
    <n v="0"/>
    <x v="0"/>
    <n v="0"/>
  </r>
  <r>
    <x v="0"/>
    <x v="4"/>
    <n v="0"/>
    <n v="0"/>
    <x v="0"/>
    <n v="0"/>
    <n v="0"/>
    <n v="0"/>
    <n v="0"/>
    <n v="0"/>
    <x v="13"/>
    <n v="0"/>
    <x v="0"/>
    <n v="0"/>
  </r>
  <r>
    <x v="0"/>
    <x v="5"/>
    <n v="0"/>
    <n v="0"/>
    <x v="0"/>
    <n v="0"/>
    <n v="0"/>
    <n v="0"/>
    <n v="0"/>
    <n v="0"/>
    <x v="13"/>
    <n v="0"/>
    <x v="0"/>
    <n v="0"/>
  </r>
  <r>
    <x v="0"/>
    <x v="6"/>
    <n v="0"/>
    <n v="0"/>
    <x v="0"/>
    <n v="0"/>
    <n v="0"/>
    <n v="0"/>
    <n v="0"/>
    <n v="0"/>
    <x v="13"/>
    <n v="0"/>
    <x v="0"/>
    <n v="0"/>
  </r>
  <r>
    <x v="0"/>
    <x v="7"/>
    <n v="0"/>
    <n v="0"/>
    <x v="0"/>
    <n v="0"/>
    <n v="0"/>
    <n v="0"/>
    <n v="0"/>
    <n v="0"/>
    <x v="13"/>
    <n v="0"/>
    <x v="0"/>
    <n v="0"/>
  </r>
  <r>
    <x v="0"/>
    <x v="8"/>
    <n v="0"/>
    <n v="0"/>
    <x v="0"/>
    <n v="0"/>
    <n v="0"/>
    <n v="0"/>
    <n v="0"/>
    <n v="0"/>
    <x v="13"/>
    <n v="0"/>
    <x v="0"/>
    <n v="0"/>
  </r>
  <r>
    <x v="1"/>
    <x v="9"/>
    <n v="0"/>
    <n v="0"/>
    <x v="0"/>
    <n v="0"/>
    <n v="0"/>
    <n v="0"/>
    <n v="0"/>
    <n v="0"/>
    <x v="13"/>
    <n v="0"/>
    <x v="1"/>
    <n v="0"/>
  </r>
  <r>
    <x v="1"/>
    <x v="10"/>
    <n v="0"/>
    <n v="0"/>
    <x v="0"/>
    <n v="0"/>
    <n v="0"/>
    <n v="0"/>
    <n v="0"/>
    <n v="0"/>
    <x v="13"/>
    <n v="0"/>
    <x v="1"/>
    <n v="0"/>
  </r>
  <r>
    <x v="1"/>
    <x v="11"/>
    <n v="0"/>
    <n v="0"/>
    <x v="0"/>
    <n v="0"/>
    <n v="0"/>
    <n v="0"/>
    <n v="0"/>
    <n v="0"/>
    <x v="13"/>
    <n v="0"/>
    <x v="1"/>
    <n v="0"/>
  </r>
  <r>
    <x v="1"/>
    <x v="12"/>
    <n v="0"/>
    <n v="0"/>
    <x v="0"/>
    <n v="0"/>
    <n v="0"/>
    <n v="0"/>
    <n v="0"/>
    <n v="0"/>
    <x v="13"/>
    <n v="0"/>
    <x v="1"/>
    <n v="0"/>
  </r>
  <r>
    <x v="1"/>
    <x v="13"/>
    <n v="0"/>
    <n v="0"/>
    <x v="0"/>
    <n v="0"/>
    <n v="0"/>
    <n v="0"/>
    <n v="0"/>
    <n v="0"/>
    <x v="13"/>
    <n v="0"/>
    <x v="1"/>
    <n v="0"/>
  </r>
  <r>
    <x v="2"/>
    <x v="14"/>
    <n v="0"/>
    <n v="0"/>
    <x v="0"/>
    <n v="0"/>
    <n v="0"/>
    <n v="0"/>
    <n v="0"/>
    <n v="0"/>
    <x v="13"/>
    <n v="0"/>
    <x v="2"/>
    <n v="0"/>
  </r>
  <r>
    <x v="2"/>
    <x v="15"/>
    <n v="0"/>
    <n v="0"/>
    <x v="0"/>
    <n v="0"/>
    <n v="0"/>
    <n v="0"/>
    <n v="0"/>
    <n v="0"/>
    <x v="13"/>
    <n v="0"/>
    <x v="3"/>
    <n v="0"/>
  </r>
  <r>
    <x v="2"/>
    <x v="16"/>
    <n v="0"/>
    <n v="0"/>
    <x v="0"/>
    <n v="0"/>
    <n v="0"/>
    <n v="0"/>
    <n v="0"/>
    <n v="0"/>
    <x v="13"/>
    <n v="0"/>
    <x v="4"/>
    <n v="0"/>
  </r>
  <r>
    <x v="2"/>
    <x v="17"/>
    <n v="0"/>
    <n v="0"/>
    <x v="0"/>
    <n v="0"/>
    <n v="0"/>
    <n v="0"/>
    <n v="0"/>
    <n v="0"/>
    <x v="13"/>
    <n v="0"/>
    <x v="3"/>
    <n v="0"/>
  </r>
  <r>
    <x v="2"/>
    <x v="18"/>
    <n v="0"/>
    <n v="0"/>
    <x v="0"/>
    <n v="0"/>
    <n v="0"/>
    <n v="0"/>
    <n v="0"/>
    <n v="0"/>
    <x v="13"/>
    <n v="0"/>
    <x v="3"/>
    <n v="0"/>
  </r>
  <r>
    <x v="2"/>
    <x v="19"/>
    <n v="0"/>
    <n v="0"/>
    <x v="0"/>
    <n v="0"/>
    <n v="0"/>
    <n v="0"/>
    <n v="0"/>
    <n v="0"/>
    <x v="13"/>
    <n v="0"/>
    <x v="2"/>
    <n v="0"/>
  </r>
  <r>
    <x v="2"/>
    <x v="20"/>
    <n v="0"/>
    <n v="0"/>
    <x v="0"/>
    <n v="0"/>
    <n v="0"/>
    <n v="0"/>
    <n v="0"/>
    <n v="0"/>
    <x v="13"/>
    <n v="0"/>
    <x v="5"/>
    <n v="0"/>
  </r>
  <r>
    <x v="2"/>
    <x v="21"/>
    <n v="0"/>
    <n v="0"/>
    <x v="0"/>
    <n v="0"/>
    <n v="0"/>
    <n v="0"/>
    <n v="0"/>
    <n v="0"/>
    <x v="13"/>
    <n v="0"/>
    <x v="2"/>
    <n v="0"/>
  </r>
  <r>
    <x v="2"/>
    <x v="22"/>
    <n v="0"/>
    <n v="0"/>
    <x v="0"/>
    <n v="0"/>
    <n v="0"/>
    <n v="0"/>
    <n v="0"/>
    <n v="0"/>
    <x v="13"/>
    <n v="0"/>
    <x v="4"/>
    <n v="0"/>
  </r>
  <r>
    <x v="2"/>
    <x v="23"/>
    <n v="0"/>
    <n v="0"/>
    <x v="0"/>
    <n v="0"/>
    <n v="0"/>
    <n v="0"/>
    <n v="0"/>
    <n v="0"/>
    <x v="13"/>
    <n v="0"/>
    <x v="3"/>
    <n v="0"/>
  </r>
  <r>
    <x v="2"/>
    <x v="24"/>
    <n v="0"/>
    <n v="0"/>
    <x v="0"/>
    <n v="0"/>
    <n v="0"/>
    <n v="0"/>
    <n v="0"/>
    <n v="0"/>
    <x v="13"/>
    <n v="0"/>
    <x v="5"/>
    <n v="0"/>
  </r>
  <r>
    <x v="2"/>
    <x v="25"/>
    <n v="0"/>
    <n v="0"/>
    <x v="0"/>
    <n v="0"/>
    <n v="0"/>
    <n v="0"/>
    <n v="0"/>
    <n v="0"/>
    <x v="13"/>
    <n v="0"/>
    <x v="2"/>
    <n v="0"/>
  </r>
  <r>
    <x v="2"/>
    <x v="26"/>
    <n v="0"/>
    <n v="0"/>
    <x v="0"/>
    <n v="0"/>
    <n v="0"/>
    <n v="0"/>
    <n v="0"/>
    <n v="0"/>
    <x v="13"/>
    <n v="0"/>
    <x v="3"/>
    <n v="0"/>
  </r>
  <r>
    <x v="2"/>
    <x v="27"/>
    <n v="0"/>
    <n v="0"/>
    <x v="0"/>
    <n v="0"/>
    <n v="0"/>
    <n v="0"/>
    <n v="0"/>
    <n v="0"/>
    <x v="13"/>
    <n v="0"/>
    <x v="5"/>
    <n v="0"/>
  </r>
  <r>
    <x v="2"/>
    <x v="28"/>
    <n v="0"/>
    <n v="0"/>
    <x v="0"/>
    <n v="0"/>
    <n v="0"/>
    <n v="0"/>
    <n v="0"/>
    <n v="0"/>
    <x v="13"/>
    <n v="0"/>
    <x v="2"/>
    <n v="0"/>
  </r>
  <r>
    <x v="2"/>
    <x v="29"/>
    <n v="0"/>
    <n v="0"/>
    <x v="0"/>
    <n v="0"/>
    <n v="0"/>
    <n v="0"/>
    <n v="0"/>
    <n v="0"/>
    <x v="13"/>
    <n v="0"/>
    <x v="5"/>
    <n v="0"/>
  </r>
  <r>
    <x v="2"/>
    <x v="30"/>
    <n v="0"/>
    <n v="0"/>
    <x v="0"/>
    <n v="0"/>
    <n v="0"/>
    <n v="0"/>
    <n v="0"/>
    <n v="0"/>
    <x v="13"/>
    <n v="0"/>
    <x v="5"/>
    <n v="0"/>
  </r>
  <r>
    <x v="2"/>
    <x v="31"/>
    <n v="0"/>
    <n v="0"/>
    <x v="0"/>
    <n v="0"/>
    <n v="0"/>
    <n v="0"/>
    <n v="0"/>
    <n v="0"/>
    <x v="13"/>
    <n v="0"/>
    <x v="2"/>
    <n v="0"/>
  </r>
  <r>
    <x v="2"/>
    <x v="32"/>
    <n v="0"/>
    <n v="0"/>
    <x v="0"/>
    <n v="0"/>
    <n v="0"/>
    <n v="0"/>
    <n v="0"/>
    <n v="0"/>
    <x v="13"/>
    <n v="0"/>
    <x v="3"/>
    <n v="0"/>
  </r>
  <r>
    <x v="2"/>
    <x v="33"/>
    <n v="0"/>
    <n v="0"/>
    <x v="0"/>
    <n v="0"/>
    <n v="0"/>
    <n v="0"/>
    <n v="0"/>
    <n v="0"/>
    <x v="13"/>
    <n v="0"/>
    <x v="3"/>
    <n v="0"/>
  </r>
  <r>
    <x v="2"/>
    <x v="34"/>
    <n v="0"/>
    <n v="0"/>
    <x v="0"/>
    <n v="0"/>
    <n v="0"/>
    <n v="0"/>
    <n v="0"/>
    <n v="0"/>
    <x v="13"/>
    <n v="0"/>
    <x v="4"/>
    <n v="0"/>
  </r>
  <r>
    <x v="2"/>
    <x v="35"/>
    <n v="0"/>
    <n v="0"/>
    <x v="0"/>
    <n v="0"/>
    <n v="0"/>
    <n v="0"/>
    <n v="0"/>
    <n v="0"/>
    <x v="13"/>
    <n v="0"/>
    <x v="2"/>
    <n v="0"/>
  </r>
  <r>
    <x v="2"/>
    <x v="36"/>
    <n v="0"/>
    <n v="0"/>
    <x v="0"/>
    <n v="0"/>
    <n v="0"/>
    <n v="0"/>
    <n v="0"/>
    <n v="0"/>
    <x v="13"/>
    <n v="0"/>
    <x v="4"/>
    <n v="0"/>
  </r>
  <r>
    <x v="2"/>
    <x v="37"/>
    <n v="0"/>
    <n v="0"/>
    <x v="0"/>
    <n v="0"/>
    <n v="0"/>
    <n v="0"/>
    <n v="0"/>
    <n v="0"/>
    <x v="13"/>
    <n v="0"/>
    <x v="4"/>
    <n v="0"/>
  </r>
  <r>
    <x v="2"/>
    <x v="38"/>
    <n v="0"/>
    <n v="0"/>
    <x v="0"/>
    <n v="0"/>
    <n v="0"/>
    <n v="0"/>
    <n v="0"/>
    <n v="0"/>
    <x v="13"/>
    <n v="0"/>
    <x v="2"/>
    <n v="0"/>
  </r>
  <r>
    <x v="2"/>
    <x v="39"/>
    <n v="0"/>
    <n v="0"/>
    <x v="0"/>
    <n v="0"/>
    <n v="0"/>
    <n v="0"/>
    <n v="0"/>
    <n v="0"/>
    <x v="13"/>
    <n v="0"/>
    <x v="2"/>
    <n v="0"/>
  </r>
  <r>
    <x v="2"/>
    <x v="40"/>
    <n v="0"/>
    <n v="0"/>
    <x v="0"/>
    <n v="0"/>
    <n v="0"/>
    <n v="0"/>
    <n v="0"/>
    <n v="0"/>
    <x v="13"/>
    <n v="0"/>
    <x v="3"/>
    <n v="0"/>
  </r>
  <r>
    <x v="2"/>
    <x v="41"/>
    <n v="0"/>
    <n v="0"/>
    <x v="0"/>
    <n v="0"/>
    <n v="0"/>
    <n v="0"/>
    <n v="0"/>
    <n v="0"/>
    <x v="13"/>
    <n v="0"/>
    <x v="5"/>
    <n v="0"/>
  </r>
  <r>
    <x v="2"/>
    <x v="42"/>
    <n v="0"/>
    <n v="0"/>
    <x v="0"/>
    <n v="0"/>
    <n v="0"/>
    <n v="0"/>
    <n v="0"/>
    <n v="0"/>
    <x v="13"/>
    <n v="0"/>
    <x v="2"/>
    <n v="0"/>
  </r>
  <r>
    <x v="2"/>
    <x v="43"/>
    <n v="0"/>
    <n v="0"/>
    <x v="0"/>
    <n v="0"/>
    <n v="0"/>
    <n v="0"/>
    <n v="0"/>
    <n v="0"/>
    <x v="13"/>
    <n v="0"/>
    <x v="3"/>
    <n v="0"/>
  </r>
  <r>
    <x v="2"/>
    <x v="44"/>
    <n v="0"/>
    <n v="0"/>
    <x v="0"/>
    <n v="0"/>
    <n v="0"/>
    <n v="0"/>
    <n v="0"/>
    <n v="0"/>
    <x v="13"/>
    <n v="0"/>
    <x v="3"/>
    <n v="0"/>
  </r>
  <r>
    <x v="2"/>
    <x v="45"/>
    <n v="0"/>
    <n v="0"/>
    <x v="0"/>
    <n v="0"/>
    <n v="0"/>
    <n v="0"/>
    <n v="0"/>
    <n v="0"/>
    <x v="13"/>
    <n v="0"/>
    <x v="4"/>
    <n v="0"/>
  </r>
  <r>
    <x v="2"/>
    <x v="46"/>
    <n v="0"/>
    <n v="0"/>
    <x v="0"/>
    <n v="0"/>
    <n v="0"/>
    <n v="0"/>
    <n v="0"/>
    <n v="0"/>
    <x v="13"/>
    <n v="0"/>
    <x v="4"/>
    <n v="0"/>
  </r>
  <r>
    <x v="2"/>
    <x v="47"/>
    <n v="0"/>
    <n v="0"/>
    <x v="0"/>
    <n v="0"/>
    <n v="0"/>
    <n v="0"/>
    <n v="0"/>
    <n v="0"/>
    <x v="13"/>
    <n v="0"/>
    <x v="5"/>
    <n v="0"/>
  </r>
  <r>
    <x v="2"/>
    <x v="48"/>
    <n v="0"/>
    <n v="0"/>
    <x v="0"/>
    <n v="0"/>
    <n v="0"/>
    <n v="0"/>
    <n v="0"/>
    <n v="0"/>
    <x v="13"/>
    <n v="0"/>
    <x v="6"/>
    <n v="0"/>
  </r>
  <r>
    <x v="2"/>
    <x v="49"/>
    <n v="0"/>
    <n v="0"/>
    <x v="0"/>
    <n v="0"/>
    <n v="0"/>
    <n v="0"/>
    <n v="0"/>
    <n v="0"/>
    <x v="13"/>
    <n v="0"/>
    <x v="3"/>
    <n v="0"/>
  </r>
  <r>
    <x v="2"/>
    <x v="50"/>
    <n v="0"/>
    <n v="0"/>
    <x v="0"/>
    <n v="0"/>
    <n v="0"/>
    <n v="0"/>
    <n v="0"/>
    <n v="0"/>
    <x v="13"/>
    <n v="0"/>
    <x v="4"/>
    <n v="0"/>
  </r>
  <r>
    <x v="0"/>
    <x v="0"/>
    <n v="0"/>
    <n v="0"/>
    <x v="0"/>
    <n v="7.55"/>
    <n v="0.57999999999999996"/>
    <n v="8.1300000000000008"/>
    <n v="92.87"/>
    <n v="0"/>
    <x v="14"/>
    <n v="0"/>
    <x v="0"/>
    <n v="0"/>
  </r>
  <r>
    <x v="0"/>
    <x v="3"/>
    <n v="0"/>
    <n v="0"/>
    <x v="0"/>
    <n v="7.55"/>
    <n v="0.59"/>
    <n v="8.14"/>
    <n v="92.75"/>
    <n v="0"/>
    <x v="14"/>
    <n v="0"/>
    <x v="0"/>
    <n v="0"/>
  </r>
  <r>
    <x v="0"/>
    <x v="6"/>
    <n v="3.13"/>
    <n v="3.55"/>
    <x v="239"/>
    <n v="5.78"/>
    <n v="2.31"/>
    <n v="8.09"/>
    <n v="71.45"/>
    <n v="38.69"/>
    <x v="14"/>
    <n v="37.559999999999995"/>
    <x v="0"/>
    <n v="0.3868974042027194"/>
  </r>
  <r>
    <x v="0"/>
    <x v="7"/>
    <n v="0"/>
    <n v="0"/>
    <x v="0"/>
    <n v="7.56"/>
    <n v="0.59"/>
    <n v="8.15"/>
    <n v="92.76"/>
    <n v="0"/>
    <x v="14"/>
    <n v="0"/>
    <x v="0"/>
    <n v="0"/>
  </r>
  <r>
    <x v="0"/>
    <x v="8"/>
    <n v="3.91"/>
    <n v="3.7"/>
    <x v="252"/>
    <n v="7.51"/>
    <n v="0.6"/>
    <n v="8.11"/>
    <n v="92.6"/>
    <n v="48.29"/>
    <x v="14"/>
    <n v="46.92"/>
    <x v="0"/>
    <n v="0.48212083847102349"/>
  </r>
  <r>
    <x v="1"/>
    <x v="9"/>
    <n v="5"/>
    <n v="2.13"/>
    <x v="253"/>
    <n v="6.33"/>
    <n v="1.89"/>
    <n v="8.2200000000000006"/>
    <n v="77.010000000000005"/>
    <n v="60.83"/>
    <x v="14"/>
    <n v="60"/>
    <x v="1"/>
    <n v="0.60827250608272498"/>
  </r>
  <r>
    <x v="1"/>
    <x v="10"/>
    <n v="3"/>
    <n v="2.5299999999999998"/>
    <x v="254"/>
    <n v="6.9"/>
    <n v="1.17"/>
    <n v="8.07"/>
    <n v="85.5"/>
    <n v="37.17"/>
    <x v="14"/>
    <n v="36"/>
    <x v="1"/>
    <n v="0.37174721189591076"/>
  </r>
  <r>
    <x v="1"/>
    <x v="11"/>
    <n v="5.33"/>
    <n v="5.97"/>
    <x v="255"/>
    <n v="7.5"/>
    <n v="0.77"/>
    <n v="8.27"/>
    <n v="90.69"/>
    <n v="64.489999999999995"/>
    <x v="14"/>
    <n v="63.96"/>
    <x v="1"/>
    <n v="0.6444981862152358"/>
  </r>
  <r>
    <x v="1"/>
    <x v="12"/>
    <n v="3.89"/>
    <n v="4.12"/>
    <x v="256"/>
    <n v="6.02"/>
    <n v="2.23"/>
    <n v="8.25"/>
    <n v="72.97"/>
    <n v="47.15"/>
    <x v="14"/>
    <n v="46.68"/>
    <x v="1"/>
    <n v="0.47151515151515155"/>
  </r>
  <r>
    <x v="1"/>
    <x v="13"/>
    <n v="3.86"/>
    <n v="4.82"/>
    <x v="257"/>
    <n v="5.99"/>
    <n v="2.27"/>
    <n v="8.26"/>
    <n v="72.52"/>
    <n v="46.73"/>
    <x v="14"/>
    <n v="46.32"/>
    <x v="1"/>
    <n v="0.46731234866828086"/>
  </r>
  <r>
    <x v="2"/>
    <x v="14"/>
    <n v="9.69"/>
    <n v="5.9"/>
    <x v="258"/>
    <n v="6.37"/>
    <n v="0.73"/>
    <n v="7.1"/>
    <n v="89.72"/>
    <n v="136.47999999999999"/>
    <x v="14"/>
    <n v="116.28"/>
    <x v="2"/>
    <n v="1.3647887323943662"/>
  </r>
  <r>
    <x v="2"/>
    <x v="16"/>
    <n v="0.74"/>
    <n v="1.9"/>
    <x v="259"/>
    <n v="5.44"/>
    <n v="2.5299999999999998"/>
    <n v="7.97"/>
    <n v="68.260000000000005"/>
    <n v="9.2799999999999994"/>
    <x v="14"/>
    <n v="8.879999999999999"/>
    <x v="4"/>
    <n v="9.2848180677540776E-2"/>
  </r>
  <r>
    <x v="2"/>
    <x v="17"/>
    <n v="0"/>
    <n v="0"/>
    <x v="0"/>
    <n v="2.95"/>
    <n v="7.61"/>
    <n v="10.56"/>
    <n v="27.94"/>
    <n v="0"/>
    <x v="14"/>
    <n v="0"/>
    <x v="3"/>
    <n v="0"/>
  </r>
  <r>
    <x v="2"/>
    <x v="19"/>
    <n v="0"/>
    <n v="0"/>
    <x v="0"/>
    <n v="0"/>
    <n v="0"/>
    <n v="0"/>
    <n v="0"/>
    <n v="0"/>
    <x v="14"/>
    <n v="0"/>
    <x v="2"/>
    <n v="0"/>
  </r>
  <r>
    <x v="2"/>
    <x v="20"/>
    <n v="8.2799999999999994"/>
    <n v="6.03"/>
    <x v="260"/>
    <n v="8.17"/>
    <n v="1.31"/>
    <n v="9.48"/>
    <n v="86.18"/>
    <n v="87.41"/>
    <x v="14"/>
    <n v="99.359999999999985"/>
    <x v="5"/>
    <n v="0.87341772151898722"/>
  </r>
  <r>
    <x v="2"/>
    <x v="21"/>
    <n v="3.96"/>
    <n v="3.16"/>
    <x v="261"/>
    <n v="5.45"/>
    <n v="2.61"/>
    <n v="8.06"/>
    <n v="67.62"/>
    <n v="49.21"/>
    <x v="14"/>
    <n v="47.519999999999996"/>
    <x v="2"/>
    <n v="0.49131513647642677"/>
  </r>
  <r>
    <x v="2"/>
    <x v="22"/>
    <n v="2.25"/>
    <n v="1.58"/>
    <x v="262"/>
    <n v="5.07"/>
    <n v="2.94"/>
    <n v="8.01"/>
    <n v="63.3"/>
    <n v="28.09"/>
    <x v="14"/>
    <n v="27"/>
    <x v="4"/>
    <n v="0.2808988764044944"/>
  </r>
  <r>
    <x v="2"/>
    <x v="23"/>
    <n v="2.5499999999999998"/>
    <n v="2.2999999999999998"/>
    <x v="263"/>
    <n v="7.23"/>
    <n v="3.32"/>
    <n v="10.55"/>
    <n v="68.53"/>
    <n v="24.17"/>
    <x v="14"/>
    <n v="30.6"/>
    <x v="3"/>
    <n v="0.24170616113744073"/>
  </r>
  <r>
    <x v="2"/>
    <x v="24"/>
    <n v="3.37"/>
    <n v="5.41"/>
    <x v="264"/>
    <n v="7.48"/>
    <n v="0.45"/>
    <n v="7.93"/>
    <n v="94.33"/>
    <n v="42.5"/>
    <x v="14"/>
    <n v="40.440000000000005"/>
    <x v="5"/>
    <n v="0.42496847414880207"/>
  </r>
  <r>
    <x v="2"/>
    <x v="25"/>
    <n v="6.58"/>
    <n v="4.43"/>
    <x v="265"/>
    <n v="5.71"/>
    <n v="2.21"/>
    <n v="7.92"/>
    <n v="72.099999999999994"/>
    <n v="83.12"/>
    <x v="14"/>
    <n v="78.960000000000008"/>
    <x v="2"/>
    <n v="0.83080808080808077"/>
  </r>
  <r>
    <x v="2"/>
    <x v="27"/>
    <n v="5.0199999999999996"/>
    <n v="2.78"/>
    <x v="266"/>
    <n v="7.36"/>
    <n v="0.6"/>
    <n v="7.96"/>
    <n v="92.46"/>
    <n v="63.11"/>
    <x v="14"/>
    <n v="60.239999999999995"/>
    <x v="5"/>
    <n v="0.63065326633165819"/>
  </r>
  <r>
    <x v="2"/>
    <x v="28"/>
    <n v="0"/>
    <n v="0"/>
    <x v="0"/>
    <n v="0"/>
    <n v="0"/>
    <n v="0"/>
    <n v="0"/>
    <n v="0"/>
    <x v="14"/>
    <n v="0"/>
    <x v="2"/>
    <n v="0"/>
  </r>
  <r>
    <x v="2"/>
    <x v="29"/>
    <n v="6.65"/>
    <n v="7.57"/>
    <x v="267"/>
    <n v="7.65"/>
    <n v="1.45"/>
    <n v="9.1"/>
    <n v="84.07"/>
    <n v="73.08"/>
    <x v="14"/>
    <n v="79.8"/>
    <x v="5"/>
    <n v="0.73076923076923084"/>
  </r>
  <r>
    <x v="2"/>
    <x v="30"/>
    <n v="0"/>
    <n v="0"/>
    <x v="0"/>
    <n v="0"/>
    <n v="0"/>
    <n v="0"/>
    <n v="0"/>
    <n v="0"/>
    <x v="14"/>
    <n v="0"/>
    <x v="5"/>
    <n v="0"/>
  </r>
  <r>
    <x v="2"/>
    <x v="31"/>
    <n v="0.91"/>
    <n v="1.18"/>
    <x v="268"/>
    <n v="5.24"/>
    <n v="2.68"/>
    <n v="7.92"/>
    <n v="66.16"/>
    <n v="11.57"/>
    <x v="14"/>
    <n v="10.92"/>
    <x v="2"/>
    <n v="0.1148989898989899"/>
  </r>
  <r>
    <x v="2"/>
    <x v="32"/>
    <n v="0.83"/>
    <n v="2.84"/>
    <x v="269"/>
    <n v="6.33"/>
    <n v="4.22"/>
    <n v="10.55"/>
    <n v="60"/>
    <n v="7.9"/>
    <x v="14"/>
    <n v="9.9599999999999991"/>
    <x v="3"/>
    <n v="7.8672985781990515E-2"/>
  </r>
  <r>
    <x v="2"/>
    <x v="33"/>
    <n v="2.63"/>
    <n v="4.99"/>
    <x v="270"/>
    <n v="11.14"/>
    <n v="1.62"/>
    <n v="12.76"/>
    <n v="87.3"/>
    <n v="20.61"/>
    <x v="14"/>
    <n v="31.559999999999995"/>
    <x v="3"/>
    <n v="0.2061128526645768"/>
  </r>
  <r>
    <x v="2"/>
    <x v="34"/>
    <n v="0"/>
    <n v="0"/>
    <x v="0"/>
    <n v="12.59"/>
    <n v="0.45"/>
    <n v="13.04"/>
    <n v="96.55"/>
    <n v="0"/>
    <x v="14"/>
    <n v="0"/>
    <x v="4"/>
    <n v="0"/>
  </r>
  <r>
    <x v="2"/>
    <x v="35"/>
    <n v="12.08"/>
    <n v="9.5299999999999994"/>
    <x v="271"/>
    <n v="8.92"/>
    <n v="1.75"/>
    <n v="10.67"/>
    <n v="83.6"/>
    <n v="113.25"/>
    <x v="14"/>
    <n v="144.95999999999998"/>
    <x v="2"/>
    <n v="1.1321462043111528"/>
  </r>
  <r>
    <x v="2"/>
    <x v="36"/>
    <n v="0"/>
    <n v="0"/>
    <x v="0"/>
    <n v="8.43"/>
    <n v="2.13"/>
    <n v="10.56"/>
    <n v="79.83"/>
    <n v="0"/>
    <x v="14"/>
    <n v="0"/>
    <x v="4"/>
    <n v="0"/>
  </r>
  <r>
    <x v="2"/>
    <x v="37"/>
    <n v="0"/>
    <n v="0"/>
    <x v="0"/>
    <n v="6.83"/>
    <n v="1.34"/>
    <n v="8.17"/>
    <n v="83.6"/>
    <n v="0"/>
    <x v="14"/>
    <n v="0"/>
    <x v="4"/>
    <n v="0"/>
  </r>
  <r>
    <x v="2"/>
    <x v="38"/>
    <n v="7.58"/>
    <n v="4.33"/>
    <x v="272"/>
    <n v="4.33"/>
    <n v="2.29"/>
    <n v="6.62"/>
    <n v="65.41"/>
    <n v="114.55"/>
    <x v="14"/>
    <n v="90.960000000000008"/>
    <x v="2"/>
    <n v="1.1450151057401812"/>
  </r>
  <r>
    <x v="2"/>
    <x v="39"/>
    <n v="3.75"/>
    <n v="3.65"/>
    <x v="273"/>
    <n v="4.4000000000000004"/>
    <n v="3.53"/>
    <n v="7.93"/>
    <n v="55.49"/>
    <n v="47.29"/>
    <x v="14"/>
    <n v="45"/>
    <x v="2"/>
    <n v="0.4728877679697352"/>
  </r>
  <r>
    <x v="2"/>
    <x v="41"/>
    <n v="0.59"/>
    <n v="2.4700000000000002"/>
    <x v="274"/>
    <n v="9.7899999999999991"/>
    <n v="0.44"/>
    <n v="10.23"/>
    <n v="95.7"/>
    <n v="5.77"/>
    <x v="14"/>
    <n v="7.08"/>
    <x v="5"/>
    <n v="5.767350928641251E-2"/>
  </r>
  <r>
    <x v="2"/>
    <x v="42"/>
    <n v="0"/>
    <n v="0"/>
    <x v="0"/>
    <n v="0"/>
    <n v="0"/>
    <n v="0"/>
    <n v="0"/>
    <n v="0"/>
    <x v="14"/>
    <n v="0"/>
    <x v="2"/>
    <n v="0"/>
  </r>
  <r>
    <x v="2"/>
    <x v="43"/>
    <n v="0.83"/>
    <n v="0.28000000000000003"/>
    <x v="275"/>
    <n v="6.49"/>
    <n v="2.66"/>
    <n v="9.15"/>
    <n v="70.930000000000007"/>
    <n v="9.11"/>
    <x v="14"/>
    <n v="9.9599999999999991"/>
    <x v="3"/>
    <n v="9.0710382513661189E-2"/>
  </r>
  <r>
    <x v="2"/>
    <x v="44"/>
    <n v="0"/>
    <n v="0"/>
    <x v="0"/>
    <n v="8.5500000000000007"/>
    <n v="4.1100000000000003"/>
    <n v="12.66"/>
    <n v="67.540000000000006"/>
    <n v="0"/>
    <x v="14"/>
    <n v="0"/>
    <x v="3"/>
    <n v="0"/>
  </r>
  <r>
    <x v="2"/>
    <x v="46"/>
    <n v="0.93"/>
    <n v="2.37"/>
    <x v="276"/>
    <n v="7.07"/>
    <n v="0.89"/>
    <n v="7.96"/>
    <n v="88.82"/>
    <n v="11.68"/>
    <x v="14"/>
    <n v="11.16"/>
    <x v="4"/>
    <n v="0.11683417085427136"/>
  </r>
  <r>
    <x v="2"/>
    <x v="47"/>
    <n v="0.57999999999999996"/>
    <n v="2.4500000000000002"/>
    <x v="277"/>
    <n v="7.53"/>
    <n v="0.45"/>
    <n v="7.98"/>
    <n v="94.36"/>
    <n v="7.27"/>
    <x v="14"/>
    <n v="6.9599999999999991"/>
    <x v="5"/>
    <n v="7.2681704260651625E-2"/>
  </r>
  <r>
    <x v="2"/>
    <x v="48"/>
    <n v="0"/>
    <n v="0"/>
    <x v="0"/>
    <n v="0"/>
    <n v="0"/>
    <n v="0"/>
    <n v="0"/>
    <n v="0"/>
    <x v="14"/>
    <n v="0"/>
    <x v="6"/>
    <n v="0"/>
  </r>
  <r>
    <x v="2"/>
    <x v="49"/>
    <n v="2.83"/>
    <n v="5.95"/>
    <x v="278"/>
    <n v="7.85"/>
    <n v="1.21"/>
    <n v="9.06"/>
    <n v="86.64"/>
    <n v="31.27"/>
    <x v="14"/>
    <n v="33.96"/>
    <x v="3"/>
    <n v="0.31236203090507725"/>
  </r>
  <r>
    <x v="0"/>
    <x v="0"/>
    <n v="0"/>
    <n v="0"/>
    <x v="0"/>
    <n v="7.04"/>
    <n v="0.98"/>
    <n v="8.02"/>
    <n v="87.78"/>
    <n v="0"/>
    <x v="15"/>
    <n v="0"/>
    <x v="0"/>
    <n v="0"/>
  </r>
  <r>
    <x v="0"/>
    <x v="1"/>
    <n v="0"/>
    <n v="0"/>
    <x v="0"/>
    <n v="10.35"/>
    <n v="0.19"/>
    <n v="10.54"/>
    <n v="98.2"/>
    <n v="0"/>
    <x v="15"/>
    <n v="0"/>
    <x v="0"/>
    <n v="0"/>
  </r>
  <r>
    <x v="0"/>
    <x v="2"/>
    <n v="0"/>
    <n v="0"/>
    <x v="0"/>
    <n v="10.35"/>
    <n v="0.19"/>
    <n v="10.54"/>
    <n v="98.2"/>
    <n v="0"/>
    <x v="15"/>
    <n v="0"/>
    <x v="0"/>
    <n v="0"/>
  </r>
  <r>
    <x v="0"/>
    <x v="3"/>
    <n v="0"/>
    <n v="0"/>
    <x v="0"/>
    <n v="7.06"/>
    <n v="0.98"/>
    <n v="8.0399999999999991"/>
    <n v="87.81"/>
    <n v="0"/>
    <x v="15"/>
    <n v="0"/>
    <x v="0"/>
    <n v="0"/>
  </r>
  <r>
    <x v="0"/>
    <x v="4"/>
    <n v="0"/>
    <n v="0"/>
    <x v="0"/>
    <n v="7.77"/>
    <n v="0.28000000000000003"/>
    <n v="8.0500000000000007"/>
    <n v="96.52"/>
    <n v="0"/>
    <x v="15"/>
    <n v="0"/>
    <x v="0"/>
    <n v="0"/>
  </r>
  <r>
    <x v="0"/>
    <x v="5"/>
    <n v="0"/>
    <n v="0"/>
    <x v="0"/>
    <n v="10.35"/>
    <n v="0.19"/>
    <n v="10.54"/>
    <n v="98.2"/>
    <n v="0"/>
    <x v="15"/>
    <n v="0"/>
    <x v="0"/>
    <n v="0"/>
  </r>
  <r>
    <x v="0"/>
    <x v="6"/>
    <n v="0"/>
    <n v="0"/>
    <x v="0"/>
    <n v="10.27"/>
    <n v="0.27"/>
    <n v="10.54"/>
    <n v="97.44"/>
    <n v="0"/>
    <x v="15"/>
    <n v="0"/>
    <x v="0"/>
    <n v="0"/>
  </r>
  <r>
    <x v="0"/>
    <x v="7"/>
    <n v="0"/>
    <n v="0"/>
    <x v="0"/>
    <n v="7.08"/>
    <n v="0.97"/>
    <n v="8.0500000000000007"/>
    <n v="87.95"/>
    <n v="0"/>
    <x v="15"/>
    <n v="0"/>
    <x v="0"/>
    <n v="0"/>
  </r>
  <r>
    <x v="0"/>
    <x v="8"/>
    <n v="0"/>
    <n v="0"/>
    <x v="0"/>
    <n v="7.14"/>
    <n v="0.98"/>
    <n v="8.1199999999999992"/>
    <n v="87.93"/>
    <n v="0"/>
    <x v="15"/>
    <n v="0"/>
    <x v="0"/>
    <n v="0"/>
  </r>
  <r>
    <x v="1"/>
    <x v="9"/>
    <n v="0"/>
    <n v="0"/>
    <x v="0"/>
    <n v="0"/>
    <n v="0.05"/>
    <n v="0.05"/>
    <n v="0"/>
    <n v="0"/>
    <x v="15"/>
    <n v="0"/>
    <x v="1"/>
    <n v="0"/>
  </r>
  <r>
    <x v="1"/>
    <x v="10"/>
    <n v="0"/>
    <n v="0"/>
    <x v="0"/>
    <n v="7.84"/>
    <n v="0.19"/>
    <n v="8.0299999999999994"/>
    <n v="97.63"/>
    <n v="0"/>
    <x v="15"/>
    <n v="0"/>
    <x v="1"/>
    <n v="0"/>
  </r>
  <r>
    <x v="1"/>
    <x v="11"/>
    <n v="0"/>
    <n v="0"/>
    <x v="0"/>
    <n v="4.63"/>
    <n v="3.45"/>
    <n v="8.08"/>
    <n v="57.3"/>
    <n v="0"/>
    <x v="15"/>
    <n v="0"/>
    <x v="1"/>
    <n v="0"/>
  </r>
  <r>
    <x v="1"/>
    <x v="12"/>
    <n v="0"/>
    <n v="0"/>
    <x v="0"/>
    <n v="1.07"/>
    <n v="7"/>
    <n v="8.07"/>
    <n v="13.26"/>
    <n v="0"/>
    <x v="15"/>
    <n v="0"/>
    <x v="1"/>
    <n v="0"/>
  </r>
  <r>
    <x v="1"/>
    <x v="13"/>
    <n v="0"/>
    <n v="0"/>
    <x v="0"/>
    <n v="1.53"/>
    <n v="6.53"/>
    <n v="8.06"/>
    <n v="18.98"/>
    <n v="0"/>
    <x v="15"/>
    <n v="0"/>
    <x v="1"/>
    <n v="0"/>
  </r>
  <r>
    <x v="2"/>
    <x v="14"/>
    <n v="10.38"/>
    <n v="7"/>
    <x v="279"/>
    <n v="9.8000000000000007"/>
    <n v="0.45"/>
    <n v="10.25"/>
    <n v="95.61"/>
    <n v="101.3"/>
    <x v="15"/>
    <n v="124.56000000000002"/>
    <x v="2"/>
    <n v="1.0126829268292683"/>
  </r>
  <r>
    <x v="2"/>
    <x v="17"/>
    <n v="1.4"/>
    <n v="3.38"/>
    <x v="280"/>
    <n v="2.13"/>
    <n v="8.32"/>
    <n v="10.45"/>
    <n v="20.38"/>
    <n v="13.43"/>
    <x v="15"/>
    <n v="16.8"/>
    <x v="3"/>
    <n v="0.13397129186602871"/>
  </r>
  <r>
    <x v="2"/>
    <x v="18"/>
    <n v="3.2"/>
    <n v="5.14"/>
    <x v="281"/>
    <n v="6.76"/>
    <n v="1.32"/>
    <n v="8.08"/>
    <n v="83.66"/>
    <n v="39.6"/>
    <x v="15"/>
    <n v="38.4"/>
    <x v="3"/>
    <n v="0.39603960396039606"/>
  </r>
  <r>
    <x v="2"/>
    <x v="19"/>
    <n v="0"/>
    <n v="0"/>
    <x v="0"/>
    <n v="0"/>
    <n v="0"/>
    <n v="0"/>
    <n v="0"/>
    <n v="0"/>
    <x v="15"/>
    <n v="0"/>
    <x v="2"/>
    <n v="0"/>
  </r>
  <r>
    <x v="2"/>
    <x v="21"/>
    <n v="11.02"/>
    <n v="5.87"/>
    <x v="282"/>
    <n v="6.68"/>
    <n v="0.93"/>
    <n v="7.61"/>
    <n v="87.78"/>
    <n v="144.9"/>
    <x v="15"/>
    <n v="132.23999999999998"/>
    <x v="2"/>
    <n v="1.4480946123521681"/>
  </r>
  <r>
    <x v="2"/>
    <x v="23"/>
    <n v="0.55000000000000004"/>
    <n v="0.95"/>
    <x v="283"/>
    <n v="2.6"/>
    <n v="7.83"/>
    <n v="10.43"/>
    <n v="24.93"/>
    <n v="5.27"/>
    <x v="15"/>
    <n v="6.6"/>
    <x v="3"/>
    <n v="5.2732502396931932E-2"/>
  </r>
  <r>
    <x v="2"/>
    <x v="25"/>
    <n v="9.08"/>
    <n v="7.61"/>
    <x v="284"/>
    <n v="7.61"/>
    <n v="0.77"/>
    <n v="8.3800000000000008"/>
    <n v="90.81"/>
    <n v="108.39"/>
    <x v="15"/>
    <n v="108.96"/>
    <x v="2"/>
    <n v="1.0835322195704056"/>
  </r>
  <r>
    <x v="2"/>
    <x v="26"/>
    <n v="3"/>
    <n v="5.49"/>
    <x v="285"/>
    <n v="7.7"/>
    <n v="0.32"/>
    <n v="8.02"/>
    <n v="96.01"/>
    <n v="37.409999999999997"/>
    <x v="15"/>
    <n v="36"/>
    <x v="3"/>
    <n v="0.37406483790523692"/>
  </r>
  <r>
    <x v="2"/>
    <x v="27"/>
    <n v="11.73"/>
    <n v="9.6"/>
    <x v="286"/>
    <n v="9.7200000000000006"/>
    <n v="0.27"/>
    <n v="9.99"/>
    <n v="97.3"/>
    <n v="117.42"/>
    <x v="15"/>
    <n v="140.76000000000002"/>
    <x v="5"/>
    <n v="1.1741741741741742"/>
  </r>
  <r>
    <x v="2"/>
    <x v="28"/>
    <n v="0"/>
    <n v="0"/>
    <x v="0"/>
    <n v="0"/>
    <n v="0"/>
    <n v="0"/>
    <n v="0"/>
    <n v="0"/>
    <x v="15"/>
    <n v="0"/>
    <x v="2"/>
    <n v="0"/>
  </r>
  <r>
    <x v="2"/>
    <x v="29"/>
    <n v="11.16"/>
    <n v="5.67"/>
    <x v="287"/>
    <n v="7.45"/>
    <n v="0.69"/>
    <n v="8.14"/>
    <n v="91.52"/>
    <n v="137.1"/>
    <x v="15"/>
    <n v="133.92000000000002"/>
    <x v="5"/>
    <n v="1.3710073710073709"/>
  </r>
  <r>
    <x v="2"/>
    <x v="30"/>
    <n v="0"/>
    <n v="0"/>
    <x v="0"/>
    <n v="0"/>
    <n v="0"/>
    <n v="0"/>
    <n v="0"/>
    <n v="0"/>
    <x v="15"/>
    <n v="0"/>
    <x v="5"/>
    <n v="0"/>
  </r>
  <r>
    <x v="2"/>
    <x v="34"/>
    <n v="5.66"/>
    <n v="4.9800000000000004"/>
    <x v="288"/>
    <n v="10.78"/>
    <n v="0.52"/>
    <n v="11.3"/>
    <n v="95.4"/>
    <n v="50.15"/>
    <x v="15"/>
    <n v="67.92"/>
    <x v="4"/>
    <n v="0.50088495575221237"/>
  </r>
  <r>
    <x v="2"/>
    <x v="35"/>
    <n v="27.5"/>
    <n v="9.7200000000000006"/>
    <x v="289"/>
    <n v="11.58"/>
    <n v="1.01"/>
    <n v="12.59"/>
    <n v="91.98"/>
    <n v="218.43"/>
    <x v="15"/>
    <n v="330"/>
    <x v="2"/>
    <n v="2.1842732327243843"/>
  </r>
  <r>
    <x v="2"/>
    <x v="36"/>
    <n v="4.16"/>
    <n v="5.95"/>
    <x v="290"/>
    <n v="9.6300000000000008"/>
    <n v="0.69"/>
    <n v="10.32"/>
    <n v="93.31"/>
    <n v="40.369999999999997"/>
    <x v="15"/>
    <n v="49.92"/>
    <x v="4"/>
    <n v="0.40310077519379844"/>
  </r>
  <r>
    <x v="2"/>
    <x v="39"/>
    <n v="3.91"/>
    <n v="3.44"/>
    <x v="291"/>
    <n v="7.89"/>
    <n v="2.14"/>
    <n v="10.029999999999999"/>
    <n v="78.66"/>
    <n v="39.049999999999997"/>
    <x v="15"/>
    <n v="46.92"/>
    <x v="2"/>
    <n v="0.38983050847457629"/>
  </r>
  <r>
    <x v="2"/>
    <x v="43"/>
    <n v="0"/>
    <n v="0"/>
    <x v="0"/>
    <n v="4.71"/>
    <n v="3.44"/>
    <n v="8.15"/>
    <n v="57.79"/>
    <n v="0"/>
    <x v="15"/>
    <n v="0"/>
    <x v="3"/>
    <n v="0"/>
  </r>
  <r>
    <x v="2"/>
    <x v="44"/>
    <n v="4.33"/>
    <n v="5.12"/>
    <x v="292"/>
    <n v="5.12"/>
    <n v="3.66"/>
    <n v="8.7799999999999994"/>
    <n v="58.31"/>
    <n v="49.35"/>
    <x v="15"/>
    <n v="51.96"/>
    <x v="3"/>
    <n v="0.49316628701594539"/>
  </r>
  <r>
    <x v="2"/>
    <x v="45"/>
    <n v="1.33"/>
    <n v="2.68"/>
    <x v="293"/>
    <n v="6.78"/>
    <n v="3.01"/>
    <n v="9.7899999999999991"/>
    <n v="69.25"/>
    <n v="13.62"/>
    <x v="15"/>
    <n v="15.960000000000003"/>
    <x v="4"/>
    <n v="0.13585291113381004"/>
  </r>
  <r>
    <x v="2"/>
    <x v="46"/>
    <n v="6.43"/>
    <n v="6.74"/>
    <x v="294"/>
    <n v="7"/>
    <n v="0.76"/>
    <n v="7.76"/>
    <n v="90.21"/>
    <n v="82.95"/>
    <x v="15"/>
    <n v="77.16"/>
    <x v="4"/>
    <n v="0.82860824742268036"/>
  </r>
  <r>
    <x v="2"/>
    <x v="48"/>
    <n v="0"/>
    <n v="0"/>
    <x v="0"/>
    <n v="0"/>
    <n v="0"/>
    <n v="0"/>
    <n v="0"/>
    <n v="0"/>
    <x v="15"/>
    <n v="0"/>
    <x v="6"/>
    <n v="0"/>
  </r>
  <r>
    <x v="2"/>
    <x v="50"/>
    <n v="2.5"/>
    <n v="6.79"/>
    <x v="295"/>
    <n v="7.59"/>
    <n v="0.22"/>
    <n v="7.81"/>
    <n v="97.18"/>
    <n v="32.01"/>
    <x v="15"/>
    <n v="30"/>
    <x v="4"/>
    <n v="0.32010243277848915"/>
  </r>
  <r>
    <x v="0"/>
    <x v="1"/>
    <n v="1.01"/>
    <n v="6.92"/>
    <x v="296"/>
    <n v="7.72"/>
    <n v="0.28000000000000003"/>
    <n v="8"/>
    <n v="96.5"/>
    <n v="12.63"/>
    <x v="16"/>
    <n v="12.120000000000001"/>
    <x v="0"/>
    <n v="0.12625"/>
  </r>
  <r>
    <x v="0"/>
    <x v="2"/>
    <n v="1.1599999999999999"/>
    <n v="7.95"/>
    <x v="296"/>
    <n v="7.7"/>
    <n v="0.28000000000000003"/>
    <n v="7.98"/>
    <n v="96.49"/>
    <n v="14.54"/>
    <x v="16"/>
    <n v="13.919999999999998"/>
    <x v="0"/>
    <n v="0.14536340852130325"/>
  </r>
  <r>
    <x v="0"/>
    <x v="3"/>
    <n v="0.65"/>
    <n v="1.8"/>
    <x v="297"/>
    <n v="3.8"/>
    <n v="4.21"/>
    <n v="8.01"/>
    <n v="47.44"/>
    <n v="8.11"/>
    <x v="16"/>
    <n v="7.8"/>
    <x v="0"/>
    <n v="8.1148564294631714E-2"/>
  </r>
  <r>
    <x v="0"/>
    <x v="4"/>
    <n v="2.04"/>
    <n v="4.96"/>
    <x v="298"/>
    <n v="7.7"/>
    <n v="0.3"/>
    <n v="8"/>
    <n v="96.25"/>
    <n v="25.58"/>
    <x v="16"/>
    <n v="24.48"/>
    <x v="0"/>
    <n v="0.255"/>
  </r>
  <r>
    <x v="0"/>
    <x v="5"/>
    <n v="1.1599999999999999"/>
    <n v="7.94"/>
    <x v="299"/>
    <n v="7.72"/>
    <n v="0.26"/>
    <n v="7.98"/>
    <n v="96.74"/>
    <n v="14.54"/>
    <x v="16"/>
    <n v="13.919999999999998"/>
    <x v="0"/>
    <n v="0.14536340852130325"/>
  </r>
  <r>
    <x v="0"/>
    <x v="6"/>
    <n v="4.88"/>
    <n v="7.73"/>
    <x v="300"/>
    <n v="7.68"/>
    <n v="0.32"/>
    <n v="8"/>
    <n v="96"/>
    <n v="61"/>
    <x v="16"/>
    <n v="58.56"/>
    <x v="0"/>
    <n v="0.61"/>
  </r>
  <r>
    <x v="0"/>
    <x v="7"/>
    <n v="1.25"/>
    <n v="3.47"/>
    <x v="301"/>
    <n v="3.8"/>
    <n v="4.2300000000000004"/>
    <n v="8.0299999999999994"/>
    <n v="47.32"/>
    <n v="15.57"/>
    <x v="16"/>
    <n v="15"/>
    <x v="0"/>
    <n v="0.15566625155666253"/>
  </r>
  <r>
    <x v="0"/>
    <x v="8"/>
    <n v="2.76"/>
    <n v="6.84"/>
    <x v="302"/>
    <n v="7.45"/>
    <n v="0.57999999999999996"/>
    <n v="8.0299999999999994"/>
    <n v="92.78"/>
    <n v="34.369999999999997"/>
    <x v="16"/>
    <n v="33.119999999999997"/>
    <x v="0"/>
    <n v="0.34371108343711082"/>
  </r>
  <r>
    <x v="1"/>
    <x v="9"/>
    <n v="8.33"/>
    <n v="6.95"/>
    <x v="303"/>
    <n v="6.86"/>
    <n v="1.2"/>
    <n v="8.06"/>
    <n v="85.11"/>
    <n v="103.39"/>
    <x v="16"/>
    <n v="99.960000000000008"/>
    <x v="1"/>
    <n v="1.033498759305211"/>
  </r>
  <r>
    <x v="1"/>
    <x v="11"/>
    <n v="5.04"/>
    <n v="7.51"/>
    <x v="304"/>
    <n v="5.24"/>
    <n v="2.87"/>
    <n v="8.11"/>
    <n v="64.61"/>
    <n v="62.15"/>
    <x v="16"/>
    <n v="60.48"/>
    <x v="1"/>
    <n v="0.62145499383477198"/>
  </r>
  <r>
    <x v="1"/>
    <x v="12"/>
    <n v="4.0199999999999996"/>
    <n v="7.91"/>
    <x v="305"/>
    <n v="2.31"/>
    <n v="5.78"/>
    <n v="8.09"/>
    <n v="28.55"/>
    <n v="49.69"/>
    <x v="16"/>
    <n v="48.239999999999995"/>
    <x v="1"/>
    <n v="0.49690976514215074"/>
  </r>
  <r>
    <x v="2"/>
    <x v="14"/>
    <n v="11.16"/>
    <n v="8.39"/>
    <x v="306"/>
    <n v="8.16"/>
    <n v="1.49"/>
    <n v="9.65"/>
    <n v="84.56"/>
    <n v="115.72"/>
    <x v="16"/>
    <n v="133.92000000000002"/>
    <x v="2"/>
    <n v="1.1564766839378238"/>
  </r>
  <r>
    <x v="2"/>
    <x v="16"/>
    <n v="3.93"/>
    <n v="4.5199999999999996"/>
    <x v="307"/>
    <n v="7.23"/>
    <n v="0.49"/>
    <n v="7.72"/>
    <n v="93.65"/>
    <n v="50.95"/>
    <x v="16"/>
    <n v="47.160000000000004"/>
    <x v="4"/>
    <n v="0.5090673575129534"/>
  </r>
  <r>
    <x v="2"/>
    <x v="17"/>
    <n v="1"/>
    <n v="0.98"/>
    <x v="308"/>
    <n v="0.93"/>
    <n v="7.28"/>
    <n v="8.2100000000000009"/>
    <n v="11.33"/>
    <n v="12.18"/>
    <x v="16"/>
    <n v="12"/>
    <x v="3"/>
    <n v="0.12180267965895249"/>
  </r>
  <r>
    <x v="2"/>
    <x v="18"/>
    <n v="3.29"/>
    <n v="4.97"/>
    <x v="309"/>
    <n v="7.12"/>
    <n v="1.1000000000000001"/>
    <n v="8.2200000000000006"/>
    <n v="86.62"/>
    <n v="40.11"/>
    <x v="16"/>
    <n v="39.480000000000004"/>
    <x v="3"/>
    <n v="0.40024330900243305"/>
  </r>
  <r>
    <x v="2"/>
    <x v="19"/>
    <n v="0"/>
    <n v="0"/>
    <x v="0"/>
    <n v="0"/>
    <n v="0"/>
    <n v="0"/>
    <n v="0"/>
    <n v="0"/>
    <x v="16"/>
    <n v="0"/>
    <x v="2"/>
    <n v="0"/>
  </r>
  <r>
    <x v="2"/>
    <x v="20"/>
    <n v="12.77"/>
    <n v="9.86"/>
    <x v="310"/>
    <n v="9.91"/>
    <n v="0.34"/>
    <n v="10.25"/>
    <n v="96.68"/>
    <n v="124.59"/>
    <x v="16"/>
    <n v="153.23999999999998"/>
    <x v="5"/>
    <n v="1.2458536585365854"/>
  </r>
  <r>
    <x v="2"/>
    <x v="21"/>
    <n v="6.75"/>
    <n v="4"/>
    <x v="311"/>
    <n v="8.34"/>
    <n v="0.52"/>
    <n v="8.86"/>
    <n v="94.13"/>
    <n v="76.19"/>
    <x v="16"/>
    <n v="81"/>
    <x v="2"/>
    <n v="0.7618510158013545"/>
  </r>
  <r>
    <x v="2"/>
    <x v="22"/>
    <n v="2"/>
    <n v="1.92"/>
    <x v="236"/>
    <n v="7.35"/>
    <n v="1.2"/>
    <n v="8.5500000000000007"/>
    <n v="85.96"/>
    <n v="23.39"/>
    <x v="16"/>
    <n v="24"/>
    <x v="4"/>
    <n v="0.23391812865497075"/>
  </r>
  <r>
    <x v="2"/>
    <x v="23"/>
    <n v="1.37"/>
    <n v="5.03"/>
    <x v="312"/>
    <n v="7.57"/>
    <n v="0.67"/>
    <n v="8.24"/>
    <n v="91.87"/>
    <n v="16.63"/>
    <x v="16"/>
    <n v="16.440000000000001"/>
    <x v="3"/>
    <n v="0.16626213592233011"/>
  </r>
  <r>
    <x v="2"/>
    <x v="25"/>
    <n v="6.75"/>
    <n v="4.72"/>
    <x v="313"/>
    <n v="9.3000000000000007"/>
    <n v="0.7"/>
    <n v="10"/>
    <n v="93"/>
    <n v="67.5"/>
    <x v="16"/>
    <n v="81"/>
    <x v="2"/>
    <n v="0.67500000000000004"/>
  </r>
  <r>
    <x v="2"/>
    <x v="26"/>
    <n v="8.91"/>
    <n v="7.72"/>
    <x v="314"/>
    <n v="7.17"/>
    <n v="0.91"/>
    <n v="8.08"/>
    <n v="88.74"/>
    <n v="110.35"/>
    <x v="16"/>
    <n v="106.92"/>
    <x v="3"/>
    <n v="1.1027227722772277"/>
  </r>
  <r>
    <x v="2"/>
    <x v="28"/>
    <n v="0"/>
    <n v="0"/>
    <x v="0"/>
    <n v="0"/>
    <n v="0"/>
    <n v="0"/>
    <n v="0"/>
    <n v="0"/>
    <x v="16"/>
    <n v="0"/>
    <x v="2"/>
    <n v="0"/>
  </r>
  <r>
    <x v="2"/>
    <x v="30"/>
    <n v="0"/>
    <n v="0"/>
    <x v="0"/>
    <n v="0"/>
    <n v="0"/>
    <n v="0"/>
    <n v="0"/>
    <n v="0"/>
    <x v="16"/>
    <n v="0"/>
    <x v="5"/>
    <n v="0"/>
  </r>
  <r>
    <x v="2"/>
    <x v="31"/>
    <n v="6.33"/>
    <n v="5.58"/>
    <x v="315"/>
    <n v="9.43"/>
    <n v="0.84"/>
    <n v="10.27"/>
    <n v="91.82"/>
    <n v="61.67"/>
    <x v="16"/>
    <n v="75.960000000000008"/>
    <x v="2"/>
    <n v="0.61635832521908474"/>
  </r>
  <r>
    <x v="2"/>
    <x v="32"/>
    <n v="0"/>
    <n v="0"/>
    <x v="0"/>
    <n v="5.33"/>
    <n v="3.7"/>
    <n v="9.0299999999999994"/>
    <n v="59.03"/>
    <n v="0"/>
    <x v="16"/>
    <n v="0"/>
    <x v="3"/>
    <n v="0"/>
  </r>
  <r>
    <x v="2"/>
    <x v="33"/>
    <n v="1.08"/>
    <n v="7.5"/>
    <x v="316"/>
    <n v="6.03"/>
    <n v="2.3199999999999998"/>
    <n v="8.35"/>
    <n v="72.22"/>
    <n v="13.01"/>
    <x v="16"/>
    <n v="12.960000000000003"/>
    <x v="3"/>
    <n v="0.12934131736526946"/>
  </r>
  <r>
    <x v="2"/>
    <x v="34"/>
    <n v="3"/>
    <n v="3.98"/>
    <x v="317"/>
    <n v="6.94"/>
    <n v="0.86"/>
    <n v="7.8"/>
    <n v="88.97"/>
    <n v="38.46"/>
    <x v="16"/>
    <n v="36"/>
    <x v="4"/>
    <n v="0.38461538461538464"/>
  </r>
  <r>
    <x v="2"/>
    <x v="35"/>
    <n v="22.25"/>
    <n v="8.0399999999999991"/>
    <x v="318"/>
    <n v="11.73"/>
    <n v="0.43"/>
    <n v="12.16"/>
    <n v="96.46"/>
    <n v="182.98"/>
    <x v="16"/>
    <n v="267"/>
    <x v="2"/>
    <n v="1.8297697368421053"/>
  </r>
  <r>
    <x v="2"/>
    <x v="38"/>
    <n v="0"/>
    <n v="0"/>
    <x v="0"/>
    <n v="0"/>
    <n v="0"/>
    <n v="0"/>
    <n v="0"/>
    <n v="0"/>
    <x v="16"/>
    <n v="0"/>
    <x v="2"/>
    <n v="0"/>
  </r>
  <r>
    <x v="2"/>
    <x v="40"/>
    <n v="0.42"/>
    <n v="0.52"/>
    <x v="319"/>
    <n v="7.48"/>
    <n v="0.55000000000000004"/>
    <n v="8.0299999999999994"/>
    <n v="93.15"/>
    <n v="5.23"/>
    <x v="16"/>
    <n v="5.04"/>
    <x v="3"/>
    <n v="5.2303860523038606E-2"/>
  </r>
  <r>
    <x v="2"/>
    <x v="41"/>
    <n v="6.83"/>
    <n v="7.82"/>
    <x v="320"/>
    <n v="10.33"/>
    <n v="0.72"/>
    <n v="11.05"/>
    <n v="93.48"/>
    <n v="61.87"/>
    <x v="16"/>
    <n v="81.960000000000008"/>
    <x v="5"/>
    <n v="0.61809954751131213"/>
  </r>
  <r>
    <x v="2"/>
    <x v="42"/>
    <n v="6.58"/>
    <n v="4.84"/>
    <x v="321"/>
    <n v="10.210000000000001"/>
    <n v="0.31"/>
    <n v="10.52"/>
    <n v="97.05"/>
    <n v="62.58"/>
    <x v="16"/>
    <n v="78.960000000000008"/>
    <x v="2"/>
    <n v="0.62547528517110274"/>
  </r>
  <r>
    <x v="2"/>
    <x v="43"/>
    <n v="3.91"/>
    <n v="6.66"/>
    <x v="322"/>
    <n v="6.51"/>
    <n v="2.2000000000000002"/>
    <n v="8.7100000000000009"/>
    <n v="74.739999999999995"/>
    <n v="44.97"/>
    <x v="16"/>
    <n v="46.92"/>
    <x v="3"/>
    <n v="0.44890929965556831"/>
  </r>
  <r>
    <x v="2"/>
    <x v="44"/>
    <n v="0"/>
    <n v="0"/>
    <x v="0"/>
    <n v="2.58"/>
    <n v="5.53"/>
    <n v="8.11"/>
    <n v="31.81"/>
    <n v="0"/>
    <x v="16"/>
    <n v="0"/>
    <x v="3"/>
    <n v="0"/>
  </r>
  <r>
    <x v="2"/>
    <x v="45"/>
    <n v="0"/>
    <n v="0"/>
    <x v="0"/>
    <n v="3.34"/>
    <n v="4.5199999999999996"/>
    <n v="7.86"/>
    <n v="42.49"/>
    <n v="0"/>
    <x v="16"/>
    <n v="0"/>
    <x v="4"/>
    <n v="0"/>
  </r>
  <r>
    <x v="2"/>
    <x v="46"/>
    <n v="3.57"/>
    <n v="3.77"/>
    <x v="26"/>
    <n v="7.28"/>
    <n v="0.48"/>
    <n v="7.76"/>
    <n v="93.81"/>
    <n v="46.01"/>
    <x v="16"/>
    <n v="42.839999999999996"/>
    <x v="4"/>
    <n v="0.46005154639175255"/>
  </r>
  <r>
    <x v="2"/>
    <x v="47"/>
    <n v="6"/>
    <n v="5.68"/>
    <x v="323"/>
    <n v="7.9"/>
    <n v="0.49"/>
    <n v="8.39"/>
    <n v="94.16"/>
    <n v="71.510000000000005"/>
    <x v="16"/>
    <n v="72"/>
    <x v="5"/>
    <n v="0.71513706793802145"/>
  </r>
  <r>
    <x v="2"/>
    <x v="48"/>
    <n v="0"/>
    <n v="0"/>
    <x v="0"/>
    <n v="0"/>
    <n v="0"/>
    <n v="0"/>
    <n v="0"/>
    <n v="0"/>
    <x v="16"/>
    <n v="0"/>
    <x v="6"/>
    <n v="0"/>
  </r>
  <r>
    <x v="2"/>
    <x v="49"/>
    <n v="1.58"/>
    <n v="3.5"/>
    <x v="324"/>
    <n v="9.65"/>
    <n v="0.34"/>
    <n v="9.99"/>
    <n v="96.6"/>
    <n v="15.85"/>
    <x v="16"/>
    <n v="18.96"/>
    <x v="3"/>
    <n v="0.15815815815815817"/>
  </r>
  <r>
    <x v="0"/>
    <x v="0"/>
    <n v="0"/>
    <n v="0"/>
    <x v="0"/>
    <n v="7.22"/>
    <n v="0.82"/>
    <n v="8.0399999999999991"/>
    <n v="89.8"/>
    <n v="0"/>
    <x v="17"/>
    <n v="0"/>
    <x v="0"/>
    <n v="0"/>
  </r>
  <r>
    <x v="0"/>
    <x v="1"/>
    <n v="1.91"/>
    <n v="1.03"/>
    <x v="325"/>
    <n v="10.19"/>
    <n v="0.43"/>
    <n v="10.62"/>
    <n v="95.95"/>
    <n v="18.05"/>
    <x v="17"/>
    <n v="22.919999999999998"/>
    <x v="0"/>
    <n v="0.17984934086629004"/>
  </r>
  <r>
    <x v="0"/>
    <x v="2"/>
    <n v="0"/>
    <n v="0"/>
    <x v="0"/>
    <n v="10.19"/>
    <n v="0.43"/>
    <n v="10.62"/>
    <n v="95.95"/>
    <n v="0"/>
    <x v="17"/>
    <n v="0"/>
    <x v="0"/>
    <n v="0"/>
  </r>
  <r>
    <x v="0"/>
    <x v="3"/>
    <n v="1.29"/>
    <n v="3.74"/>
    <x v="326"/>
    <n v="7.25"/>
    <n v="0.78"/>
    <n v="8.0299999999999994"/>
    <n v="90.29"/>
    <n v="16.059999999999999"/>
    <x v="17"/>
    <n v="15.48"/>
    <x v="0"/>
    <n v="0.16064757160647572"/>
  </r>
  <r>
    <x v="0"/>
    <x v="4"/>
    <n v="0"/>
    <n v="0"/>
    <x v="0"/>
    <n v="10.199999999999999"/>
    <n v="0.37"/>
    <n v="10.57"/>
    <n v="96.5"/>
    <n v="0"/>
    <x v="17"/>
    <n v="0"/>
    <x v="0"/>
    <n v="0"/>
  </r>
  <r>
    <x v="0"/>
    <x v="5"/>
    <n v="0"/>
    <n v="0"/>
    <x v="0"/>
    <n v="7.77"/>
    <n v="0.36"/>
    <n v="8.1300000000000008"/>
    <n v="95.57"/>
    <n v="0"/>
    <x v="17"/>
    <n v="0"/>
    <x v="0"/>
    <n v="0"/>
  </r>
  <r>
    <x v="0"/>
    <x v="6"/>
    <n v="0"/>
    <n v="0"/>
    <x v="0"/>
    <n v="10.220000000000001"/>
    <n v="0.36"/>
    <n v="10.58"/>
    <n v="96.6"/>
    <n v="0"/>
    <x v="17"/>
    <n v="0"/>
    <x v="0"/>
    <n v="0"/>
  </r>
  <r>
    <x v="0"/>
    <x v="7"/>
    <n v="0"/>
    <n v="0"/>
    <x v="0"/>
    <n v="9.5"/>
    <n v="0.53"/>
    <n v="10.029999999999999"/>
    <n v="94.72"/>
    <n v="0"/>
    <x v="17"/>
    <n v="0"/>
    <x v="0"/>
    <n v="0"/>
  </r>
  <r>
    <x v="1"/>
    <x v="9"/>
    <n v="5.5"/>
    <n v="6.85"/>
    <x v="327"/>
    <n v="5.69"/>
    <n v="2.68"/>
    <n v="8.3699999999999992"/>
    <n v="67.98"/>
    <n v="65.709999999999994"/>
    <x v="17"/>
    <n v="66"/>
    <x v="1"/>
    <n v="0.65710872162485068"/>
  </r>
  <r>
    <x v="1"/>
    <x v="11"/>
    <n v="2.08"/>
    <n v="0.35"/>
    <x v="328"/>
    <n v="6.59"/>
    <n v="1.51"/>
    <n v="8.1"/>
    <n v="81.36"/>
    <n v="25.68"/>
    <x v="17"/>
    <n v="24.96"/>
    <x v="1"/>
    <n v="0.25679012345679014"/>
  </r>
  <r>
    <x v="1"/>
    <x v="12"/>
    <n v="2.58"/>
    <n v="0.95"/>
    <x v="329"/>
    <n v="6.05"/>
    <n v="2.02"/>
    <n v="8.07"/>
    <n v="74.97"/>
    <n v="31.97"/>
    <x v="17"/>
    <n v="30.96"/>
    <x v="1"/>
    <n v="0.31970260223048325"/>
  </r>
  <r>
    <x v="1"/>
    <x v="13"/>
    <n v="4.09"/>
    <n v="2.76"/>
    <x v="330"/>
    <n v="6.07"/>
    <n v="2.0099999999999998"/>
    <n v="8.08"/>
    <n v="75.12"/>
    <n v="50.62"/>
    <x v="17"/>
    <n v="49.08"/>
    <x v="1"/>
    <n v="0.50618811881188119"/>
  </r>
  <r>
    <x v="2"/>
    <x v="14"/>
    <n v="8.33"/>
    <n v="4.13"/>
    <x v="331"/>
    <n v="7.08"/>
    <n v="0.92"/>
    <n v="8"/>
    <n v="88.5"/>
    <n v="104.17"/>
    <x v="17"/>
    <n v="99.960000000000008"/>
    <x v="2"/>
    <n v="1.04125"/>
  </r>
  <r>
    <x v="2"/>
    <x v="15"/>
    <n v="1.5"/>
    <n v="1.1499999999999999"/>
    <x v="332"/>
    <n v="8.02"/>
    <n v="1.18"/>
    <n v="9.1999999999999993"/>
    <n v="87.17"/>
    <n v="16.3"/>
    <x v="17"/>
    <n v="18"/>
    <x v="3"/>
    <n v="0.16304347826086957"/>
  </r>
  <r>
    <x v="2"/>
    <x v="16"/>
    <n v="0.83"/>
    <n v="0.84"/>
    <x v="333"/>
    <n v="8.94"/>
    <n v="0.37"/>
    <n v="9.31"/>
    <n v="96.03"/>
    <n v="8.92"/>
    <x v="17"/>
    <n v="9.9599999999999991"/>
    <x v="4"/>
    <n v="8.9151450053705686E-2"/>
  </r>
  <r>
    <x v="2"/>
    <x v="17"/>
    <n v="2.56"/>
    <n v="5.37"/>
    <x v="334"/>
    <n v="4.1500000000000004"/>
    <n v="5.13"/>
    <n v="9.2799999999999994"/>
    <n v="44.72"/>
    <n v="27.62"/>
    <x v="17"/>
    <n v="30.72"/>
    <x v="3"/>
    <n v="0.27586206896551729"/>
  </r>
  <r>
    <x v="2"/>
    <x v="18"/>
    <n v="7.75"/>
    <n v="8.65"/>
    <x v="335"/>
    <n v="6.82"/>
    <n v="2.39"/>
    <n v="9.2100000000000009"/>
    <n v="74.05"/>
    <n v="84.15"/>
    <x v="17"/>
    <n v="93"/>
    <x v="3"/>
    <n v="0.8414766558089033"/>
  </r>
  <r>
    <x v="2"/>
    <x v="19"/>
    <n v="0"/>
    <n v="0"/>
    <x v="0"/>
    <n v="0"/>
    <n v="0"/>
    <n v="0"/>
    <n v="0"/>
    <n v="0"/>
    <x v="17"/>
    <n v="0"/>
    <x v="2"/>
    <n v="0"/>
  </r>
  <r>
    <x v="2"/>
    <x v="20"/>
    <n v="4.16"/>
    <n v="1.32"/>
    <x v="336"/>
    <n v="9.4700000000000006"/>
    <n v="1.21"/>
    <n v="10.68"/>
    <n v="88.67"/>
    <n v="39.01"/>
    <x v="17"/>
    <n v="49.92"/>
    <x v="5"/>
    <n v="0.38951310861423222"/>
  </r>
  <r>
    <x v="2"/>
    <x v="22"/>
    <n v="1.25"/>
    <n v="2.78"/>
    <x v="337"/>
    <n v="7.1"/>
    <n v="2.9"/>
    <n v="10"/>
    <n v="71"/>
    <n v="12.5"/>
    <x v="17"/>
    <n v="15"/>
    <x v="4"/>
    <n v="0.125"/>
  </r>
  <r>
    <x v="2"/>
    <x v="23"/>
    <n v="2.2400000000000002"/>
    <n v="7.57"/>
    <x v="338"/>
    <n v="4.62"/>
    <n v="4.7"/>
    <n v="9.32"/>
    <n v="49.57"/>
    <n v="24.03"/>
    <x v="17"/>
    <n v="26.880000000000003"/>
    <x v="3"/>
    <n v="0.24034334763948501"/>
  </r>
  <r>
    <x v="2"/>
    <x v="24"/>
    <n v="8.75"/>
    <n v="6.43"/>
    <x v="339"/>
    <n v="7.51"/>
    <n v="1.42"/>
    <n v="8.93"/>
    <n v="84.1"/>
    <n v="97.98"/>
    <x v="17"/>
    <n v="105"/>
    <x v="5"/>
    <n v="0.97984322508398658"/>
  </r>
  <r>
    <x v="2"/>
    <x v="26"/>
    <n v="0.75"/>
    <n v="0.52"/>
    <x v="340"/>
    <n v="6.2"/>
    <n v="2.85"/>
    <n v="9.0500000000000007"/>
    <n v="68.510000000000005"/>
    <n v="8.2899999999999991"/>
    <x v="17"/>
    <n v="9"/>
    <x v="3"/>
    <n v="8.2872928176795577E-2"/>
  </r>
  <r>
    <x v="2"/>
    <x v="28"/>
    <n v="0"/>
    <n v="0"/>
    <x v="0"/>
    <n v="0"/>
    <n v="0"/>
    <n v="0"/>
    <n v="0"/>
    <n v="0"/>
    <x v="17"/>
    <n v="0"/>
    <x v="2"/>
    <n v="0"/>
  </r>
  <r>
    <x v="2"/>
    <x v="29"/>
    <n v="13.51"/>
    <n v="6.9"/>
    <x v="341"/>
    <n v="7.47"/>
    <n v="1.43"/>
    <n v="8.9"/>
    <n v="83.93"/>
    <n v="151.84"/>
    <x v="17"/>
    <n v="162.12"/>
    <x v="5"/>
    <n v="1.5179775280898875"/>
  </r>
  <r>
    <x v="2"/>
    <x v="30"/>
    <n v="0"/>
    <n v="0"/>
    <x v="0"/>
    <n v="0"/>
    <n v="0"/>
    <n v="0"/>
    <n v="0"/>
    <n v="0"/>
    <x v="17"/>
    <n v="0"/>
    <x v="5"/>
    <n v="0"/>
  </r>
  <r>
    <x v="2"/>
    <x v="33"/>
    <n v="4.0199999999999996"/>
    <n v="4.21"/>
    <x v="342"/>
    <n v="2.52"/>
    <n v="6.71"/>
    <n v="9.23"/>
    <n v="27.3"/>
    <n v="43.59"/>
    <x v="17"/>
    <n v="48.239999999999995"/>
    <x v="3"/>
    <n v="0.43553629469122418"/>
  </r>
  <r>
    <x v="2"/>
    <x v="34"/>
    <n v="2.2599999999999998"/>
    <n v="3.09"/>
    <x v="343"/>
    <n v="5.56"/>
    <n v="2.0699999999999998"/>
    <n v="7.63"/>
    <n v="72.87"/>
    <n v="29.62"/>
    <x v="17"/>
    <n v="27.119999999999997"/>
    <x v="4"/>
    <n v="0.29619921363040624"/>
  </r>
  <r>
    <x v="2"/>
    <x v="36"/>
    <n v="3.16"/>
    <n v="8.48"/>
    <x v="344"/>
    <n v="6.63"/>
    <n v="3.36"/>
    <n v="9.99"/>
    <n v="66.37"/>
    <n v="31.7"/>
    <x v="17"/>
    <n v="37.92"/>
    <x v="4"/>
    <n v="0.31631631631631635"/>
  </r>
  <r>
    <x v="2"/>
    <x v="39"/>
    <n v="5.96"/>
    <n v="5.35"/>
    <x v="345"/>
    <n v="5.45"/>
    <n v="2.52"/>
    <n v="7.97"/>
    <n v="68.38"/>
    <n v="74.86"/>
    <x v="17"/>
    <n v="71.52000000000001"/>
    <x v="2"/>
    <n v="0.74780426599749061"/>
  </r>
  <r>
    <x v="2"/>
    <x v="40"/>
    <n v="0.83"/>
    <n v="2.37"/>
    <x v="346"/>
    <n v="4.41"/>
    <n v="2.59"/>
    <n v="7"/>
    <n v="63"/>
    <n v="11.86"/>
    <x v="17"/>
    <n v="9.9599999999999991"/>
    <x v="3"/>
    <n v="0.11857142857142856"/>
  </r>
  <r>
    <x v="2"/>
    <x v="42"/>
    <n v="13.43"/>
    <n v="10.02"/>
    <x v="347"/>
    <n v="10.3"/>
    <n v="0.02"/>
    <n v="10.32"/>
    <n v="99.81"/>
    <n v="130.19999999999999"/>
    <x v="17"/>
    <n v="161.16"/>
    <x v="2"/>
    <n v="1.3013565891472867"/>
  </r>
  <r>
    <x v="2"/>
    <x v="43"/>
    <n v="4.83"/>
    <n v="3.97"/>
    <x v="348"/>
    <n v="6.83"/>
    <n v="2.2599999999999998"/>
    <n v="9.09"/>
    <n v="75.14"/>
    <n v="53.17"/>
    <x v="17"/>
    <n v="57.96"/>
    <x v="3"/>
    <n v="0.53135313531353134"/>
  </r>
  <r>
    <x v="2"/>
    <x v="44"/>
    <n v="3.33"/>
    <n v="4.1900000000000004"/>
    <x v="349"/>
    <n v="5.99"/>
    <n v="3.04"/>
    <n v="9.0299999999999994"/>
    <n v="66.33"/>
    <n v="36.909999999999997"/>
    <x v="17"/>
    <n v="39.96"/>
    <x v="3"/>
    <n v="0.36877076411960136"/>
  </r>
  <r>
    <x v="2"/>
    <x v="46"/>
    <n v="0.91"/>
    <n v="0.95"/>
    <x v="350"/>
    <n v="8.76"/>
    <n v="0.37"/>
    <n v="9.1300000000000008"/>
    <n v="95.95"/>
    <n v="9.9700000000000006"/>
    <x v="17"/>
    <n v="10.92"/>
    <x v="4"/>
    <n v="9.9671412924424968E-2"/>
  </r>
  <r>
    <x v="2"/>
    <x v="47"/>
    <n v="13.66"/>
    <n v="6.72"/>
    <x v="351"/>
    <n v="9.8000000000000007"/>
    <n v="0.22"/>
    <n v="10.02"/>
    <n v="97.8"/>
    <n v="136.38999999999999"/>
    <x v="17"/>
    <n v="163.92000000000002"/>
    <x v="5"/>
    <n v="1.3632734530938124"/>
  </r>
  <r>
    <x v="2"/>
    <x v="48"/>
    <n v="0"/>
    <n v="0"/>
    <x v="0"/>
    <n v="0"/>
    <n v="0"/>
    <n v="0"/>
    <n v="0"/>
    <n v="0"/>
    <x v="17"/>
    <n v="0"/>
    <x v="6"/>
    <n v="0"/>
  </r>
  <r>
    <x v="2"/>
    <x v="49"/>
    <n v="3.83"/>
    <n v="6.7"/>
    <x v="352"/>
    <n v="7.72"/>
    <n v="1.26"/>
    <n v="8.98"/>
    <n v="85.97"/>
    <n v="42.69"/>
    <x v="17"/>
    <n v="45.96"/>
    <x v="3"/>
    <n v="0.42650334075723828"/>
  </r>
  <r>
    <x v="0"/>
    <x v="0"/>
    <n v="4.5"/>
    <n v="7.04"/>
    <x v="353"/>
    <n v="5.03"/>
    <n v="3.02"/>
    <n v="8.0500000000000007"/>
    <n v="62.48"/>
    <n v="55.9"/>
    <x v="18"/>
    <n v="54"/>
    <x v="0"/>
    <n v="0.55900621118012417"/>
  </r>
  <r>
    <x v="0"/>
    <x v="3"/>
    <n v="1.32"/>
    <n v="3.8"/>
    <x v="354"/>
    <n v="3.55"/>
    <n v="4.5999999999999996"/>
    <n v="8.15"/>
    <n v="43.56"/>
    <n v="16.2"/>
    <x v="18"/>
    <n v="15.84"/>
    <x v="0"/>
    <n v="0.16196319018404909"/>
  </r>
  <r>
    <x v="0"/>
    <x v="4"/>
    <n v="4.08"/>
    <n v="5"/>
    <x v="355"/>
    <n v="6.43"/>
    <n v="1.67"/>
    <n v="8.1"/>
    <n v="79.38"/>
    <n v="50.37"/>
    <x v="18"/>
    <n v="48.96"/>
    <x v="0"/>
    <n v="0.50370370370370376"/>
  </r>
  <r>
    <x v="0"/>
    <x v="6"/>
    <n v="4.08"/>
    <n v="5"/>
    <x v="355"/>
    <n v="6.43"/>
    <n v="1.68"/>
    <n v="8.11"/>
    <n v="79.28"/>
    <n v="50.31"/>
    <x v="18"/>
    <n v="48.96"/>
    <x v="0"/>
    <n v="0.50308261405672017"/>
  </r>
  <r>
    <x v="0"/>
    <x v="8"/>
    <n v="4.58"/>
    <n v="7.14"/>
    <x v="356"/>
    <n v="6.95"/>
    <n v="1.1000000000000001"/>
    <n v="8.0500000000000007"/>
    <n v="86.34"/>
    <n v="56.94"/>
    <x v="18"/>
    <n v="54.96"/>
    <x v="0"/>
    <n v="0.56894409937888191"/>
  </r>
  <r>
    <x v="1"/>
    <x v="9"/>
    <n v="0"/>
    <n v="0"/>
    <x v="0"/>
    <n v="6.22"/>
    <n v="1.83"/>
    <n v="8.0500000000000007"/>
    <n v="77.27"/>
    <n v="0"/>
    <x v="18"/>
    <n v="0"/>
    <x v="1"/>
    <n v="0"/>
  </r>
  <r>
    <x v="1"/>
    <x v="10"/>
    <n v="4.25"/>
    <n v="3.58"/>
    <x v="357"/>
    <n v="6.75"/>
    <n v="1.28"/>
    <n v="8.0299999999999994"/>
    <n v="84.06"/>
    <n v="52.93"/>
    <x v="18"/>
    <n v="51"/>
    <x v="1"/>
    <n v="0.52926525529265256"/>
  </r>
  <r>
    <x v="1"/>
    <x v="12"/>
    <n v="3.52"/>
    <n v="2.77"/>
    <x v="358"/>
    <n v="5.92"/>
    <n v="2.13"/>
    <n v="8.0500000000000007"/>
    <n v="73.540000000000006"/>
    <n v="43.73"/>
    <x v="18"/>
    <n v="42.239999999999995"/>
    <x v="1"/>
    <n v="0.4372670807453416"/>
  </r>
  <r>
    <x v="1"/>
    <x v="13"/>
    <n v="3.15"/>
    <n v="2.5"/>
    <x v="359"/>
    <n v="5.92"/>
    <n v="2.13"/>
    <n v="8.0500000000000007"/>
    <n v="73.540000000000006"/>
    <n v="39.130000000000003"/>
    <x v="18"/>
    <n v="37.799999999999997"/>
    <x v="1"/>
    <n v="0.39130434782608692"/>
  </r>
  <r>
    <x v="2"/>
    <x v="14"/>
    <n v="10.33"/>
    <n v="5.55"/>
    <x v="360"/>
    <n v="6.97"/>
    <n v="1.2"/>
    <n v="8.17"/>
    <n v="85.31"/>
    <n v="126.44"/>
    <x v="18"/>
    <n v="123.96"/>
    <x v="2"/>
    <n v="1.2643818849449204"/>
  </r>
  <r>
    <x v="2"/>
    <x v="17"/>
    <n v="2.69"/>
    <n v="6.45"/>
    <x v="361"/>
    <n v="4.5"/>
    <n v="3.67"/>
    <n v="8.17"/>
    <n v="55.08"/>
    <n v="32.97"/>
    <x v="18"/>
    <n v="32.28"/>
    <x v="3"/>
    <n v="0.3292533659730722"/>
  </r>
  <r>
    <x v="2"/>
    <x v="18"/>
    <n v="7.25"/>
    <n v="7.43"/>
    <x v="362"/>
    <n v="6.47"/>
    <n v="1.68"/>
    <n v="8.15"/>
    <n v="79.39"/>
    <n v="88.96"/>
    <x v="18"/>
    <n v="87"/>
    <x v="3"/>
    <n v="0.88957055214723924"/>
  </r>
  <r>
    <x v="2"/>
    <x v="19"/>
    <n v="0"/>
    <n v="0"/>
    <x v="0"/>
    <n v="0"/>
    <n v="0"/>
    <n v="0"/>
    <n v="0"/>
    <n v="0"/>
    <x v="18"/>
    <n v="0"/>
    <x v="2"/>
    <n v="0"/>
  </r>
  <r>
    <x v="2"/>
    <x v="22"/>
    <n v="3.33"/>
    <n v="5.6"/>
    <x v="363"/>
    <n v="5.87"/>
    <n v="2.4900000000000002"/>
    <n v="8.36"/>
    <n v="70.22"/>
    <n v="39.869999999999997"/>
    <x v="18"/>
    <n v="39.96"/>
    <x v="4"/>
    <n v="0.39832535885167469"/>
  </r>
  <r>
    <x v="2"/>
    <x v="23"/>
    <n v="1"/>
    <n v="1.27"/>
    <x v="364"/>
    <n v="3.19"/>
    <n v="4.9800000000000004"/>
    <n v="8.17"/>
    <n v="39.049999999999997"/>
    <n v="12.24"/>
    <x v="18"/>
    <n v="12"/>
    <x v="3"/>
    <n v="0.12239902080783353"/>
  </r>
  <r>
    <x v="2"/>
    <x v="26"/>
    <n v="1"/>
    <n v="1.17"/>
    <x v="365"/>
    <n v="6.55"/>
    <n v="1.61"/>
    <n v="8.16"/>
    <n v="80.27"/>
    <n v="12.25"/>
    <x v="18"/>
    <n v="12"/>
    <x v="3"/>
    <n v="0.12254901960784313"/>
  </r>
  <r>
    <x v="2"/>
    <x v="28"/>
    <n v="0"/>
    <n v="0"/>
    <x v="0"/>
    <n v="0"/>
    <n v="0"/>
    <n v="0"/>
    <n v="0"/>
    <n v="0"/>
    <x v="18"/>
    <n v="0"/>
    <x v="2"/>
    <n v="0"/>
  </r>
  <r>
    <x v="2"/>
    <x v="30"/>
    <n v="0"/>
    <n v="0"/>
    <x v="0"/>
    <n v="0"/>
    <n v="0"/>
    <n v="0"/>
    <n v="0"/>
    <n v="0"/>
    <x v="18"/>
    <n v="0"/>
    <x v="5"/>
    <n v="0"/>
  </r>
  <r>
    <x v="2"/>
    <x v="33"/>
    <n v="0"/>
    <n v="0"/>
    <x v="0"/>
    <n v="2.4500000000000002"/>
    <n v="5.86"/>
    <n v="8.31"/>
    <n v="29.48"/>
    <n v="0"/>
    <x v="18"/>
    <n v="0"/>
    <x v="3"/>
    <n v="0"/>
  </r>
  <r>
    <x v="2"/>
    <x v="34"/>
    <n v="4.74"/>
    <n v="7.58"/>
    <x v="366"/>
    <n v="7.75"/>
    <n v="2.17"/>
    <n v="9.92"/>
    <n v="78.13"/>
    <n v="47.78"/>
    <x v="18"/>
    <n v="56.88000000000001"/>
    <x v="4"/>
    <n v="0.47782258064516131"/>
  </r>
  <r>
    <x v="2"/>
    <x v="35"/>
    <n v="23.15"/>
    <n v="10.7"/>
    <x v="367"/>
    <n v="9.73"/>
    <n v="1.51"/>
    <n v="11.24"/>
    <n v="86.57"/>
    <n v="205.96"/>
    <x v="18"/>
    <n v="277.8"/>
    <x v="2"/>
    <n v="2.0596085409252667"/>
  </r>
  <r>
    <x v="2"/>
    <x v="38"/>
    <n v="14.41"/>
    <n v="7.45"/>
    <x v="368"/>
    <n v="7.12"/>
    <n v="1.01"/>
    <n v="8.1300000000000008"/>
    <n v="87.58"/>
    <n v="177.33"/>
    <x v="18"/>
    <n v="172.92000000000002"/>
    <x v="2"/>
    <n v="1.7724477244772445"/>
  </r>
  <r>
    <x v="2"/>
    <x v="39"/>
    <n v="7.32"/>
    <n v="7.02"/>
    <x v="369"/>
    <n v="5.37"/>
    <n v="2.56"/>
    <n v="7.93"/>
    <n v="67.72"/>
    <n v="92.35"/>
    <x v="18"/>
    <n v="87.84"/>
    <x v="2"/>
    <n v="0.92307692307692313"/>
  </r>
  <r>
    <x v="2"/>
    <x v="40"/>
    <n v="1.66"/>
    <n v="4.1500000000000004"/>
    <x v="370"/>
    <n v="6.02"/>
    <n v="2.14"/>
    <n v="8.16"/>
    <n v="73.77"/>
    <n v="20.420000000000002"/>
    <x v="18"/>
    <n v="19.919999999999998"/>
    <x v="3"/>
    <n v="0.20343137254901961"/>
  </r>
  <r>
    <x v="2"/>
    <x v="43"/>
    <n v="0"/>
    <n v="0"/>
    <x v="0"/>
    <n v="4.54"/>
    <n v="3.58"/>
    <n v="8.1199999999999992"/>
    <n v="55.91"/>
    <n v="0"/>
    <x v="18"/>
    <n v="0"/>
    <x v="3"/>
    <n v="0"/>
  </r>
  <r>
    <x v="2"/>
    <x v="44"/>
    <n v="4.07"/>
    <n v="6.52"/>
    <x v="371"/>
    <n v="2.17"/>
    <n v="6"/>
    <n v="8.17"/>
    <n v="26.56"/>
    <n v="49.86"/>
    <x v="18"/>
    <n v="48.84"/>
    <x v="3"/>
    <n v="0.49816401468788252"/>
  </r>
  <r>
    <x v="2"/>
    <x v="48"/>
    <n v="0"/>
    <n v="0"/>
    <x v="0"/>
    <n v="0"/>
    <n v="0"/>
    <n v="0"/>
    <n v="0"/>
    <n v="0"/>
    <x v="18"/>
    <n v="0"/>
    <x v="6"/>
    <n v="0"/>
  </r>
  <r>
    <x v="0"/>
    <x v="0"/>
    <n v="0"/>
    <n v="0"/>
    <x v="0"/>
    <n v="0"/>
    <n v="0"/>
    <n v="0"/>
    <n v="0"/>
    <n v="0"/>
    <x v="19"/>
    <n v="0"/>
    <x v="0"/>
    <n v="0"/>
  </r>
  <r>
    <x v="0"/>
    <x v="1"/>
    <n v="0"/>
    <n v="0"/>
    <x v="0"/>
    <n v="0"/>
    <n v="0"/>
    <n v="0"/>
    <n v="0"/>
    <n v="0"/>
    <x v="19"/>
    <n v="0"/>
    <x v="0"/>
    <n v="0"/>
  </r>
  <r>
    <x v="0"/>
    <x v="2"/>
    <n v="0"/>
    <n v="0"/>
    <x v="0"/>
    <n v="0"/>
    <n v="0"/>
    <n v="0"/>
    <n v="0"/>
    <n v="0"/>
    <x v="19"/>
    <n v="0"/>
    <x v="0"/>
    <n v="0"/>
  </r>
  <r>
    <x v="0"/>
    <x v="3"/>
    <n v="0"/>
    <n v="0"/>
    <x v="0"/>
    <n v="0"/>
    <n v="0"/>
    <n v="0"/>
    <n v="0"/>
    <n v="0"/>
    <x v="19"/>
    <n v="0"/>
    <x v="0"/>
    <n v="0"/>
  </r>
  <r>
    <x v="0"/>
    <x v="4"/>
    <n v="0"/>
    <n v="0"/>
    <x v="0"/>
    <n v="0"/>
    <n v="0"/>
    <n v="0"/>
    <n v="0"/>
    <n v="0"/>
    <x v="19"/>
    <n v="0"/>
    <x v="0"/>
    <n v="0"/>
  </r>
  <r>
    <x v="0"/>
    <x v="5"/>
    <n v="0"/>
    <n v="0"/>
    <x v="0"/>
    <n v="0"/>
    <n v="0"/>
    <n v="0"/>
    <n v="0"/>
    <n v="0"/>
    <x v="19"/>
    <n v="0"/>
    <x v="0"/>
    <n v="0"/>
  </r>
  <r>
    <x v="0"/>
    <x v="6"/>
    <n v="0"/>
    <n v="0"/>
    <x v="0"/>
    <n v="0"/>
    <n v="0"/>
    <n v="0"/>
    <n v="0"/>
    <n v="0"/>
    <x v="19"/>
    <n v="0"/>
    <x v="0"/>
    <n v="0"/>
  </r>
  <r>
    <x v="0"/>
    <x v="7"/>
    <n v="0"/>
    <n v="0"/>
    <x v="0"/>
    <n v="0"/>
    <n v="0"/>
    <n v="0"/>
    <n v="0"/>
    <n v="0"/>
    <x v="19"/>
    <n v="0"/>
    <x v="0"/>
    <n v="0"/>
  </r>
  <r>
    <x v="0"/>
    <x v="8"/>
    <n v="0"/>
    <n v="0"/>
    <x v="0"/>
    <n v="0"/>
    <n v="0"/>
    <n v="0"/>
    <n v="0"/>
    <n v="0"/>
    <x v="19"/>
    <n v="0"/>
    <x v="0"/>
    <n v="0"/>
  </r>
  <r>
    <x v="1"/>
    <x v="9"/>
    <n v="0"/>
    <n v="0"/>
    <x v="0"/>
    <n v="0"/>
    <n v="0"/>
    <n v="0"/>
    <n v="0"/>
    <n v="0"/>
    <x v="19"/>
    <n v="0"/>
    <x v="1"/>
    <n v="0"/>
  </r>
  <r>
    <x v="1"/>
    <x v="10"/>
    <n v="0"/>
    <n v="0"/>
    <x v="0"/>
    <n v="0"/>
    <n v="0"/>
    <n v="0"/>
    <n v="0"/>
    <n v="0"/>
    <x v="19"/>
    <n v="0"/>
    <x v="1"/>
    <n v="0"/>
  </r>
  <r>
    <x v="1"/>
    <x v="11"/>
    <n v="0"/>
    <n v="0"/>
    <x v="0"/>
    <n v="0"/>
    <n v="0"/>
    <n v="0"/>
    <n v="0"/>
    <n v="0"/>
    <x v="19"/>
    <n v="0"/>
    <x v="1"/>
    <n v="0"/>
  </r>
  <r>
    <x v="1"/>
    <x v="12"/>
    <n v="0"/>
    <n v="0"/>
    <x v="0"/>
    <n v="0"/>
    <n v="0"/>
    <n v="0"/>
    <n v="0"/>
    <n v="0"/>
    <x v="19"/>
    <n v="0"/>
    <x v="1"/>
    <n v="0"/>
  </r>
  <r>
    <x v="1"/>
    <x v="13"/>
    <n v="0"/>
    <n v="0"/>
    <x v="0"/>
    <n v="0"/>
    <n v="0"/>
    <n v="0"/>
    <n v="0"/>
    <n v="0"/>
    <x v="19"/>
    <n v="0"/>
    <x v="1"/>
    <n v="0"/>
  </r>
  <r>
    <x v="2"/>
    <x v="14"/>
    <n v="0"/>
    <n v="0"/>
    <x v="0"/>
    <n v="0"/>
    <n v="0"/>
    <n v="0"/>
    <n v="0"/>
    <n v="0"/>
    <x v="19"/>
    <n v="0"/>
    <x v="2"/>
    <n v="0"/>
  </r>
  <r>
    <x v="2"/>
    <x v="15"/>
    <n v="0"/>
    <n v="0"/>
    <x v="0"/>
    <n v="0"/>
    <n v="0"/>
    <n v="0"/>
    <n v="0"/>
    <n v="0"/>
    <x v="19"/>
    <n v="0"/>
    <x v="3"/>
    <n v="0"/>
  </r>
  <r>
    <x v="2"/>
    <x v="16"/>
    <n v="0"/>
    <n v="0"/>
    <x v="0"/>
    <n v="0"/>
    <n v="0"/>
    <n v="0"/>
    <n v="0"/>
    <n v="0"/>
    <x v="19"/>
    <n v="0"/>
    <x v="4"/>
    <n v="0"/>
  </r>
  <r>
    <x v="2"/>
    <x v="17"/>
    <n v="0"/>
    <n v="0"/>
    <x v="0"/>
    <n v="0"/>
    <n v="0"/>
    <n v="0"/>
    <n v="0"/>
    <n v="0"/>
    <x v="19"/>
    <n v="0"/>
    <x v="3"/>
    <n v="0"/>
  </r>
  <r>
    <x v="2"/>
    <x v="18"/>
    <n v="0"/>
    <n v="0"/>
    <x v="0"/>
    <n v="0"/>
    <n v="0"/>
    <n v="0"/>
    <n v="0"/>
    <n v="0"/>
    <x v="19"/>
    <n v="0"/>
    <x v="3"/>
    <n v="0"/>
  </r>
  <r>
    <x v="2"/>
    <x v="19"/>
    <n v="0"/>
    <n v="0"/>
    <x v="0"/>
    <n v="0"/>
    <n v="0"/>
    <n v="0"/>
    <n v="0"/>
    <n v="0"/>
    <x v="19"/>
    <n v="0"/>
    <x v="2"/>
    <n v="0"/>
  </r>
  <r>
    <x v="2"/>
    <x v="20"/>
    <n v="0"/>
    <n v="0"/>
    <x v="0"/>
    <n v="0"/>
    <n v="0"/>
    <n v="0"/>
    <n v="0"/>
    <n v="0"/>
    <x v="19"/>
    <n v="0"/>
    <x v="5"/>
    <n v="0"/>
  </r>
  <r>
    <x v="2"/>
    <x v="21"/>
    <n v="0"/>
    <n v="0"/>
    <x v="0"/>
    <n v="0"/>
    <n v="0"/>
    <n v="0"/>
    <n v="0"/>
    <n v="0"/>
    <x v="19"/>
    <n v="0"/>
    <x v="2"/>
    <n v="0"/>
  </r>
  <r>
    <x v="2"/>
    <x v="22"/>
    <n v="0"/>
    <n v="0"/>
    <x v="0"/>
    <n v="0"/>
    <n v="0"/>
    <n v="0"/>
    <n v="0"/>
    <n v="0"/>
    <x v="19"/>
    <n v="0"/>
    <x v="4"/>
    <n v="0"/>
  </r>
  <r>
    <x v="2"/>
    <x v="23"/>
    <n v="0"/>
    <n v="0"/>
    <x v="0"/>
    <n v="0"/>
    <n v="0"/>
    <n v="0"/>
    <n v="0"/>
    <n v="0"/>
    <x v="19"/>
    <n v="0"/>
    <x v="3"/>
    <n v="0"/>
  </r>
  <r>
    <x v="2"/>
    <x v="24"/>
    <n v="0"/>
    <n v="0"/>
    <x v="0"/>
    <n v="0"/>
    <n v="0"/>
    <n v="0"/>
    <n v="0"/>
    <n v="0"/>
    <x v="19"/>
    <n v="0"/>
    <x v="5"/>
    <n v="0"/>
  </r>
  <r>
    <x v="2"/>
    <x v="25"/>
    <n v="0"/>
    <n v="0"/>
    <x v="0"/>
    <n v="0"/>
    <n v="0"/>
    <n v="0"/>
    <n v="0"/>
    <n v="0"/>
    <x v="19"/>
    <n v="0"/>
    <x v="2"/>
    <n v="0"/>
  </r>
  <r>
    <x v="2"/>
    <x v="26"/>
    <n v="0"/>
    <n v="0"/>
    <x v="0"/>
    <n v="0"/>
    <n v="0"/>
    <n v="0"/>
    <n v="0"/>
    <n v="0"/>
    <x v="19"/>
    <n v="0"/>
    <x v="3"/>
    <n v="0"/>
  </r>
  <r>
    <x v="2"/>
    <x v="27"/>
    <n v="0"/>
    <n v="0"/>
    <x v="0"/>
    <n v="0"/>
    <n v="0"/>
    <n v="0"/>
    <n v="0"/>
    <n v="0"/>
    <x v="19"/>
    <n v="0"/>
    <x v="5"/>
    <n v="0"/>
  </r>
  <r>
    <x v="2"/>
    <x v="28"/>
    <n v="0"/>
    <n v="0"/>
    <x v="0"/>
    <n v="0"/>
    <n v="0"/>
    <n v="0"/>
    <n v="0"/>
    <n v="0"/>
    <x v="19"/>
    <n v="0"/>
    <x v="2"/>
    <n v="0"/>
  </r>
  <r>
    <x v="2"/>
    <x v="29"/>
    <n v="0"/>
    <n v="0"/>
    <x v="0"/>
    <n v="0"/>
    <n v="0"/>
    <n v="0"/>
    <n v="0"/>
    <n v="0"/>
    <x v="19"/>
    <n v="0"/>
    <x v="5"/>
    <n v="0"/>
  </r>
  <r>
    <x v="2"/>
    <x v="30"/>
    <n v="0"/>
    <n v="0"/>
    <x v="0"/>
    <n v="0"/>
    <n v="0"/>
    <n v="0"/>
    <n v="0"/>
    <n v="0"/>
    <x v="19"/>
    <n v="0"/>
    <x v="5"/>
    <n v="0"/>
  </r>
  <r>
    <x v="2"/>
    <x v="31"/>
    <n v="0"/>
    <n v="0"/>
    <x v="0"/>
    <n v="0"/>
    <n v="0"/>
    <n v="0"/>
    <n v="0"/>
    <n v="0"/>
    <x v="19"/>
    <n v="0"/>
    <x v="2"/>
    <n v="0"/>
  </r>
  <r>
    <x v="2"/>
    <x v="32"/>
    <n v="0"/>
    <n v="0"/>
    <x v="0"/>
    <n v="0"/>
    <n v="0"/>
    <n v="0"/>
    <n v="0"/>
    <n v="0"/>
    <x v="19"/>
    <n v="0"/>
    <x v="3"/>
    <n v="0"/>
  </r>
  <r>
    <x v="2"/>
    <x v="33"/>
    <n v="0"/>
    <n v="0"/>
    <x v="0"/>
    <n v="0"/>
    <n v="0"/>
    <n v="0"/>
    <n v="0"/>
    <n v="0"/>
    <x v="19"/>
    <n v="0"/>
    <x v="3"/>
    <n v="0"/>
  </r>
  <r>
    <x v="2"/>
    <x v="34"/>
    <n v="0"/>
    <n v="0"/>
    <x v="0"/>
    <n v="0"/>
    <n v="0"/>
    <n v="0"/>
    <n v="0"/>
    <n v="0"/>
    <x v="19"/>
    <n v="0"/>
    <x v="4"/>
    <n v="0"/>
  </r>
  <r>
    <x v="2"/>
    <x v="35"/>
    <n v="0"/>
    <n v="0"/>
    <x v="0"/>
    <n v="0"/>
    <n v="0"/>
    <n v="0"/>
    <n v="0"/>
    <n v="0"/>
    <x v="19"/>
    <n v="0"/>
    <x v="2"/>
    <n v="0"/>
  </r>
  <r>
    <x v="2"/>
    <x v="36"/>
    <n v="0"/>
    <n v="0"/>
    <x v="0"/>
    <n v="0"/>
    <n v="0"/>
    <n v="0"/>
    <n v="0"/>
    <n v="0"/>
    <x v="19"/>
    <n v="0"/>
    <x v="4"/>
    <n v="0"/>
  </r>
  <r>
    <x v="2"/>
    <x v="37"/>
    <n v="0"/>
    <n v="0"/>
    <x v="0"/>
    <n v="0"/>
    <n v="0"/>
    <n v="0"/>
    <n v="0"/>
    <n v="0"/>
    <x v="19"/>
    <n v="0"/>
    <x v="4"/>
    <n v="0"/>
  </r>
  <r>
    <x v="2"/>
    <x v="38"/>
    <n v="0"/>
    <n v="0"/>
    <x v="0"/>
    <n v="0"/>
    <n v="0"/>
    <n v="0"/>
    <n v="0"/>
    <n v="0"/>
    <x v="19"/>
    <n v="0"/>
    <x v="2"/>
    <n v="0"/>
  </r>
  <r>
    <x v="2"/>
    <x v="39"/>
    <n v="0"/>
    <n v="0"/>
    <x v="0"/>
    <n v="0"/>
    <n v="0"/>
    <n v="0"/>
    <n v="0"/>
    <n v="0"/>
    <x v="19"/>
    <n v="0"/>
    <x v="2"/>
    <n v="0"/>
  </r>
  <r>
    <x v="2"/>
    <x v="40"/>
    <n v="0"/>
    <n v="0"/>
    <x v="0"/>
    <n v="0"/>
    <n v="0"/>
    <n v="0"/>
    <n v="0"/>
    <n v="0"/>
    <x v="19"/>
    <n v="0"/>
    <x v="3"/>
    <n v="0"/>
  </r>
  <r>
    <x v="2"/>
    <x v="41"/>
    <n v="0"/>
    <n v="0"/>
    <x v="0"/>
    <n v="0"/>
    <n v="0"/>
    <n v="0"/>
    <n v="0"/>
    <n v="0"/>
    <x v="19"/>
    <n v="0"/>
    <x v="5"/>
    <n v="0"/>
  </r>
  <r>
    <x v="2"/>
    <x v="42"/>
    <n v="0"/>
    <n v="0"/>
    <x v="0"/>
    <n v="0"/>
    <n v="0"/>
    <n v="0"/>
    <n v="0"/>
    <n v="0"/>
    <x v="19"/>
    <n v="0"/>
    <x v="2"/>
    <n v="0"/>
  </r>
  <r>
    <x v="2"/>
    <x v="43"/>
    <n v="0"/>
    <n v="0"/>
    <x v="0"/>
    <n v="0"/>
    <n v="0"/>
    <n v="0"/>
    <n v="0"/>
    <n v="0"/>
    <x v="19"/>
    <n v="0"/>
    <x v="3"/>
    <n v="0"/>
  </r>
  <r>
    <x v="2"/>
    <x v="44"/>
    <n v="0"/>
    <n v="0"/>
    <x v="0"/>
    <n v="0"/>
    <n v="0"/>
    <n v="0"/>
    <n v="0"/>
    <n v="0"/>
    <x v="19"/>
    <n v="0"/>
    <x v="3"/>
    <n v="0"/>
  </r>
  <r>
    <x v="2"/>
    <x v="45"/>
    <n v="0"/>
    <n v="0"/>
    <x v="0"/>
    <n v="0"/>
    <n v="0"/>
    <n v="0"/>
    <n v="0"/>
    <n v="0"/>
    <x v="19"/>
    <n v="0"/>
    <x v="4"/>
    <n v="0"/>
  </r>
  <r>
    <x v="2"/>
    <x v="46"/>
    <n v="0"/>
    <n v="0"/>
    <x v="0"/>
    <n v="0"/>
    <n v="0"/>
    <n v="0"/>
    <n v="0"/>
    <n v="0"/>
    <x v="19"/>
    <n v="0"/>
    <x v="4"/>
    <n v="0"/>
  </r>
  <r>
    <x v="2"/>
    <x v="47"/>
    <n v="0"/>
    <n v="0"/>
    <x v="0"/>
    <n v="0"/>
    <n v="0"/>
    <n v="0"/>
    <n v="0"/>
    <n v="0"/>
    <x v="19"/>
    <n v="0"/>
    <x v="5"/>
    <n v="0"/>
  </r>
  <r>
    <x v="2"/>
    <x v="48"/>
    <n v="0"/>
    <n v="0"/>
    <x v="0"/>
    <n v="0"/>
    <n v="0"/>
    <n v="0"/>
    <n v="0"/>
    <n v="0"/>
    <x v="19"/>
    <n v="0"/>
    <x v="6"/>
    <n v="0"/>
  </r>
  <r>
    <x v="2"/>
    <x v="49"/>
    <n v="0"/>
    <n v="0"/>
    <x v="0"/>
    <n v="0"/>
    <n v="0"/>
    <n v="0"/>
    <n v="0"/>
    <n v="0"/>
    <x v="19"/>
    <n v="0"/>
    <x v="3"/>
    <n v="0"/>
  </r>
  <r>
    <x v="2"/>
    <x v="50"/>
    <n v="0"/>
    <n v="0"/>
    <x v="0"/>
    <n v="0"/>
    <n v="0"/>
    <n v="0"/>
    <n v="0"/>
    <n v="0"/>
    <x v="19"/>
    <n v="0"/>
    <x v="4"/>
    <n v="0"/>
  </r>
  <r>
    <x v="0"/>
    <x v="0"/>
    <n v="0"/>
    <n v="0"/>
    <x v="0"/>
    <n v="0"/>
    <n v="0"/>
    <n v="0"/>
    <n v="0"/>
    <n v="0"/>
    <x v="20"/>
    <n v="0"/>
    <x v="0"/>
    <n v="0"/>
  </r>
  <r>
    <x v="0"/>
    <x v="1"/>
    <n v="0"/>
    <n v="0"/>
    <x v="0"/>
    <n v="0"/>
    <n v="0"/>
    <n v="0"/>
    <n v="0"/>
    <n v="0"/>
    <x v="20"/>
    <n v="0"/>
    <x v="0"/>
    <n v="0"/>
  </r>
  <r>
    <x v="0"/>
    <x v="2"/>
    <n v="0"/>
    <n v="0"/>
    <x v="0"/>
    <n v="0"/>
    <n v="0"/>
    <n v="0"/>
    <n v="0"/>
    <n v="0"/>
    <x v="20"/>
    <n v="0"/>
    <x v="0"/>
    <n v="0"/>
  </r>
  <r>
    <x v="0"/>
    <x v="3"/>
    <n v="0"/>
    <n v="0"/>
    <x v="0"/>
    <n v="0"/>
    <n v="0"/>
    <n v="0"/>
    <n v="0"/>
    <n v="0"/>
    <x v="20"/>
    <n v="0"/>
    <x v="0"/>
    <n v="0"/>
  </r>
  <r>
    <x v="0"/>
    <x v="4"/>
    <n v="0"/>
    <n v="0"/>
    <x v="0"/>
    <n v="0"/>
    <n v="0"/>
    <n v="0"/>
    <n v="0"/>
    <n v="0"/>
    <x v="20"/>
    <n v="0"/>
    <x v="0"/>
    <n v="0"/>
  </r>
  <r>
    <x v="0"/>
    <x v="5"/>
    <n v="0"/>
    <n v="0"/>
    <x v="0"/>
    <n v="0"/>
    <n v="0"/>
    <n v="0"/>
    <n v="0"/>
    <n v="0"/>
    <x v="20"/>
    <n v="0"/>
    <x v="0"/>
    <n v="0"/>
  </r>
  <r>
    <x v="0"/>
    <x v="6"/>
    <n v="0"/>
    <n v="0"/>
    <x v="0"/>
    <n v="0"/>
    <n v="0"/>
    <n v="0"/>
    <n v="0"/>
    <n v="0"/>
    <x v="20"/>
    <n v="0"/>
    <x v="0"/>
    <n v="0"/>
  </r>
  <r>
    <x v="0"/>
    <x v="7"/>
    <n v="0"/>
    <n v="0"/>
    <x v="0"/>
    <n v="0"/>
    <n v="0"/>
    <n v="0"/>
    <n v="0"/>
    <n v="0"/>
    <x v="20"/>
    <n v="0"/>
    <x v="0"/>
    <n v="0"/>
  </r>
  <r>
    <x v="0"/>
    <x v="8"/>
    <n v="0"/>
    <n v="0"/>
    <x v="0"/>
    <n v="0"/>
    <n v="0"/>
    <n v="0"/>
    <n v="0"/>
    <n v="0"/>
    <x v="20"/>
    <n v="0"/>
    <x v="0"/>
    <n v="0"/>
  </r>
  <r>
    <x v="1"/>
    <x v="9"/>
    <n v="0"/>
    <n v="0"/>
    <x v="0"/>
    <n v="0"/>
    <n v="0"/>
    <n v="0"/>
    <n v="0"/>
    <n v="0"/>
    <x v="20"/>
    <n v="0"/>
    <x v="1"/>
    <n v="0"/>
  </r>
  <r>
    <x v="1"/>
    <x v="10"/>
    <n v="0"/>
    <n v="0"/>
    <x v="0"/>
    <n v="0"/>
    <n v="0"/>
    <n v="0"/>
    <n v="0"/>
    <n v="0"/>
    <x v="20"/>
    <n v="0"/>
    <x v="1"/>
    <n v="0"/>
  </r>
  <r>
    <x v="1"/>
    <x v="11"/>
    <n v="0"/>
    <n v="0"/>
    <x v="0"/>
    <n v="0"/>
    <n v="0"/>
    <n v="0"/>
    <n v="0"/>
    <n v="0"/>
    <x v="20"/>
    <n v="0"/>
    <x v="1"/>
    <n v="0"/>
  </r>
  <r>
    <x v="1"/>
    <x v="12"/>
    <n v="0"/>
    <n v="0"/>
    <x v="0"/>
    <n v="0"/>
    <n v="0"/>
    <n v="0"/>
    <n v="0"/>
    <n v="0"/>
    <x v="20"/>
    <n v="0"/>
    <x v="1"/>
    <n v="0"/>
  </r>
  <r>
    <x v="1"/>
    <x v="13"/>
    <n v="0"/>
    <n v="0"/>
    <x v="0"/>
    <n v="0"/>
    <n v="0"/>
    <n v="0"/>
    <n v="0"/>
    <n v="0"/>
    <x v="20"/>
    <n v="0"/>
    <x v="1"/>
    <n v="0"/>
  </r>
  <r>
    <x v="2"/>
    <x v="14"/>
    <n v="0"/>
    <n v="0"/>
    <x v="0"/>
    <n v="0"/>
    <n v="0"/>
    <n v="0"/>
    <n v="0"/>
    <n v="0"/>
    <x v="20"/>
    <n v="0"/>
    <x v="2"/>
    <n v="0"/>
  </r>
  <r>
    <x v="2"/>
    <x v="15"/>
    <n v="0"/>
    <n v="0"/>
    <x v="0"/>
    <n v="0"/>
    <n v="0"/>
    <n v="0"/>
    <n v="0"/>
    <n v="0"/>
    <x v="20"/>
    <n v="0"/>
    <x v="3"/>
    <n v="0"/>
  </r>
  <r>
    <x v="2"/>
    <x v="16"/>
    <n v="0"/>
    <n v="0"/>
    <x v="0"/>
    <n v="0"/>
    <n v="0"/>
    <n v="0"/>
    <n v="0"/>
    <n v="0"/>
    <x v="20"/>
    <n v="0"/>
    <x v="4"/>
    <n v="0"/>
  </r>
  <r>
    <x v="2"/>
    <x v="17"/>
    <n v="0"/>
    <n v="0"/>
    <x v="0"/>
    <n v="0"/>
    <n v="0"/>
    <n v="0"/>
    <n v="0"/>
    <n v="0"/>
    <x v="20"/>
    <n v="0"/>
    <x v="3"/>
    <n v="0"/>
  </r>
  <r>
    <x v="2"/>
    <x v="18"/>
    <n v="0"/>
    <n v="0"/>
    <x v="0"/>
    <n v="0"/>
    <n v="0"/>
    <n v="0"/>
    <n v="0"/>
    <n v="0"/>
    <x v="20"/>
    <n v="0"/>
    <x v="3"/>
    <n v="0"/>
  </r>
  <r>
    <x v="2"/>
    <x v="19"/>
    <n v="0"/>
    <n v="0"/>
    <x v="0"/>
    <n v="0"/>
    <n v="0"/>
    <n v="0"/>
    <n v="0"/>
    <n v="0"/>
    <x v="20"/>
    <n v="0"/>
    <x v="2"/>
    <n v="0"/>
  </r>
  <r>
    <x v="2"/>
    <x v="20"/>
    <n v="0"/>
    <n v="0"/>
    <x v="0"/>
    <n v="0"/>
    <n v="0"/>
    <n v="0"/>
    <n v="0"/>
    <n v="0"/>
    <x v="20"/>
    <n v="0"/>
    <x v="5"/>
    <n v="0"/>
  </r>
  <r>
    <x v="2"/>
    <x v="21"/>
    <n v="0"/>
    <n v="0"/>
    <x v="0"/>
    <n v="0"/>
    <n v="0"/>
    <n v="0"/>
    <n v="0"/>
    <n v="0"/>
    <x v="20"/>
    <n v="0"/>
    <x v="2"/>
    <n v="0"/>
  </r>
  <r>
    <x v="2"/>
    <x v="22"/>
    <n v="0"/>
    <n v="0"/>
    <x v="0"/>
    <n v="0"/>
    <n v="0"/>
    <n v="0"/>
    <n v="0"/>
    <n v="0"/>
    <x v="20"/>
    <n v="0"/>
    <x v="4"/>
    <n v="0"/>
  </r>
  <r>
    <x v="2"/>
    <x v="23"/>
    <n v="0"/>
    <n v="0"/>
    <x v="0"/>
    <n v="0"/>
    <n v="0"/>
    <n v="0"/>
    <n v="0"/>
    <n v="0"/>
    <x v="20"/>
    <n v="0"/>
    <x v="3"/>
    <n v="0"/>
  </r>
  <r>
    <x v="2"/>
    <x v="24"/>
    <n v="0"/>
    <n v="0"/>
    <x v="0"/>
    <n v="0"/>
    <n v="0"/>
    <n v="0"/>
    <n v="0"/>
    <n v="0"/>
    <x v="20"/>
    <n v="0"/>
    <x v="5"/>
    <n v="0"/>
  </r>
  <r>
    <x v="2"/>
    <x v="25"/>
    <n v="0"/>
    <n v="0"/>
    <x v="0"/>
    <n v="0"/>
    <n v="0"/>
    <n v="0"/>
    <n v="0"/>
    <n v="0"/>
    <x v="20"/>
    <n v="0"/>
    <x v="2"/>
    <n v="0"/>
  </r>
  <r>
    <x v="2"/>
    <x v="26"/>
    <n v="0"/>
    <n v="0"/>
    <x v="0"/>
    <n v="0"/>
    <n v="0"/>
    <n v="0"/>
    <n v="0"/>
    <n v="0"/>
    <x v="20"/>
    <n v="0"/>
    <x v="3"/>
    <n v="0"/>
  </r>
  <r>
    <x v="2"/>
    <x v="27"/>
    <n v="0"/>
    <n v="0"/>
    <x v="0"/>
    <n v="0"/>
    <n v="0"/>
    <n v="0"/>
    <n v="0"/>
    <n v="0"/>
    <x v="20"/>
    <n v="0"/>
    <x v="5"/>
    <n v="0"/>
  </r>
  <r>
    <x v="2"/>
    <x v="28"/>
    <n v="0"/>
    <n v="0"/>
    <x v="0"/>
    <n v="0"/>
    <n v="0"/>
    <n v="0"/>
    <n v="0"/>
    <n v="0"/>
    <x v="20"/>
    <n v="0"/>
    <x v="2"/>
    <n v="0"/>
  </r>
  <r>
    <x v="2"/>
    <x v="29"/>
    <n v="0"/>
    <n v="0"/>
    <x v="0"/>
    <n v="0"/>
    <n v="0"/>
    <n v="0"/>
    <n v="0"/>
    <n v="0"/>
    <x v="20"/>
    <n v="0"/>
    <x v="5"/>
    <n v="0"/>
  </r>
  <r>
    <x v="2"/>
    <x v="30"/>
    <n v="0"/>
    <n v="0"/>
    <x v="0"/>
    <n v="0"/>
    <n v="0"/>
    <n v="0"/>
    <n v="0"/>
    <n v="0"/>
    <x v="20"/>
    <n v="0"/>
    <x v="5"/>
    <n v="0"/>
  </r>
  <r>
    <x v="2"/>
    <x v="31"/>
    <n v="0"/>
    <n v="0"/>
    <x v="0"/>
    <n v="0"/>
    <n v="0"/>
    <n v="0"/>
    <n v="0"/>
    <n v="0"/>
    <x v="20"/>
    <n v="0"/>
    <x v="2"/>
    <n v="0"/>
  </r>
  <r>
    <x v="2"/>
    <x v="32"/>
    <n v="0"/>
    <n v="0"/>
    <x v="0"/>
    <n v="0"/>
    <n v="0"/>
    <n v="0"/>
    <n v="0"/>
    <n v="0"/>
    <x v="20"/>
    <n v="0"/>
    <x v="3"/>
    <n v="0"/>
  </r>
  <r>
    <x v="2"/>
    <x v="33"/>
    <n v="0"/>
    <n v="0"/>
    <x v="0"/>
    <n v="0"/>
    <n v="0"/>
    <n v="0"/>
    <n v="0"/>
    <n v="0"/>
    <x v="20"/>
    <n v="0"/>
    <x v="3"/>
    <n v="0"/>
  </r>
  <r>
    <x v="2"/>
    <x v="34"/>
    <n v="0"/>
    <n v="0"/>
    <x v="0"/>
    <n v="0"/>
    <n v="0"/>
    <n v="0"/>
    <n v="0"/>
    <n v="0"/>
    <x v="20"/>
    <n v="0"/>
    <x v="4"/>
    <n v="0"/>
  </r>
  <r>
    <x v="2"/>
    <x v="35"/>
    <n v="0"/>
    <n v="0"/>
    <x v="0"/>
    <n v="0"/>
    <n v="0"/>
    <n v="0"/>
    <n v="0"/>
    <n v="0"/>
    <x v="20"/>
    <n v="0"/>
    <x v="2"/>
    <n v="0"/>
  </r>
  <r>
    <x v="2"/>
    <x v="36"/>
    <n v="0"/>
    <n v="0"/>
    <x v="0"/>
    <n v="0"/>
    <n v="0"/>
    <n v="0"/>
    <n v="0"/>
    <n v="0"/>
    <x v="20"/>
    <n v="0"/>
    <x v="4"/>
    <n v="0"/>
  </r>
  <r>
    <x v="2"/>
    <x v="37"/>
    <n v="0"/>
    <n v="0"/>
    <x v="0"/>
    <n v="0"/>
    <n v="0"/>
    <n v="0"/>
    <n v="0"/>
    <n v="0"/>
    <x v="20"/>
    <n v="0"/>
    <x v="4"/>
    <n v="0"/>
  </r>
  <r>
    <x v="2"/>
    <x v="38"/>
    <n v="0"/>
    <n v="0"/>
    <x v="0"/>
    <n v="0"/>
    <n v="0"/>
    <n v="0"/>
    <n v="0"/>
    <n v="0"/>
    <x v="20"/>
    <n v="0"/>
    <x v="2"/>
    <n v="0"/>
  </r>
  <r>
    <x v="2"/>
    <x v="39"/>
    <n v="0"/>
    <n v="0"/>
    <x v="0"/>
    <n v="0"/>
    <n v="0"/>
    <n v="0"/>
    <n v="0"/>
    <n v="0"/>
    <x v="20"/>
    <n v="0"/>
    <x v="2"/>
    <n v="0"/>
  </r>
  <r>
    <x v="2"/>
    <x v="40"/>
    <n v="0"/>
    <n v="0"/>
    <x v="0"/>
    <n v="0"/>
    <n v="0"/>
    <n v="0"/>
    <n v="0"/>
    <n v="0"/>
    <x v="20"/>
    <n v="0"/>
    <x v="3"/>
    <n v="0"/>
  </r>
  <r>
    <x v="2"/>
    <x v="41"/>
    <n v="0"/>
    <n v="0"/>
    <x v="0"/>
    <n v="0"/>
    <n v="0"/>
    <n v="0"/>
    <n v="0"/>
    <n v="0"/>
    <x v="20"/>
    <n v="0"/>
    <x v="5"/>
    <n v="0"/>
  </r>
  <r>
    <x v="2"/>
    <x v="42"/>
    <n v="0"/>
    <n v="0"/>
    <x v="0"/>
    <n v="0"/>
    <n v="0"/>
    <n v="0"/>
    <n v="0"/>
    <n v="0"/>
    <x v="20"/>
    <n v="0"/>
    <x v="2"/>
    <n v="0"/>
  </r>
  <r>
    <x v="2"/>
    <x v="43"/>
    <n v="0"/>
    <n v="0"/>
    <x v="0"/>
    <n v="0"/>
    <n v="0"/>
    <n v="0"/>
    <n v="0"/>
    <n v="0"/>
    <x v="20"/>
    <n v="0"/>
    <x v="3"/>
    <n v="0"/>
  </r>
  <r>
    <x v="2"/>
    <x v="44"/>
    <n v="0"/>
    <n v="0"/>
    <x v="0"/>
    <n v="0"/>
    <n v="0"/>
    <n v="0"/>
    <n v="0"/>
    <n v="0"/>
    <x v="20"/>
    <n v="0"/>
    <x v="3"/>
    <n v="0"/>
  </r>
  <r>
    <x v="2"/>
    <x v="45"/>
    <n v="0"/>
    <n v="0"/>
    <x v="0"/>
    <n v="0"/>
    <n v="0"/>
    <n v="0"/>
    <n v="0"/>
    <n v="0"/>
    <x v="20"/>
    <n v="0"/>
    <x v="4"/>
    <n v="0"/>
  </r>
  <r>
    <x v="2"/>
    <x v="46"/>
    <n v="0"/>
    <n v="0"/>
    <x v="0"/>
    <n v="0"/>
    <n v="0"/>
    <n v="0"/>
    <n v="0"/>
    <n v="0"/>
    <x v="20"/>
    <n v="0"/>
    <x v="4"/>
    <n v="0"/>
  </r>
  <r>
    <x v="2"/>
    <x v="47"/>
    <n v="0"/>
    <n v="0"/>
    <x v="0"/>
    <n v="0"/>
    <n v="0"/>
    <n v="0"/>
    <n v="0"/>
    <n v="0"/>
    <x v="20"/>
    <n v="0"/>
    <x v="5"/>
    <n v="0"/>
  </r>
  <r>
    <x v="2"/>
    <x v="48"/>
    <n v="0"/>
    <n v="0"/>
    <x v="0"/>
    <n v="0"/>
    <n v="0"/>
    <n v="0"/>
    <n v="0"/>
    <n v="0"/>
    <x v="20"/>
    <n v="0"/>
    <x v="6"/>
    <n v="0"/>
  </r>
  <r>
    <x v="2"/>
    <x v="49"/>
    <n v="0"/>
    <n v="0"/>
    <x v="0"/>
    <n v="0"/>
    <n v="0"/>
    <n v="0"/>
    <n v="0"/>
    <n v="0"/>
    <x v="20"/>
    <n v="0"/>
    <x v="3"/>
    <n v="0"/>
  </r>
  <r>
    <x v="2"/>
    <x v="50"/>
    <n v="0"/>
    <n v="0"/>
    <x v="0"/>
    <n v="0"/>
    <n v="0"/>
    <n v="0"/>
    <n v="0"/>
    <n v="0"/>
    <x v="20"/>
    <n v="0"/>
    <x v="4"/>
    <n v="0"/>
  </r>
  <r>
    <x v="0"/>
    <x v="0"/>
    <n v="3.09"/>
    <n v="7.46"/>
    <x v="372"/>
    <n v="7.36"/>
    <n v="0.75"/>
    <n v="8.11"/>
    <n v="90.75"/>
    <n v="38.1"/>
    <x v="21"/>
    <n v="37.08"/>
    <x v="0"/>
    <n v="0.38101109741060418"/>
  </r>
  <r>
    <x v="0"/>
    <x v="1"/>
    <n v="0"/>
    <n v="0"/>
    <x v="0"/>
    <n v="5.26"/>
    <n v="2.79"/>
    <n v="8.0500000000000007"/>
    <n v="65.34"/>
    <n v="0"/>
    <x v="21"/>
    <n v="0"/>
    <x v="0"/>
    <n v="0"/>
  </r>
  <r>
    <x v="0"/>
    <x v="2"/>
    <n v="0"/>
    <n v="0"/>
    <x v="0"/>
    <n v="5.27"/>
    <n v="2.8"/>
    <n v="8.07"/>
    <n v="65.3"/>
    <n v="0"/>
    <x v="21"/>
    <n v="0"/>
    <x v="0"/>
    <n v="0"/>
  </r>
  <r>
    <x v="0"/>
    <x v="3"/>
    <n v="0"/>
    <n v="0"/>
    <x v="0"/>
    <n v="7.38"/>
    <n v="0.75"/>
    <n v="8.1300000000000008"/>
    <n v="90.77"/>
    <n v="0"/>
    <x v="21"/>
    <n v="0"/>
    <x v="0"/>
    <n v="0"/>
  </r>
  <r>
    <x v="0"/>
    <x v="4"/>
    <n v="3"/>
    <n v="3.77"/>
    <x v="373"/>
    <n v="7.89"/>
    <n v="0.17"/>
    <n v="8.06"/>
    <n v="97.89"/>
    <n v="37.22"/>
    <x v="21"/>
    <n v="36"/>
    <x v="0"/>
    <n v="0.37220843672456572"/>
  </r>
  <r>
    <x v="0"/>
    <x v="5"/>
    <n v="0"/>
    <n v="0"/>
    <x v="0"/>
    <n v="5.26"/>
    <n v="2.79"/>
    <n v="8.0500000000000007"/>
    <n v="65.34"/>
    <n v="0"/>
    <x v="21"/>
    <n v="0"/>
    <x v="0"/>
    <n v="0"/>
  </r>
  <r>
    <x v="0"/>
    <x v="6"/>
    <n v="3"/>
    <n v="3.77"/>
    <x v="373"/>
    <n v="7.9"/>
    <n v="0.17"/>
    <n v="8.07"/>
    <n v="97.89"/>
    <n v="37.17"/>
    <x v="21"/>
    <n v="36"/>
    <x v="0"/>
    <n v="0.37174721189591076"/>
  </r>
  <r>
    <x v="0"/>
    <x v="7"/>
    <n v="0"/>
    <n v="0"/>
    <x v="0"/>
    <n v="7.33"/>
    <n v="0.74"/>
    <n v="8.07"/>
    <n v="90.83"/>
    <n v="0"/>
    <x v="21"/>
    <n v="0"/>
    <x v="0"/>
    <n v="0"/>
  </r>
  <r>
    <x v="1"/>
    <x v="9"/>
    <n v="2.33"/>
    <n v="2.12"/>
    <x v="374"/>
    <n v="6.22"/>
    <n v="1.84"/>
    <n v="8.06"/>
    <n v="77.17"/>
    <n v="28.95"/>
    <x v="21"/>
    <n v="27.96"/>
    <x v="1"/>
    <n v="0.28908188585607941"/>
  </r>
  <r>
    <x v="1"/>
    <x v="10"/>
    <n v="3"/>
    <n v="2.92"/>
    <x v="273"/>
    <n v="2.52"/>
    <n v="5.54"/>
    <n v="8.06"/>
    <n v="31.27"/>
    <n v="37.22"/>
    <x v="21"/>
    <n v="36"/>
    <x v="1"/>
    <n v="0.37220843672456572"/>
  </r>
  <r>
    <x v="1"/>
    <x v="12"/>
    <n v="1.33"/>
    <n v="3.17"/>
    <x v="375"/>
    <n v="0.97"/>
    <n v="7.1"/>
    <n v="8.07"/>
    <n v="12.02"/>
    <n v="16.48"/>
    <x v="21"/>
    <n v="15.960000000000003"/>
    <x v="1"/>
    <n v="0.16480793060718713"/>
  </r>
  <r>
    <x v="1"/>
    <x v="13"/>
    <n v="4.83"/>
    <n v="5.42"/>
    <x v="376"/>
    <n v="2.54"/>
    <n v="5.52"/>
    <n v="8.06"/>
    <n v="31.51"/>
    <n v="59.93"/>
    <x v="21"/>
    <n v="57.96"/>
    <x v="1"/>
    <n v="0.59925558312655081"/>
  </r>
  <r>
    <x v="2"/>
    <x v="15"/>
    <n v="0.08"/>
    <n v="2.08"/>
    <x v="377"/>
    <n v="6.68"/>
    <n v="2.1"/>
    <n v="8.7799999999999994"/>
    <n v="76.08"/>
    <n v="0.95"/>
    <x v="21"/>
    <n v="0.96"/>
    <x v="3"/>
    <n v="9.1116173120728942E-3"/>
  </r>
  <r>
    <x v="2"/>
    <x v="17"/>
    <n v="0"/>
    <n v="0"/>
    <x v="0"/>
    <n v="2.0299999999999998"/>
    <n v="6.6"/>
    <n v="8.6300000000000008"/>
    <n v="23.52"/>
    <n v="0"/>
    <x v="21"/>
    <n v="0"/>
    <x v="3"/>
    <n v="0"/>
  </r>
  <r>
    <x v="2"/>
    <x v="18"/>
    <n v="10.66"/>
    <n v="5.52"/>
    <x v="378"/>
    <n v="6.83"/>
    <n v="1.38"/>
    <n v="8.2100000000000009"/>
    <n v="83.19"/>
    <n v="129.91999999999999"/>
    <x v="21"/>
    <n v="127.92"/>
    <x v="3"/>
    <n v="1.2984165651644335"/>
  </r>
  <r>
    <x v="2"/>
    <x v="19"/>
    <n v="0"/>
    <n v="0"/>
    <x v="0"/>
    <n v="0"/>
    <n v="0"/>
    <n v="0"/>
    <n v="0"/>
    <n v="0"/>
    <x v="21"/>
    <n v="0"/>
    <x v="2"/>
    <n v="0"/>
  </r>
  <r>
    <x v="2"/>
    <x v="21"/>
    <n v="12.29"/>
    <n v="6.31"/>
    <x v="379"/>
    <n v="8.51"/>
    <n v="1.1299999999999999"/>
    <n v="9.64"/>
    <n v="88.28"/>
    <n v="127.56"/>
    <x v="21"/>
    <n v="147.47999999999999"/>
    <x v="2"/>
    <n v="1.2748962655601659"/>
  </r>
  <r>
    <x v="2"/>
    <x v="22"/>
    <n v="3.83"/>
    <n v="6.86"/>
    <x v="380"/>
    <n v="8.8000000000000007"/>
    <n v="1.0900000000000001"/>
    <n v="9.89"/>
    <n v="88.98"/>
    <n v="38.76"/>
    <x v="21"/>
    <n v="45.96"/>
    <x v="4"/>
    <n v="0.38725985844287159"/>
  </r>
  <r>
    <x v="2"/>
    <x v="23"/>
    <n v="2"/>
    <n v="2.4300000000000002"/>
    <x v="381"/>
    <n v="2.27"/>
    <n v="6.36"/>
    <n v="8.6300000000000008"/>
    <n v="26.3"/>
    <n v="23.17"/>
    <x v="21"/>
    <n v="24"/>
    <x v="3"/>
    <n v="0.23174971031286209"/>
  </r>
  <r>
    <x v="2"/>
    <x v="24"/>
    <n v="7.87"/>
    <n v="6.35"/>
    <x v="382"/>
    <n v="5.7"/>
    <n v="2.34"/>
    <n v="8.0399999999999991"/>
    <n v="70.900000000000006"/>
    <n v="97.97"/>
    <x v="21"/>
    <n v="94.44"/>
    <x v="5"/>
    <n v="0.97885572139303489"/>
  </r>
  <r>
    <x v="2"/>
    <x v="25"/>
    <n v="8.91"/>
    <n v="8.33"/>
    <x v="383"/>
    <n v="7.45"/>
    <n v="1.03"/>
    <n v="8.48"/>
    <n v="87.85"/>
    <n v="105.15"/>
    <x v="21"/>
    <n v="106.92"/>
    <x v="2"/>
    <n v="1.0507075471698113"/>
  </r>
  <r>
    <x v="2"/>
    <x v="28"/>
    <n v="0"/>
    <n v="0"/>
    <x v="0"/>
    <n v="0"/>
    <n v="0"/>
    <n v="0"/>
    <n v="0"/>
    <n v="0"/>
    <x v="21"/>
    <n v="0"/>
    <x v="2"/>
    <n v="0"/>
  </r>
  <r>
    <x v="2"/>
    <x v="29"/>
    <n v="9.3800000000000008"/>
    <n v="6.16"/>
    <x v="384"/>
    <n v="9.02"/>
    <n v="1.04"/>
    <n v="10.06"/>
    <n v="89.66"/>
    <n v="93.24"/>
    <x v="21"/>
    <n v="112.56000000000002"/>
    <x v="5"/>
    <n v="0.93240556660039764"/>
  </r>
  <r>
    <x v="2"/>
    <x v="30"/>
    <n v="0"/>
    <n v="0"/>
    <x v="0"/>
    <n v="0"/>
    <n v="0"/>
    <n v="0"/>
    <n v="0"/>
    <n v="0"/>
    <x v="21"/>
    <n v="0"/>
    <x v="5"/>
    <n v="0"/>
  </r>
  <r>
    <x v="2"/>
    <x v="31"/>
    <n v="11.16"/>
    <n v="7.85"/>
    <x v="385"/>
    <n v="7.85"/>
    <n v="0.65"/>
    <n v="8.5"/>
    <n v="92.35"/>
    <n v="131.37"/>
    <x v="21"/>
    <n v="133.92000000000002"/>
    <x v="2"/>
    <n v="1.3129411764705883"/>
  </r>
  <r>
    <x v="2"/>
    <x v="32"/>
    <n v="3.08"/>
    <n v="4.87"/>
    <x v="386"/>
    <n v="5.85"/>
    <n v="2.78"/>
    <n v="8.6300000000000008"/>
    <n v="67.790000000000006"/>
    <n v="35.729999999999997"/>
    <x v="21"/>
    <n v="36.96"/>
    <x v="3"/>
    <n v="0.35689455388180763"/>
  </r>
  <r>
    <x v="2"/>
    <x v="33"/>
    <n v="0.42"/>
    <n v="2.52"/>
    <x v="387"/>
    <n v="7.14"/>
    <n v="1.29"/>
    <n v="8.43"/>
    <n v="84.7"/>
    <n v="4.9800000000000004"/>
    <x v="21"/>
    <n v="5.04"/>
    <x v="3"/>
    <n v="4.9822064056939501E-2"/>
  </r>
  <r>
    <x v="2"/>
    <x v="34"/>
    <n v="2.83"/>
    <n v="1.4"/>
    <x v="388"/>
    <n v="9.9600000000000009"/>
    <n v="0.98"/>
    <n v="10.94"/>
    <n v="91.04"/>
    <n v="25.9"/>
    <x v="21"/>
    <n v="33.96"/>
    <x v="4"/>
    <n v="0.25868372943327239"/>
  </r>
  <r>
    <x v="2"/>
    <x v="36"/>
    <n v="0"/>
    <n v="0"/>
    <x v="0"/>
    <n v="5.05"/>
    <n v="3.84"/>
    <n v="8.89"/>
    <n v="56.81"/>
    <n v="0"/>
    <x v="21"/>
    <n v="0"/>
    <x v="4"/>
    <n v="0"/>
  </r>
  <r>
    <x v="2"/>
    <x v="37"/>
    <n v="0"/>
    <n v="0"/>
    <x v="0"/>
    <n v="0"/>
    <n v="0"/>
    <n v="0"/>
    <n v="0"/>
    <n v="0"/>
    <x v="21"/>
    <n v="0"/>
    <x v="4"/>
    <n v="0"/>
  </r>
  <r>
    <x v="2"/>
    <x v="40"/>
    <n v="1.58"/>
    <n v="5.38"/>
    <x v="389"/>
    <n v="6.64"/>
    <n v="1.73"/>
    <n v="8.3699999999999992"/>
    <n v="79.33"/>
    <n v="18.88"/>
    <x v="21"/>
    <n v="18.96"/>
    <x v="3"/>
    <n v="0.18876941457586621"/>
  </r>
  <r>
    <x v="2"/>
    <x v="44"/>
    <n v="1.33"/>
    <n v="1.1499999999999999"/>
    <x v="390"/>
    <n v="5.75"/>
    <n v="2.41"/>
    <n v="8.16"/>
    <n v="70.47"/>
    <n v="16.34"/>
    <x v="21"/>
    <n v="15.960000000000003"/>
    <x v="3"/>
    <n v="0.16299019607843138"/>
  </r>
  <r>
    <x v="2"/>
    <x v="46"/>
    <n v="5.34"/>
    <n v="7.58"/>
    <x v="391"/>
    <n v="7.77"/>
    <n v="0.1"/>
    <n v="7.87"/>
    <n v="98.73"/>
    <n v="67.89"/>
    <x v="21"/>
    <n v="64.08"/>
    <x v="4"/>
    <n v="0.67852604828462515"/>
  </r>
  <r>
    <x v="2"/>
    <x v="47"/>
    <n v="8.1999999999999993"/>
    <n v="7.25"/>
    <x v="392"/>
    <n v="6.98"/>
    <n v="1.1599999999999999"/>
    <n v="8.14"/>
    <n v="85.75"/>
    <n v="100.78"/>
    <x v="21"/>
    <n v="98.399999999999991"/>
    <x v="5"/>
    <n v="1.0073710073710072"/>
  </r>
  <r>
    <x v="2"/>
    <x v="48"/>
    <n v="0"/>
    <n v="0"/>
    <x v="0"/>
    <n v="0"/>
    <n v="0"/>
    <n v="0"/>
    <n v="0"/>
    <n v="0"/>
    <x v="21"/>
    <n v="0"/>
    <x v="6"/>
    <n v="0"/>
  </r>
  <r>
    <x v="2"/>
    <x v="50"/>
    <n v="4.41"/>
    <n v="4.78"/>
    <x v="393"/>
    <n v="7.75"/>
    <n v="0.14000000000000001"/>
    <n v="7.89"/>
    <n v="98.23"/>
    <n v="55.98"/>
    <x v="21"/>
    <n v="52.92"/>
    <x v="4"/>
    <n v="0.55893536121673004"/>
  </r>
  <r>
    <x v="0"/>
    <x v="0"/>
    <n v="0"/>
    <n v="0"/>
    <x v="0"/>
    <n v="6.62"/>
    <n v="1.4"/>
    <n v="8.02"/>
    <n v="82.54"/>
    <n v="0"/>
    <x v="22"/>
    <n v="0"/>
    <x v="0"/>
    <n v="0"/>
  </r>
  <r>
    <x v="0"/>
    <x v="1"/>
    <n v="0"/>
    <n v="0"/>
    <x v="0"/>
    <n v="7.72"/>
    <n v="0.26"/>
    <n v="7.98"/>
    <n v="96.74"/>
    <n v="0"/>
    <x v="22"/>
    <n v="0"/>
    <x v="0"/>
    <n v="0"/>
  </r>
  <r>
    <x v="0"/>
    <x v="2"/>
    <n v="0"/>
    <n v="0"/>
    <x v="0"/>
    <n v="7.74"/>
    <n v="0.25"/>
    <n v="7.99"/>
    <n v="96.87"/>
    <n v="0"/>
    <x v="22"/>
    <n v="0"/>
    <x v="0"/>
    <n v="0"/>
  </r>
  <r>
    <x v="0"/>
    <x v="3"/>
    <n v="2.42"/>
    <n v="7.25"/>
    <x v="394"/>
    <n v="3.22"/>
    <n v="4.82"/>
    <n v="8.0399999999999991"/>
    <n v="40.049999999999997"/>
    <n v="30.1"/>
    <x v="22"/>
    <n v="29.04"/>
    <x v="0"/>
    <n v="0.30099502487562191"/>
  </r>
  <r>
    <x v="0"/>
    <x v="4"/>
    <n v="0"/>
    <n v="0"/>
    <x v="0"/>
    <n v="5.65"/>
    <n v="2.37"/>
    <n v="8.02"/>
    <n v="70.45"/>
    <n v="0"/>
    <x v="22"/>
    <n v="0"/>
    <x v="0"/>
    <n v="0"/>
  </r>
  <r>
    <x v="0"/>
    <x v="5"/>
    <n v="0"/>
    <n v="0"/>
    <x v="0"/>
    <n v="0"/>
    <n v="0"/>
    <n v="0"/>
    <n v="0"/>
    <n v="0"/>
    <x v="22"/>
    <n v="0"/>
    <x v="0"/>
    <n v="0"/>
  </r>
  <r>
    <x v="0"/>
    <x v="6"/>
    <n v="0"/>
    <n v="0"/>
    <x v="0"/>
    <n v="5.65"/>
    <n v="2.37"/>
    <n v="8.02"/>
    <n v="70.45"/>
    <n v="0"/>
    <x v="22"/>
    <n v="0"/>
    <x v="0"/>
    <n v="0"/>
  </r>
  <r>
    <x v="0"/>
    <x v="8"/>
    <n v="0"/>
    <n v="0"/>
    <x v="0"/>
    <n v="7.19"/>
    <n v="0.87"/>
    <n v="8.06"/>
    <n v="89.21"/>
    <n v="0"/>
    <x v="22"/>
    <n v="0"/>
    <x v="0"/>
    <n v="0"/>
  </r>
  <r>
    <x v="1"/>
    <x v="9"/>
    <n v="4.16"/>
    <n v="4.7"/>
    <x v="395"/>
    <n v="7"/>
    <n v="1.05"/>
    <n v="8.0500000000000007"/>
    <n v="86.96"/>
    <n v="51.76"/>
    <x v="22"/>
    <n v="49.92"/>
    <x v="1"/>
    <n v="0.51677018633540373"/>
  </r>
  <r>
    <x v="1"/>
    <x v="10"/>
    <n v="0"/>
    <n v="0"/>
    <x v="0"/>
    <n v="6.38"/>
    <n v="1.66"/>
    <n v="8.0399999999999991"/>
    <n v="79.349999999999994"/>
    <n v="0"/>
    <x v="22"/>
    <n v="0"/>
    <x v="1"/>
    <n v="0"/>
  </r>
  <r>
    <x v="1"/>
    <x v="11"/>
    <n v="0"/>
    <n v="0"/>
    <x v="0"/>
    <n v="5"/>
    <n v="3.04"/>
    <n v="8.0399999999999991"/>
    <n v="62.19"/>
    <n v="0"/>
    <x v="22"/>
    <n v="0"/>
    <x v="1"/>
    <n v="0"/>
  </r>
  <r>
    <x v="1"/>
    <x v="12"/>
    <n v="0"/>
    <n v="0"/>
    <x v="0"/>
    <n v="4.45"/>
    <n v="3.6"/>
    <n v="8.0500000000000007"/>
    <n v="55.28"/>
    <n v="0"/>
    <x v="22"/>
    <n v="0"/>
    <x v="1"/>
    <n v="0"/>
  </r>
  <r>
    <x v="1"/>
    <x v="13"/>
    <n v="0"/>
    <n v="0"/>
    <x v="0"/>
    <n v="3.23"/>
    <n v="4.82"/>
    <n v="8.0500000000000007"/>
    <n v="40.119999999999997"/>
    <n v="0"/>
    <x v="22"/>
    <n v="0"/>
    <x v="1"/>
    <n v="0"/>
  </r>
  <r>
    <x v="2"/>
    <x v="14"/>
    <n v="16.05"/>
    <n v="9.67"/>
    <x v="396"/>
    <n v="10.27"/>
    <n v="0.16"/>
    <n v="10.43"/>
    <n v="98.47"/>
    <n v="153.88"/>
    <x v="22"/>
    <n v="192.6"/>
    <x v="2"/>
    <n v="1.5388302972195591"/>
  </r>
  <r>
    <x v="2"/>
    <x v="16"/>
    <n v="0"/>
    <n v="0"/>
    <x v="0"/>
    <n v="0"/>
    <n v="0"/>
    <n v="0"/>
    <n v="0"/>
    <n v="0"/>
    <x v="22"/>
    <n v="0"/>
    <x v="4"/>
    <n v="0"/>
  </r>
  <r>
    <x v="2"/>
    <x v="17"/>
    <n v="2.75"/>
    <n v="6.53"/>
    <x v="397"/>
    <n v="2.5"/>
    <n v="5.98"/>
    <n v="8.48"/>
    <n v="29.48"/>
    <n v="32.43"/>
    <x v="22"/>
    <n v="33"/>
    <x v="3"/>
    <n v="0.32429245283018865"/>
  </r>
  <r>
    <x v="2"/>
    <x v="19"/>
    <n v="0"/>
    <n v="0"/>
    <x v="0"/>
    <n v="0"/>
    <n v="0"/>
    <n v="0"/>
    <n v="0"/>
    <n v="0"/>
    <x v="22"/>
    <n v="0"/>
    <x v="2"/>
    <n v="0"/>
  </r>
  <r>
    <x v="2"/>
    <x v="20"/>
    <n v="9.4600000000000009"/>
    <n v="4.5999999999999996"/>
    <x v="398"/>
    <n v="6.6"/>
    <n v="1.57"/>
    <n v="8.17"/>
    <n v="80.78"/>
    <n v="115.79"/>
    <x v="22"/>
    <n v="113.52000000000001"/>
    <x v="5"/>
    <n v="1.1578947368421053"/>
  </r>
  <r>
    <x v="2"/>
    <x v="22"/>
    <n v="4"/>
    <n v="2.83"/>
    <x v="399"/>
    <n v="6.67"/>
    <n v="2.34"/>
    <n v="9.01"/>
    <n v="74.03"/>
    <n v="44.4"/>
    <x v="22"/>
    <n v="48"/>
    <x v="4"/>
    <n v="0.44395116537180912"/>
  </r>
  <r>
    <x v="2"/>
    <x v="23"/>
    <n v="2.2000000000000002"/>
    <n v="1.87"/>
    <x v="400"/>
    <n v="1.32"/>
    <n v="7.17"/>
    <n v="8.49"/>
    <n v="15.55"/>
    <n v="25.99"/>
    <x v="22"/>
    <n v="26.4"/>
    <x v="3"/>
    <n v="0.25912838633686691"/>
  </r>
  <r>
    <x v="2"/>
    <x v="24"/>
    <n v="4.99"/>
    <n v="2.88"/>
    <x v="401"/>
    <n v="9.16"/>
    <n v="0.93"/>
    <n v="10.09"/>
    <n v="90.78"/>
    <n v="49.45"/>
    <x v="22"/>
    <n v="59.88000000000001"/>
    <x v="5"/>
    <n v="0.49454905847373642"/>
  </r>
  <r>
    <x v="2"/>
    <x v="25"/>
    <n v="10.41"/>
    <n v="8.42"/>
    <x v="402"/>
    <n v="9.39"/>
    <n v="0.74"/>
    <n v="10.130000000000001"/>
    <n v="92.69"/>
    <n v="102.83"/>
    <x v="22"/>
    <n v="124.92"/>
    <x v="2"/>
    <n v="1.0276406712734452"/>
  </r>
  <r>
    <x v="2"/>
    <x v="26"/>
    <n v="5.5"/>
    <n v="5.35"/>
    <x v="403"/>
    <n v="7.02"/>
    <n v="1.5"/>
    <n v="8.52"/>
    <n v="82.39"/>
    <n v="64.55"/>
    <x v="22"/>
    <n v="66"/>
    <x v="3"/>
    <n v="0.64553990610328638"/>
  </r>
  <r>
    <x v="2"/>
    <x v="27"/>
    <n v="8.25"/>
    <n v="4.4400000000000004"/>
    <x v="404"/>
    <n v="9.99"/>
    <n v="0.11"/>
    <n v="10.1"/>
    <n v="98.91"/>
    <n v="81.72"/>
    <x v="22"/>
    <n v="99"/>
    <x v="5"/>
    <n v="0.81683168316831689"/>
  </r>
  <r>
    <x v="2"/>
    <x v="28"/>
    <n v="0"/>
    <n v="0"/>
    <x v="0"/>
    <n v="0"/>
    <n v="0"/>
    <n v="0"/>
    <n v="0"/>
    <n v="0"/>
    <x v="22"/>
    <n v="0"/>
    <x v="2"/>
    <n v="0"/>
  </r>
  <r>
    <x v="2"/>
    <x v="29"/>
    <n v="10.57"/>
    <n v="5.09"/>
    <x v="405"/>
    <n v="10.38"/>
    <n v="1.94"/>
    <n v="12.32"/>
    <n v="84.25"/>
    <n v="85.8"/>
    <x v="22"/>
    <n v="126.84"/>
    <x v="5"/>
    <n v="0.85795454545454541"/>
  </r>
  <r>
    <x v="2"/>
    <x v="30"/>
    <n v="0"/>
    <n v="0"/>
    <x v="0"/>
    <n v="0"/>
    <n v="0"/>
    <n v="0"/>
    <n v="0"/>
    <n v="0"/>
    <x v="22"/>
    <n v="0"/>
    <x v="5"/>
    <n v="0"/>
  </r>
  <r>
    <x v="2"/>
    <x v="31"/>
    <n v="21.08"/>
    <n v="10.48"/>
    <x v="406"/>
    <n v="10.039999999999999"/>
    <n v="0.44"/>
    <n v="10.48"/>
    <n v="95.8"/>
    <n v="201.18"/>
    <x v="22"/>
    <n v="252.95999999999998"/>
    <x v="2"/>
    <n v="2.0114503816793889"/>
  </r>
  <r>
    <x v="2"/>
    <x v="34"/>
    <n v="3.59"/>
    <n v="7.29"/>
    <x v="407"/>
    <n v="10.31"/>
    <n v="0.68"/>
    <n v="10.99"/>
    <n v="93.81"/>
    <n v="32.67"/>
    <x v="22"/>
    <n v="43.08"/>
    <x v="4"/>
    <n v="0.32666060054595086"/>
  </r>
  <r>
    <x v="2"/>
    <x v="36"/>
    <n v="4.25"/>
    <n v="6.97"/>
    <x v="408"/>
    <n v="6.74"/>
    <n v="2.75"/>
    <n v="9.49"/>
    <n v="71.02"/>
    <n v="44.78"/>
    <x v="22"/>
    <n v="51"/>
    <x v="4"/>
    <n v="0.44783983140147521"/>
  </r>
  <r>
    <x v="2"/>
    <x v="37"/>
    <n v="0"/>
    <n v="0"/>
    <x v="0"/>
    <n v="0"/>
    <n v="0"/>
    <n v="0"/>
    <n v="0"/>
    <n v="0"/>
    <x v="22"/>
    <n v="0"/>
    <x v="4"/>
    <n v="0"/>
  </r>
  <r>
    <x v="2"/>
    <x v="39"/>
    <n v="9.82"/>
    <n v="5.82"/>
    <x v="409"/>
    <n v="5.97"/>
    <n v="1.57"/>
    <n v="7.54"/>
    <n v="79.180000000000007"/>
    <n v="130.28"/>
    <x v="22"/>
    <n v="117.84"/>
    <x v="2"/>
    <n v="1.3023872679045092"/>
  </r>
  <r>
    <x v="2"/>
    <x v="40"/>
    <n v="6.77"/>
    <n v="7.99"/>
    <x v="410"/>
    <n v="4.37"/>
    <n v="4.1399999999999997"/>
    <n v="8.51"/>
    <n v="51.35"/>
    <n v="79.59"/>
    <x v="22"/>
    <n v="81.239999999999995"/>
    <x v="3"/>
    <n v="0.79553466509988247"/>
  </r>
  <r>
    <x v="2"/>
    <x v="43"/>
    <n v="8.16"/>
    <n v="7.6"/>
    <x v="411"/>
    <n v="6.47"/>
    <n v="1.85"/>
    <n v="8.32"/>
    <n v="77.760000000000005"/>
    <n v="98.16"/>
    <x v="22"/>
    <n v="97.92"/>
    <x v="3"/>
    <n v="0.98076923076923073"/>
  </r>
  <r>
    <x v="2"/>
    <x v="44"/>
    <n v="3.25"/>
    <n v="3"/>
    <x v="412"/>
    <n v="6.43"/>
    <n v="1.73"/>
    <n v="8.16"/>
    <n v="78.8"/>
    <n v="39.83"/>
    <x v="22"/>
    <n v="39"/>
    <x v="3"/>
    <n v="0.39828431372549017"/>
  </r>
  <r>
    <x v="2"/>
    <x v="45"/>
    <n v="2.83"/>
    <n v="4.63"/>
    <x v="413"/>
    <n v="5.51"/>
    <n v="2.81"/>
    <n v="8.32"/>
    <n v="66.23"/>
    <n v="34.049999999999997"/>
    <x v="22"/>
    <n v="33.96"/>
    <x v="4"/>
    <n v="0.34014423076923078"/>
  </r>
  <r>
    <x v="2"/>
    <x v="46"/>
    <n v="3.25"/>
    <n v="2.36"/>
    <x v="414"/>
    <n v="7.06"/>
    <n v="1.02"/>
    <n v="8.08"/>
    <n v="87.38"/>
    <n v="40.22"/>
    <x v="22"/>
    <n v="39"/>
    <x v="4"/>
    <n v="0.40222772277227725"/>
  </r>
  <r>
    <x v="2"/>
    <x v="48"/>
    <n v="0"/>
    <n v="0"/>
    <x v="0"/>
    <n v="0"/>
    <n v="0"/>
    <n v="0"/>
    <n v="0"/>
    <n v="0"/>
    <x v="22"/>
    <n v="0"/>
    <x v="6"/>
    <n v="0"/>
  </r>
  <r>
    <x v="2"/>
    <x v="49"/>
    <n v="3.16"/>
    <n v="2.2400000000000002"/>
    <x v="415"/>
    <n v="7.75"/>
    <n v="0.38"/>
    <n v="8.1300000000000008"/>
    <n v="95.33"/>
    <n v="38.950000000000003"/>
    <x v="22"/>
    <n v="37.92"/>
    <x v="3"/>
    <n v="0.38868388683886834"/>
  </r>
  <r>
    <x v="0"/>
    <x v="4"/>
    <n v="0"/>
    <n v="0"/>
    <x v="0"/>
    <n v="3.93"/>
    <n v="4.01"/>
    <n v="7.94"/>
    <n v="49.5"/>
    <n v="0"/>
    <x v="23"/>
    <n v="0"/>
    <x v="0"/>
    <n v="0"/>
  </r>
  <r>
    <x v="0"/>
    <x v="8"/>
    <n v="0.73"/>
    <n v="3.38"/>
    <x v="416"/>
    <n v="6.88"/>
    <n v="1.18"/>
    <n v="8.06"/>
    <n v="85.36"/>
    <n v="9.06"/>
    <x v="23"/>
    <n v="8.76"/>
    <x v="0"/>
    <n v="9.0570719602977662E-2"/>
  </r>
  <r>
    <x v="1"/>
    <x v="9"/>
    <n v="8.1666666669999994"/>
    <n v="1.83"/>
    <x v="417"/>
    <n v="4.22"/>
    <n v="3.86"/>
    <n v="8.08"/>
    <n v="52.23"/>
    <n v="101.07"/>
    <x v="23"/>
    <n v="98.000000003999986"/>
    <x v="1"/>
    <n v="1.0107260726485148"/>
  </r>
  <r>
    <x v="1"/>
    <x v="11"/>
    <n v="0.9"/>
    <n v="2.1"/>
    <x v="418"/>
    <n v="4"/>
    <n v="4.07"/>
    <n v="8.07"/>
    <n v="49.57"/>
    <n v="11.15"/>
    <x v="23"/>
    <n v="10.8"/>
    <x v="1"/>
    <n v="0.11152416356877323"/>
  </r>
  <r>
    <x v="1"/>
    <x v="12"/>
    <n v="2.67"/>
    <n v="6.95"/>
    <x v="419"/>
    <n v="1.68"/>
    <n v="6.4"/>
    <n v="8.08"/>
    <n v="20.79"/>
    <n v="33.04"/>
    <x v="23"/>
    <n v="32.04"/>
    <x v="1"/>
    <n v="0.33044554455445546"/>
  </r>
  <r>
    <x v="2"/>
    <x v="14"/>
    <n v="17.86"/>
    <n v="10.82"/>
    <x v="420"/>
    <n v="11.17"/>
    <n v="0.2"/>
    <n v="11.37"/>
    <n v="98.24"/>
    <n v="157.08000000000001"/>
    <x v="23"/>
    <n v="214.32"/>
    <x v="2"/>
    <n v="1.5708003518029905"/>
  </r>
  <r>
    <x v="2"/>
    <x v="15"/>
    <n v="1.933333333"/>
    <n v="6.13"/>
    <x v="421"/>
    <n v="7.87"/>
    <n v="0.36"/>
    <n v="8.23"/>
    <n v="95.63"/>
    <n v="23.49"/>
    <x v="23"/>
    <n v="23.199999995999999"/>
    <x v="3"/>
    <n v="0.23491292017010934"/>
  </r>
  <r>
    <x v="2"/>
    <x v="16"/>
    <n v="0"/>
    <n v="0"/>
    <x v="0"/>
    <n v="7.69"/>
    <n v="0.26"/>
    <n v="7.95"/>
    <n v="96.73"/>
    <n v="0"/>
    <x v="23"/>
    <n v="0"/>
    <x v="4"/>
    <n v="0"/>
  </r>
  <r>
    <x v="2"/>
    <x v="17"/>
    <n v="0"/>
    <n v="0"/>
    <x v="0"/>
    <n v="0.62"/>
    <n v="7.77"/>
    <n v="8.39"/>
    <n v="7.39"/>
    <n v="0"/>
    <x v="23"/>
    <n v="0"/>
    <x v="3"/>
    <n v="0"/>
  </r>
  <r>
    <x v="2"/>
    <x v="18"/>
    <n v="5.4166666670000003"/>
    <n v="4.72"/>
    <x v="422"/>
    <n v="6.57"/>
    <n v="1.58"/>
    <n v="8.15"/>
    <n v="80.61"/>
    <n v="66.459999999999994"/>
    <x v="23"/>
    <n v="65.000000004"/>
    <x v="3"/>
    <n v="0.66462167693251539"/>
  </r>
  <r>
    <x v="2"/>
    <x v="19"/>
    <n v="0"/>
    <n v="0"/>
    <x v="0"/>
    <n v="0"/>
    <n v="0"/>
    <n v="0"/>
    <n v="0"/>
    <n v="0"/>
    <x v="23"/>
    <n v="0"/>
    <x v="2"/>
    <n v="0"/>
  </r>
  <r>
    <x v="2"/>
    <x v="20"/>
    <n v="7.07"/>
    <n v="5.82"/>
    <x v="423"/>
    <n v="10.46"/>
    <n v="0.96"/>
    <n v="11.42"/>
    <n v="91.59"/>
    <n v="61.91"/>
    <x v="23"/>
    <n v="84.84"/>
    <x v="5"/>
    <n v="0.61908931698774083"/>
  </r>
  <r>
    <x v="2"/>
    <x v="21"/>
    <n v="12"/>
    <n v="4.45"/>
    <x v="424"/>
    <n v="9.6300000000000008"/>
    <n v="0.57999999999999996"/>
    <n v="10.210000000000001"/>
    <n v="94.32"/>
    <n v="117.53"/>
    <x v="23"/>
    <n v="144"/>
    <x v="2"/>
    <n v="1.1753183153770812"/>
  </r>
  <r>
    <x v="2"/>
    <x v="23"/>
    <n v="1.3"/>
    <n v="7.21"/>
    <x v="425"/>
    <n v="1.47"/>
    <n v="6.91"/>
    <n v="8.3800000000000008"/>
    <n v="17.54"/>
    <n v="15.51"/>
    <x v="23"/>
    <n v="15.6"/>
    <x v="3"/>
    <n v="0.15513126491646778"/>
  </r>
  <r>
    <x v="2"/>
    <x v="24"/>
    <n v="6.67"/>
    <n v="7.86"/>
    <x v="426"/>
    <n v="9.9700000000000006"/>
    <n v="0.1"/>
    <n v="10.07"/>
    <n v="99.01"/>
    <n v="66.239999999999995"/>
    <x v="23"/>
    <n v="80.039999999999992"/>
    <x v="5"/>
    <n v="0.66236345580933464"/>
  </r>
  <r>
    <x v="2"/>
    <x v="25"/>
    <n v="7.75"/>
    <n v="7.46"/>
    <x v="427"/>
    <n v="9.4"/>
    <n v="0.18"/>
    <n v="9.58"/>
    <n v="98.12"/>
    <n v="80.900000000000006"/>
    <x v="23"/>
    <n v="93"/>
    <x v="2"/>
    <n v="0.8089770354906054"/>
  </r>
  <r>
    <x v="2"/>
    <x v="26"/>
    <n v="3.6666666669999999"/>
    <n v="4.41"/>
    <x v="428"/>
    <n v="7.62"/>
    <n v="0.48"/>
    <n v="8.1"/>
    <n v="94.07"/>
    <n v="45.27"/>
    <x v="23"/>
    <n v="44.000000004"/>
    <x v="3"/>
    <n v="0.45267489716049381"/>
  </r>
  <r>
    <x v="2"/>
    <x v="29"/>
    <n v="11.096666669999999"/>
    <n v="6.26"/>
    <x v="429"/>
    <n v="6.63"/>
    <n v="1.56"/>
    <n v="8.19"/>
    <n v="80.95"/>
    <n v="135.49"/>
    <x v="23"/>
    <n v="133.16000004"/>
    <x v="5"/>
    <n v="1.3549043553113553"/>
  </r>
  <r>
    <x v="2"/>
    <x v="30"/>
    <n v="0"/>
    <n v="0"/>
    <x v="0"/>
    <n v="0"/>
    <n v="0"/>
    <n v="0"/>
    <n v="0"/>
    <n v="0"/>
    <x v="23"/>
    <n v="0"/>
    <x v="5"/>
    <n v="0"/>
  </r>
  <r>
    <x v="2"/>
    <x v="32"/>
    <n v="6.25"/>
    <n v="8.2899999999999991"/>
    <x v="430"/>
    <n v="6.18"/>
    <n v="2.15"/>
    <n v="8.33"/>
    <n v="74.19"/>
    <n v="75.03"/>
    <x v="23"/>
    <n v="75"/>
    <x v="3"/>
    <n v="0.75030012004801916"/>
  </r>
  <r>
    <x v="2"/>
    <x v="33"/>
    <n v="1.75"/>
    <n v="2.59"/>
    <x v="431"/>
    <n v="7.9"/>
    <n v="0.26"/>
    <n v="8.16"/>
    <n v="96.81"/>
    <n v="21.45"/>
    <x v="23"/>
    <n v="21"/>
    <x v="3"/>
    <n v="0.21446078431372548"/>
  </r>
  <r>
    <x v="2"/>
    <x v="35"/>
    <n v="9.81"/>
    <n v="4.38"/>
    <x v="432"/>
    <n v="10.42"/>
    <n v="0.2"/>
    <n v="10.62"/>
    <n v="98.12"/>
    <n v="92.37"/>
    <x v="23"/>
    <n v="117.72"/>
    <x v="2"/>
    <n v="0.92372881355932213"/>
  </r>
  <r>
    <x v="2"/>
    <x v="37"/>
    <n v="0"/>
    <n v="0"/>
    <x v="0"/>
    <n v="0"/>
    <n v="0"/>
    <n v="0"/>
    <n v="0"/>
    <n v="0"/>
    <x v="23"/>
    <n v="0"/>
    <x v="4"/>
    <n v="0"/>
  </r>
  <r>
    <x v="2"/>
    <x v="38"/>
    <n v="6.4166666670000003"/>
    <n v="3.78"/>
    <x v="433"/>
    <n v="7.58"/>
    <n v="0.92"/>
    <n v="8.5"/>
    <n v="89.18"/>
    <n v="75.489999999999995"/>
    <x v="23"/>
    <n v="77.000000004"/>
    <x v="2"/>
    <n v="0.75490196082352945"/>
  </r>
  <r>
    <x v="2"/>
    <x v="39"/>
    <n v="4.9166666670000003"/>
    <n v="4.4800000000000004"/>
    <x v="434"/>
    <n v="9.43"/>
    <n v="0.86"/>
    <n v="10.29"/>
    <n v="91.64"/>
    <n v="47.78"/>
    <x v="23"/>
    <n v="59.000000004"/>
    <x v="2"/>
    <n v="0.47781017172011669"/>
  </r>
  <r>
    <x v="2"/>
    <x v="40"/>
    <n v="4.63"/>
    <n v="7.4"/>
    <x v="435"/>
    <n v="7.89"/>
    <n v="0.24"/>
    <n v="8.1300000000000008"/>
    <n v="97.05"/>
    <n v="56.95"/>
    <x v="23"/>
    <n v="55.56"/>
    <x v="3"/>
    <n v="0.56949569495694952"/>
  </r>
  <r>
    <x v="2"/>
    <x v="41"/>
    <n v="4.45"/>
    <n v="5.45"/>
    <x v="436"/>
    <n v="10.02"/>
    <n v="0.09"/>
    <n v="10.11"/>
    <n v="99.11"/>
    <n v="44.02"/>
    <x v="23"/>
    <n v="53.4"/>
    <x v="5"/>
    <n v="0.44015825914935713"/>
  </r>
  <r>
    <x v="2"/>
    <x v="44"/>
    <n v="4.4166666670000003"/>
    <n v="5.5"/>
    <x v="437"/>
    <n v="3.98"/>
    <n v="4.1399999999999997"/>
    <n v="8.1199999999999992"/>
    <n v="49.01"/>
    <n v="54.39"/>
    <x v="23"/>
    <n v="53.000000004"/>
    <x v="3"/>
    <n v="0.54392446637931047"/>
  </r>
  <r>
    <x v="2"/>
    <x v="45"/>
    <n v="1.53"/>
    <n v="1.93"/>
    <x v="438"/>
    <n v="6.5"/>
    <n v="0.72"/>
    <n v="7.22"/>
    <n v="90.03"/>
    <n v="21.19"/>
    <x v="23"/>
    <n v="18.36"/>
    <x v="4"/>
    <n v="0.21191135734072022"/>
  </r>
  <r>
    <x v="2"/>
    <x v="46"/>
    <n v="4.5"/>
    <n v="6.42"/>
    <x v="439"/>
    <n v="7.65"/>
    <n v="0.36"/>
    <n v="8.01"/>
    <n v="95.51"/>
    <n v="56.18"/>
    <x v="23"/>
    <n v="54"/>
    <x v="4"/>
    <n v="0.5617977528089888"/>
  </r>
  <r>
    <x v="2"/>
    <x v="47"/>
    <n v="6.45"/>
    <n v="5.44"/>
    <x v="440"/>
    <n v="7.87"/>
    <n v="0.22"/>
    <n v="8.09"/>
    <n v="97.28"/>
    <n v="79.73"/>
    <x v="23"/>
    <n v="77.400000000000006"/>
    <x v="5"/>
    <n v="0.79728059332509271"/>
  </r>
  <r>
    <x v="2"/>
    <x v="48"/>
    <n v="0"/>
    <n v="0"/>
    <x v="0"/>
    <n v="0"/>
    <n v="0"/>
    <n v="0"/>
    <n v="0"/>
    <n v="0"/>
    <x v="23"/>
    <n v="0"/>
    <x v="6"/>
    <n v="0"/>
  </r>
  <r>
    <x v="2"/>
    <x v="49"/>
    <n v="4"/>
    <n v="5.76"/>
    <x v="441"/>
    <n v="7.79"/>
    <n v="0.33"/>
    <n v="8.1199999999999992"/>
    <n v="95.94"/>
    <n v="49.26"/>
    <x v="23"/>
    <n v="48"/>
    <x v="3"/>
    <n v="0.49261083743842371"/>
  </r>
  <r>
    <x v="0"/>
    <x v="0"/>
    <n v="2.38"/>
    <n v="3.73"/>
    <x v="442"/>
    <n v="6.04"/>
    <n v="1.99"/>
    <n v="8.0299999999999994"/>
    <n v="75.22"/>
    <n v="29.64"/>
    <x v="24"/>
    <n v="28.559999999999995"/>
    <x v="0"/>
    <n v="0.29638854296388545"/>
  </r>
  <r>
    <x v="0"/>
    <x v="1"/>
    <n v="3.0833333330000001"/>
    <n v="6.1"/>
    <x v="443"/>
    <n v="8.3699999999999992"/>
    <n v="2.63"/>
    <n v="11"/>
    <n v="76.09"/>
    <n v="28.03"/>
    <x v="24"/>
    <n v="36.999999996"/>
    <x v="0"/>
    <n v="0.28030303027272729"/>
  </r>
  <r>
    <x v="0"/>
    <x v="2"/>
    <n v="2.25"/>
    <n v="3.87"/>
    <x v="444"/>
    <n v="8.3699999999999992"/>
    <n v="2.63"/>
    <n v="11"/>
    <n v="76.09"/>
    <n v="20.45"/>
    <x v="24"/>
    <n v="27"/>
    <x v="0"/>
    <n v="0.20454545454545456"/>
  </r>
  <r>
    <x v="0"/>
    <x v="4"/>
    <n v="8.58"/>
    <n v="10.029999999999999"/>
    <x v="445"/>
    <n v="10.4"/>
    <n v="0.13"/>
    <n v="10.53"/>
    <n v="98.77"/>
    <n v="81.48"/>
    <x v="24"/>
    <n v="102.96"/>
    <x v="0"/>
    <n v="0.81481481481481488"/>
  </r>
  <r>
    <x v="0"/>
    <x v="5"/>
    <n v="0"/>
    <n v="0"/>
    <x v="0"/>
    <n v="0"/>
    <n v="0"/>
    <n v="0"/>
    <n v="0"/>
    <n v="0"/>
    <x v="24"/>
    <n v="0"/>
    <x v="0"/>
    <n v="0"/>
  </r>
  <r>
    <x v="0"/>
    <x v="8"/>
    <n v="0"/>
    <n v="0"/>
    <x v="0"/>
    <n v="6.27"/>
    <n v="1.79"/>
    <n v="8.06"/>
    <n v="77.790000000000006"/>
    <n v="0"/>
    <x v="24"/>
    <n v="0"/>
    <x v="0"/>
    <n v="0"/>
  </r>
  <r>
    <x v="1"/>
    <x v="9"/>
    <n v="0"/>
    <n v="0"/>
    <x v="0"/>
    <n v="6.99"/>
    <n v="1.08"/>
    <n v="8.07"/>
    <n v="86.62"/>
    <n v="0"/>
    <x v="24"/>
    <n v="0"/>
    <x v="1"/>
    <n v="0"/>
  </r>
  <r>
    <x v="1"/>
    <x v="10"/>
    <n v="7.5833333329999997"/>
    <n v="5.05"/>
    <x v="446"/>
    <n v="6.4"/>
    <n v="1.66"/>
    <n v="8.06"/>
    <n v="79.400000000000006"/>
    <n v="94.09"/>
    <x v="24"/>
    <n v="90.999999996"/>
    <x v="1"/>
    <n v="0.9408602150124068"/>
  </r>
  <r>
    <x v="1"/>
    <x v="12"/>
    <n v="4.83"/>
    <n v="5.38"/>
    <x v="447"/>
    <n v="5.54"/>
    <n v="2.54"/>
    <n v="8.08"/>
    <n v="68.56"/>
    <n v="59.78"/>
    <x v="24"/>
    <n v="57.96"/>
    <x v="1"/>
    <n v="0.59777227722772275"/>
  </r>
  <r>
    <x v="1"/>
    <x v="13"/>
    <n v="4.76"/>
    <n v="3.86"/>
    <x v="448"/>
    <n v="5.56"/>
    <n v="2.5"/>
    <n v="8.06"/>
    <n v="68.98"/>
    <n v="59.06"/>
    <x v="24"/>
    <n v="57.11999999999999"/>
    <x v="1"/>
    <n v="0.59057071960297758"/>
  </r>
  <r>
    <x v="2"/>
    <x v="14"/>
    <n v="11.176666669999999"/>
    <n v="9.07"/>
    <x v="449"/>
    <n v="9.7799999999999994"/>
    <n v="0.26"/>
    <n v="10.039999999999999"/>
    <n v="97.41"/>
    <n v="111.32"/>
    <x v="24"/>
    <n v="134.12000003999998"/>
    <x v="2"/>
    <n v="1.1132138117529882"/>
  </r>
  <r>
    <x v="2"/>
    <x v="15"/>
    <n v="0.83"/>
    <n v="0.75"/>
    <x v="450"/>
    <n v="6.61"/>
    <n v="1.67"/>
    <n v="8.2799999999999994"/>
    <n v="79.83"/>
    <n v="10.02"/>
    <x v="24"/>
    <n v="9.9599999999999991"/>
    <x v="3"/>
    <n v="0.10024154589371981"/>
  </r>
  <r>
    <x v="2"/>
    <x v="17"/>
    <n v="1.25"/>
    <n v="4.1500000000000004"/>
    <x v="451"/>
    <n v="5.55"/>
    <n v="4.5999999999999996"/>
    <n v="10.15"/>
    <n v="54.68"/>
    <n v="12.32"/>
    <x v="24"/>
    <n v="15"/>
    <x v="3"/>
    <n v="0.12315270935960591"/>
  </r>
  <r>
    <x v="2"/>
    <x v="19"/>
    <n v="0"/>
    <n v="0"/>
    <x v="0"/>
    <n v="0"/>
    <n v="0"/>
    <n v="0"/>
    <n v="0"/>
    <n v="0"/>
    <x v="24"/>
    <n v="0"/>
    <x v="2"/>
    <n v="0"/>
  </r>
  <r>
    <x v="2"/>
    <x v="20"/>
    <n v="5.25"/>
    <n v="4.51"/>
    <x v="452"/>
    <n v="9.4499999999999993"/>
    <n v="1.03"/>
    <n v="10.48"/>
    <n v="90.17"/>
    <n v="50.1"/>
    <x v="24"/>
    <n v="63"/>
    <x v="5"/>
    <n v="0.50095419847328237"/>
  </r>
  <r>
    <x v="2"/>
    <x v="23"/>
    <n v="1"/>
    <n v="1.4"/>
    <x v="453"/>
    <n v="9.6300000000000008"/>
    <n v="0.74"/>
    <n v="10.37"/>
    <n v="92.86"/>
    <n v="9.64"/>
    <x v="24"/>
    <n v="12"/>
    <x v="3"/>
    <n v="9.643201542912247E-2"/>
  </r>
  <r>
    <x v="2"/>
    <x v="29"/>
    <n v="11.45333333"/>
    <n v="5.77"/>
    <x v="454"/>
    <n v="9.11"/>
    <n v="1.2"/>
    <n v="10.31"/>
    <n v="88.36"/>
    <n v="111.09"/>
    <x v="24"/>
    <n v="137.43999995999999"/>
    <x v="5"/>
    <n v="1.1108955703200776"/>
  </r>
  <r>
    <x v="2"/>
    <x v="30"/>
    <n v="0"/>
    <n v="0"/>
    <x v="0"/>
    <n v="0"/>
    <n v="0"/>
    <n v="0"/>
    <n v="0"/>
    <n v="0"/>
    <x v="24"/>
    <n v="0"/>
    <x v="5"/>
    <n v="0"/>
  </r>
  <r>
    <x v="2"/>
    <x v="31"/>
    <n v="6.3333333329999997"/>
    <n v="4.1500000000000004"/>
    <x v="455"/>
    <n v="9.61"/>
    <n v="0.8"/>
    <n v="10.41"/>
    <n v="92.32"/>
    <n v="60.84"/>
    <x v="24"/>
    <n v="75.999999996"/>
    <x v="2"/>
    <n v="0.60838936916426511"/>
  </r>
  <r>
    <x v="2"/>
    <x v="32"/>
    <n v="5.25"/>
    <n v="9.36"/>
    <x v="456"/>
    <n v="5.35"/>
    <n v="4.8"/>
    <n v="10.15"/>
    <n v="52.71"/>
    <n v="51.72"/>
    <x v="24"/>
    <n v="63"/>
    <x v="3"/>
    <n v="0.51724137931034486"/>
  </r>
  <r>
    <x v="2"/>
    <x v="33"/>
    <n v="2.2966666670000002"/>
    <n v="4.6100000000000003"/>
    <x v="457"/>
    <n v="7.72"/>
    <n v="0.71"/>
    <n v="8.43"/>
    <n v="91.58"/>
    <n v="27.24"/>
    <x v="24"/>
    <n v="27.560000004000006"/>
    <x v="3"/>
    <n v="0.27243969952550418"/>
  </r>
  <r>
    <x v="2"/>
    <x v="35"/>
    <n v="16"/>
    <n v="9.89"/>
    <x v="458"/>
    <n v="10.17"/>
    <n v="1.01"/>
    <n v="11.18"/>
    <n v="90.97"/>
    <n v="143.11000000000001"/>
    <x v="24"/>
    <n v="192"/>
    <x v="2"/>
    <n v="1.4311270125223614"/>
  </r>
  <r>
    <x v="2"/>
    <x v="36"/>
    <n v="2.75"/>
    <n v="6.55"/>
    <x v="459"/>
    <n v="8.7899999999999991"/>
    <n v="1.2"/>
    <n v="9.99"/>
    <n v="87.99"/>
    <n v="27.53"/>
    <x v="24"/>
    <n v="33"/>
    <x v="4"/>
    <n v="0.27527527527527529"/>
  </r>
  <r>
    <x v="2"/>
    <x v="37"/>
    <n v="0"/>
    <n v="0"/>
    <x v="0"/>
    <n v="0"/>
    <n v="0"/>
    <n v="0"/>
    <n v="0"/>
    <n v="0"/>
    <x v="24"/>
    <n v="0"/>
    <x v="4"/>
    <n v="0"/>
  </r>
  <r>
    <x v="2"/>
    <x v="38"/>
    <n v="11.66666667"/>
    <n v="6.08"/>
    <x v="460"/>
    <n v="7.81"/>
    <n v="0.46"/>
    <n v="8.27"/>
    <n v="94.44"/>
    <n v="141.07"/>
    <x v="24"/>
    <n v="140.00000003999997"/>
    <x v="2"/>
    <n v="1.4107214836759372"/>
  </r>
  <r>
    <x v="2"/>
    <x v="40"/>
    <n v="1.286666667"/>
    <n v="3.36"/>
    <x v="461"/>
    <n v="7.7"/>
    <n v="0.72"/>
    <n v="8.42"/>
    <n v="91.45"/>
    <n v="15.28"/>
    <x v="24"/>
    <n v="15.440000004000002"/>
    <x v="3"/>
    <n v="0.15281076805225652"/>
  </r>
  <r>
    <x v="2"/>
    <x v="43"/>
    <n v="0"/>
    <n v="0"/>
    <x v="0"/>
    <n v="7.15"/>
    <n v="1.07"/>
    <n v="8.2200000000000006"/>
    <n v="86.98"/>
    <n v="0"/>
    <x v="24"/>
    <n v="0"/>
    <x v="3"/>
    <n v="0"/>
  </r>
  <r>
    <x v="2"/>
    <x v="44"/>
    <n v="2.4166666669999999"/>
    <n v="2.72"/>
    <x v="462"/>
    <n v="3.98"/>
    <n v="4.3"/>
    <n v="8.2799999999999994"/>
    <n v="48.07"/>
    <n v="29.19"/>
    <x v="24"/>
    <n v="29.000000003999997"/>
    <x v="3"/>
    <n v="0.29186795495169082"/>
  </r>
  <r>
    <x v="2"/>
    <x v="45"/>
    <n v="2.5"/>
    <n v="5.0599999999999996"/>
    <x v="463"/>
    <n v="5.0599999999999996"/>
    <n v="3.03"/>
    <n v="8.09"/>
    <n v="62.55"/>
    <n v="30.9"/>
    <x v="24"/>
    <n v="30"/>
    <x v="4"/>
    <n v="0.30902348578491967"/>
  </r>
  <r>
    <x v="2"/>
    <x v="48"/>
    <n v="0"/>
    <n v="0"/>
    <x v="0"/>
    <n v="0"/>
    <n v="0"/>
    <n v="0"/>
    <n v="0"/>
    <n v="0"/>
    <x v="24"/>
    <n v="0"/>
    <x v="6"/>
    <n v="0"/>
  </r>
  <r>
    <x v="0"/>
    <x v="3"/>
    <n v="0.5"/>
    <n v="3.65"/>
    <x v="464"/>
    <n v="6.86"/>
    <n v="1.05"/>
    <n v="7.91"/>
    <n v="86.73"/>
    <n v="6.32"/>
    <x v="25"/>
    <n v="6"/>
    <x v="0"/>
    <n v="6.3211125158027806E-2"/>
  </r>
  <r>
    <x v="0"/>
    <x v="7"/>
    <n v="2.17"/>
    <n v="7.33"/>
    <x v="465"/>
    <n v="6.86"/>
    <n v="1.05"/>
    <n v="7.91"/>
    <n v="86.73"/>
    <n v="27.43"/>
    <x v="25"/>
    <n v="26.04"/>
    <x v="0"/>
    <n v="0.27433628318584069"/>
  </r>
  <r>
    <x v="0"/>
    <x v="8"/>
    <n v="5.1666666670000003"/>
    <n v="3.43"/>
    <x v="466"/>
    <n v="7.12"/>
    <n v="0.86"/>
    <n v="7.98"/>
    <n v="89.22"/>
    <n v="64.75"/>
    <x v="25"/>
    <n v="62.000000004"/>
    <x v="0"/>
    <n v="0.64745196328320798"/>
  </r>
  <r>
    <x v="1"/>
    <x v="10"/>
    <n v="6.4166666670000003"/>
    <n v="7.88"/>
    <x v="467"/>
    <n v="2.4500000000000002"/>
    <n v="5.6"/>
    <n v="8.0500000000000007"/>
    <n v="30.43"/>
    <n v="79.709999999999994"/>
    <x v="25"/>
    <n v="77.000000004"/>
    <x v="1"/>
    <n v="0.79710144931677018"/>
  </r>
  <r>
    <x v="1"/>
    <x v="11"/>
    <n v="17.84333333"/>
    <n v="6.94"/>
    <x v="468"/>
    <n v="6.58"/>
    <n v="1.48"/>
    <n v="8.06"/>
    <n v="81.64"/>
    <n v="221.38"/>
    <x v="25"/>
    <n v="214.11999996"/>
    <x v="1"/>
    <n v="2.2138130682382133"/>
  </r>
  <r>
    <x v="2"/>
    <x v="15"/>
    <n v="1.9166666670000001"/>
    <n v="1.68"/>
    <x v="469"/>
    <n v="5.0999999999999996"/>
    <n v="4.0999999999999996"/>
    <n v="9.1999999999999993"/>
    <n v="55.43"/>
    <n v="20.83"/>
    <x v="25"/>
    <n v="23.000000004"/>
    <x v="3"/>
    <n v="0.20833333336956525"/>
  </r>
  <r>
    <x v="2"/>
    <x v="17"/>
    <n v="0"/>
    <n v="0"/>
    <x v="0"/>
    <n v="2.96"/>
    <n v="6.02"/>
    <n v="8.98"/>
    <n v="32.96"/>
    <n v="0"/>
    <x v="25"/>
    <n v="0"/>
    <x v="3"/>
    <n v="0"/>
  </r>
  <r>
    <x v="2"/>
    <x v="18"/>
    <n v="5.5833333329999997"/>
    <n v="6.96"/>
    <x v="470"/>
    <n v="4.71"/>
    <n v="4.28"/>
    <n v="8.99"/>
    <n v="52.39"/>
    <n v="62.11"/>
    <x v="25"/>
    <n v="66.999999996"/>
    <x v="3"/>
    <n v="0.62106043748609563"/>
  </r>
  <r>
    <x v="2"/>
    <x v="19"/>
    <n v="0"/>
    <n v="0"/>
    <x v="0"/>
    <n v="0"/>
    <n v="0"/>
    <n v="0"/>
    <n v="0"/>
    <n v="0"/>
    <x v="25"/>
    <n v="0"/>
    <x v="2"/>
    <n v="0"/>
  </r>
  <r>
    <x v="2"/>
    <x v="23"/>
    <n v="0.33333333300000001"/>
    <n v="0.67"/>
    <x v="471"/>
    <n v="1.33"/>
    <n v="7.63"/>
    <n v="8.9600000000000009"/>
    <n v="14.84"/>
    <n v="3.72"/>
    <x v="25"/>
    <n v="3.9999999960000006"/>
    <x v="3"/>
    <n v="3.7202380915178572E-2"/>
  </r>
  <r>
    <x v="2"/>
    <x v="25"/>
    <n v="9.4166666669999994"/>
    <n v="7.41"/>
    <x v="472"/>
    <n v="7.4"/>
    <n v="0.62"/>
    <n v="8.02"/>
    <n v="92.27"/>
    <n v="117.41"/>
    <x v="25"/>
    <n v="113.000000004"/>
    <x v="2"/>
    <n v="1.1741479634663341"/>
  </r>
  <r>
    <x v="2"/>
    <x v="27"/>
    <n v="7.95"/>
    <n v="7.02"/>
    <x v="473"/>
    <n v="6.86"/>
    <n v="3.37"/>
    <n v="10.23"/>
    <n v="67.06"/>
    <n v="77.709999999999994"/>
    <x v="25"/>
    <n v="95.4"/>
    <x v="5"/>
    <n v="0.77712609970674484"/>
  </r>
  <r>
    <x v="2"/>
    <x v="30"/>
    <n v="0"/>
    <n v="0"/>
    <x v="0"/>
    <n v="0"/>
    <n v="0"/>
    <n v="0"/>
    <n v="0"/>
    <n v="0"/>
    <x v="25"/>
    <n v="0"/>
    <x v="5"/>
    <n v="0"/>
  </r>
  <r>
    <x v="2"/>
    <x v="31"/>
    <n v="9.8333333330000006"/>
    <n v="7.92"/>
    <x v="474"/>
    <n v="7.66"/>
    <n v="0.33"/>
    <n v="7.99"/>
    <n v="95.87"/>
    <n v="123.07"/>
    <x v="25"/>
    <n v="117.999999996"/>
    <x v="2"/>
    <n v="1.2307050479349186"/>
  </r>
  <r>
    <x v="2"/>
    <x v="32"/>
    <n v="3"/>
    <n v="2.98"/>
    <x v="475"/>
    <n v="4.47"/>
    <n v="4.49"/>
    <n v="8.9600000000000009"/>
    <n v="49.89"/>
    <n v="33.479999999999997"/>
    <x v="25"/>
    <n v="36"/>
    <x v="3"/>
    <n v="0.33482142857142855"/>
  </r>
  <r>
    <x v="2"/>
    <x v="33"/>
    <n v="3.26"/>
    <n v="7.61"/>
    <x v="476"/>
    <n v="2.1800000000000002"/>
    <n v="6.78"/>
    <n v="8.9600000000000009"/>
    <n v="24.33"/>
    <n v="36.380000000000003"/>
    <x v="25"/>
    <n v="39.119999999999997"/>
    <x v="3"/>
    <n v="0.36383928571428564"/>
  </r>
  <r>
    <x v="2"/>
    <x v="37"/>
    <n v="0"/>
    <n v="0"/>
    <x v="0"/>
    <n v="0"/>
    <n v="0.1"/>
    <n v="0.1"/>
    <n v="0"/>
    <n v="0"/>
    <x v="25"/>
    <n v="0"/>
    <x v="4"/>
    <n v="0"/>
  </r>
  <r>
    <x v="2"/>
    <x v="39"/>
    <n v="10.58333333"/>
    <n v="5.17"/>
    <x v="477"/>
    <n v="6.39"/>
    <n v="1.6"/>
    <n v="7.99"/>
    <n v="79.97"/>
    <n v="132.46"/>
    <x v="25"/>
    <n v="126.99999996000001"/>
    <x v="2"/>
    <n v="1.3245723817271589"/>
  </r>
  <r>
    <x v="2"/>
    <x v="40"/>
    <n v="3.746666667"/>
    <n v="8.8800000000000008"/>
    <x v="478"/>
    <n v="0"/>
    <n v="9.5500000000000007"/>
    <n v="9.5500000000000007"/>
    <n v="0"/>
    <n v="39.229999999999997"/>
    <x v="25"/>
    <n v="44.960000004000001"/>
    <x v="3"/>
    <n v="0.39232111696335076"/>
  </r>
  <r>
    <x v="2"/>
    <x v="41"/>
    <n v="8.8966666669999999"/>
    <n v="6.58"/>
    <x v="479"/>
    <n v="7.96"/>
    <n v="0.09"/>
    <n v="8.0500000000000007"/>
    <n v="98.88"/>
    <n v="110.52"/>
    <x v="25"/>
    <n v="106.76000000399999"/>
    <x v="5"/>
    <n v="1.1051759834782608"/>
  </r>
  <r>
    <x v="2"/>
    <x v="42"/>
    <n v="17.916666670000001"/>
    <n v="7.62"/>
    <x v="480"/>
    <n v="7.34"/>
    <n v="1.38"/>
    <n v="8.7200000000000006"/>
    <n v="84.17"/>
    <n v="205.47"/>
    <x v="25"/>
    <n v="215.00000004000003"/>
    <x v="2"/>
    <n v="2.0546636089449541"/>
  </r>
  <r>
    <x v="2"/>
    <x v="44"/>
    <n v="0"/>
    <n v="0"/>
    <x v="0"/>
    <n v="3.7"/>
    <n v="5.26"/>
    <n v="8.9600000000000009"/>
    <n v="41.29"/>
    <n v="0"/>
    <x v="25"/>
    <n v="0"/>
    <x v="3"/>
    <n v="0"/>
  </r>
  <r>
    <x v="2"/>
    <x v="45"/>
    <n v="1.5"/>
    <n v="7.98"/>
    <x v="481"/>
    <n v="5.57"/>
    <n v="2.66"/>
    <n v="8.23"/>
    <n v="67.680000000000007"/>
    <n v="18.23"/>
    <x v="25"/>
    <n v="18"/>
    <x v="4"/>
    <n v="0.18226002430133656"/>
  </r>
  <r>
    <x v="2"/>
    <x v="47"/>
    <n v="10.08666667"/>
    <n v="6.43"/>
    <x v="482"/>
    <n v="7.96"/>
    <n v="0.08"/>
    <n v="8.0399999999999991"/>
    <n v="99"/>
    <n v="125.46"/>
    <x v="25"/>
    <n v="121.04000004"/>
    <x v="5"/>
    <n v="1.2545605310945274"/>
  </r>
  <r>
    <x v="2"/>
    <x v="48"/>
    <n v="0"/>
    <n v="0"/>
    <x v="0"/>
    <n v="0"/>
    <n v="0"/>
    <n v="0"/>
    <n v="0"/>
    <n v="0"/>
    <x v="25"/>
    <n v="0"/>
    <x v="6"/>
    <n v="0"/>
  </r>
  <r>
    <x v="2"/>
    <x v="50"/>
    <n v="1.3333333329999999"/>
    <n v="1.2"/>
    <x v="483"/>
    <n v="7.26"/>
    <n v="0.76"/>
    <n v="8.02"/>
    <n v="90.52"/>
    <n v="16.63"/>
    <x v="25"/>
    <n v="15.999999996"/>
    <x v="4"/>
    <n v="0.16625103902743141"/>
  </r>
  <r>
    <x v="0"/>
    <x v="0"/>
    <n v="0"/>
    <n v="0"/>
    <x v="0"/>
    <n v="0"/>
    <n v="0"/>
    <n v="0"/>
    <n v="0"/>
    <n v="0"/>
    <x v="26"/>
    <n v="0"/>
    <x v="0"/>
    <n v="0"/>
  </r>
  <r>
    <x v="0"/>
    <x v="1"/>
    <n v="0"/>
    <n v="0"/>
    <x v="0"/>
    <n v="0"/>
    <n v="0"/>
    <n v="0"/>
    <n v="0"/>
    <n v="0"/>
    <x v="26"/>
    <n v="0"/>
    <x v="0"/>
    <n v="0"/>
  </r>
  <r>
    <x v="0"/>
    <x v="2"/>
    <n v="0"/>
    <n v="0"/>
    <x v="0"/>
    <n v="0"/>
    <n v="0"/>
    <n v="0"/>
    <n v="0"/>
    <n v="0"/>
    <x v="26"/>
    <n v="0"/>
    <x v="0"/>
    <n v="0"/>
  </r>
  <r>
    <x v="0"/>
    <x v="3"/>
    <n v="0"/>
    <n v="0"/>
    <x v="0"/>
    <n v="0"/>
    <n v="0"/>
    <n v="0"/>
    <n v="0"/>
    <n v="0"/>
    <x v="26"/>
    <n v="0"/>
    <x v="0"/>
    <n v="0"/>
  </r>
  <r>
    <x v="0"/>
    <x v="4"/>
    <n v="1.25"/>
    <n v="2.6"/>
    <x v="484"/>
    <n v="7.17"/>
    <n v="0.75"/>
    <n v="7.92"/>
    <n v="90.53"/>
    <n v="15.78"/>
    <x v="26"/>
    <n v="15"/>
    <x v="0"/>
    <n v="0.15782828282828282"/>
  </r>
  <r>
    <x v="0"/>
    <x v="5"/>
    <n v="0"/>
    <n v="0"/>
    <x v="0"/>
    <n v="0"/>
    <n v="0"/>
    <n v="0"/>
    <n v="0"/>
    <n v="0"/>
    <x v="26"/>
    <n v="0"/>
    <x v="0"/>
    <n v="0"/>
  </r>
  <r>
    <x v="0"/>
    <x v="6"/>
    <n v="1.25"/>
    <n v="2.6"/>
    <x v="484"/>
    <n v="7.17"/>
    <n v="0.75"/>
    <n v="7.92"/>
    <n v="90.53"/>
    <n v="15.78"/>
    <x v="26"/>
    <n v="15"/>
    <x v="0"/>
    <n v="0.15782828282828282"/>
  </r>
  <r>
    <x v="0"/>
    <x v="7"/>
    <n v="0"/>
    <n v="0"/>
    <x v="0"/>
    <n v="0"/>
    <n v="0"/>
    <n v="0"/>
    <n v="0"/>
    <n v="0"/>
    <x v="26"/>
    <n v="0"/>
    <x v="0"/>
    <n v="0"/>
  </r>
  <r>
    <x v="0"/>
    <x v="8"/>
    <n v="0"/>
    <n v="0"/>
    <x v="0"/>
    <n v="0"/>
    <n v="0"/>
    <n v="0"/>
    <n v="0"/>
    <n v="0"/>
    <x v="26"/>
    <n v="0"/>
    <x v="0"/>
    <n v="0"/>
  </r>
  <r>
    <x v="1"/>
    <x v="9"/>
    <n v="0"/>
    <n v="0"/>
    <x v="0"/>
    <n v="6.45"/>
    <n v="1.46"/>
    <n v="7.91"/>
    <n v="81.540000000000006"/>
    <n v="0"/>
    <x v="26"/>
    <n v="0"/>
    <x v="1"/>
    <n v="0"/>
  </r>
  <r>
    <x v="1"/>
    <x v="11"/>
    <n v="0"/>
    <n v="0"/>
    <x v="0"/>
    <n v="0"/>
    <n v="0"/>
    <n v="0"/>
    <n v="0"/>
    <n v="0"/>
    <x v="26"/>
    <n v="0"/>
    <x v="1"/>
    <n v="0"/>
  </r>
  <r>
    <x v="1"/>
    <x v="12"/>
    <n v="0"/>
    <n v="0"/>
    <x v="0"/>
    <n v="0"/>
    <n v="0"/>
    <n v="0"/>
    <n v="0"/>
    <n v="0"/>
    <x v="26"/>
    <n v="0"/>
    <x v="1"/>
    <n v="0"/>
  </r>
  <r>
    <x v="1"/>
    <x v="13"/>
    <n v="0"/>
    <n v="0"/>
    <x v="0"/>
    <n v="0"/>
    <n v="0"/>
    <n v="0"/>
    <n v="0"/>
    <n v="0"/>
    <x v="26"/>
    <n v="0"/>
    <x v="1"/>
    <n v="0"/>
  </r>
  <r>
    <x v="2"/>
    <x v="14"/>
    <n v="3.9"/>
    <n v="3.65"/>
    <x v="485"/>
    <n v="5.55"/>
    <n v="2.33"/>
    <n v="7.88"/>
    <n v="70.430000000000007"/>
    <n v="49.49"/>
    <x v="26"/>
    <n v="46.8"/>
    <x v="2"/>
    <n v="0.49492385786802029"/>
  </r>
  <r>
    <x v="2"/>
    <x v="16"/>
    <n v="4.4000000000000004"/>
    <n v="3.59"/>
    <x v="486"/>
    <n v="6.88"/>
    <n v="1.03"/>
    <n v="7.91"/>
    <n v="86.98"/>
    <n v="55.63"/>
    <x v="26"/>
    <n v="52.8"/>
    <x v="4"/>
    <n v="0.55625790139064479"/>
  </r>
  <r>
    <x v="2"/>
    <x v="17"/>
    <n v="1.5"/>
    <n v="2.0699999999999998"/>
    <x v="487"/>
    <n v="2.87"/>
    <n v="5.05"/>
    <n v="7.92"/>
    <n v="36.24"/>
    <n v="18.940000000000001"/>
    <x v="26"/>
    <n v="18"/>
    <x v="3"/>
    <n v="0.18939393939393939"/>
  </r>
  <r>
    <x v="2"/>
    <x v="18"/>
    <n v="0"/>
    <n v="0"/>
    <x v="0"/>
    <n v="0"/>
    <n v="0"/>
    <n v="0"/>
    <n v="0"/>
    <n v="0"/>
    <x v="26"/>
    <n v="0"/>
    <x v="3"/>
    <n v="0"/>
  </r>
  <r>
    <x v="2"/>
    <x v="19"/>
    <n v="0"/>
    <n v="0"/>
    <x v="0"/>
    <n v="0"/>
    <n v="0"/>
    <n v="0"/>
    <n v="0"/>
    <n v="0"/>
    <x v="26"/>
    <n v="0"/>
    <x v="2"/>
    <n v="0"/>
  </r>
  <r>
    <x v="2"/>
    <x v="20"/>
    <n v="8.4166666669999994"/>
    <n v="6.65"/>
    <x v="488"/>
    <n v="7.29"/>
    <n v="0.61"/>
    <n v="7.9"/>
    <n v="92.28"/>
    <n v="106.54"/>
    <x v="26"/>
    <n v="101.00000000399999"/>
    <x v="5"/>
    <n v="1.0654008439240505"/>
  </r>
  <r>
    <x v="2"/>
    <x v="21"/>
    <n v="5.3533333330000001"/>
    <n v="3.78"/>
    <x v="489"/>
    <n v="5.75"/>
    <n v="2.16"/>
    <n v="7.91"/>
    <n v="72.69"/>
    <n v="67.680000000000007"/>
    <x v="26"/>
    <n v="64.239999996000009"/>
    <x v="2"/>
    <n v="0.67678044664981041"/>
  </r>
  <r>
    <x v="2"/>
    <x v="23"/>
    <n v="0"/>
    <n v="0"/>
    <x v="0"/>
    <n v="0"/>
    <n v="0"/>
    <n v="0"/>
    <n v="0"/>
    <n v="0"/>
    <x v="26"/>
    <n v="0"/>
    <x v="3"/>
    <n v="0"/>
  </r>
  <r>
    <x v="2"/>
    <x v="24"/>
    <n v="0"/>
    <n v="0"/>
    <x v="0"/>
    <n v="0"/>
    <n v="0"/>
    <n v="0"/>
    <n v="0"/>
    <n v="0"/>
    <x v="26"/>
    <n v="0"/>
    <x v="5"/>
    <n v="0"/>
  </r>
  <r>
    <x v="2"/>
    <x v="25"/>
    <n v="0"/>
    <n v="0"/>
    <x v="0"/>
    <n v="0"/>
    <n v="0"/>
    <n v="0"/>
    <n v="0"/>
    <n v="0"/>
    <x v="26"/>
    <n v="0"/>
    <x v="2"/>
    <n v="0"/>
  </r>
  <r>
    <x v="2"/>
    <x v="29"/>
    <n v="1.9566666669999999"/>
    <n v="1.55"/>
    <x v="490"/>
    <n v="5.92"/>
    <n v="1.96"/>
    <n v="7.88"/>
    <n v="75.13"/>
    <n v="24.83"/>
    <x v="26"/>
    <n v="23.480000003999997"/>
    <x v="5"/>
    <n v="0.2483079526649746"/>
  </r>
  <r>
    <x v="2"/>
    <x v="30"/>
    <n v="0"/>
    <n v="0"/>
    <x v="0"/>
    <n v="0"/>
    <n v="0"/>
    <n v="0"/>
    <n v="0"/>
    <n v="0"/>
    <x v="26"/>
    <n v="0"/>
    <x v="5"/>
    <n v="0"/>
  </r>
  <r>
    <x v="2"/>
    <x v="31"/>
    <n v="0"/>
    <n v="0"/>
    <x v="0"/>
    <n v="0"/>
    <n v="0"/>
    <n v="0"/>
    <n v="0"/>
    <n v="0"/>
    <x v="26"/>
    <n v="0"/>
    <x v="2"/>
    <n v="0"/>
  </r>
  <r>
    <x v="2"/>
    <x v="32"/>
    <n v="5.42"/>
    <n v="5.51"/>
    <x v="491"/>
    <n v="4.3"/>
    <n v="3.58"/>
    <n v="7.88"/>
    <n v="54.57"/>
    <n v="68.78"/>
    <x v="26"/>
    <n v="65.039999999999992"/>
    <x v="3"/>
    <n v="0.68781725888324874"/>
  </r>
  <r>
    <x v="2"/>
    <x v="33"/>
    <n v="6.6766666670000001"/>
    <n v="6.77"/>
    <x v="492"/>
    <n v="6.64"/>
    <n v="1.36"/>
    <n v="8"/>
    <n v="83"/>
    <n v="83.46"/>
    <x v="26"/>
    <n v="80.120000003999991"/>
    <x v="3"/>
    <n v="0.83458333337500001"/>
  </r>
  <r>
    <x v="2"/>
    <x v="37"/>
    <n v="5.91"/>
    <n v="5.3"/>
    <x v="493"/>
    <n v="5.3"/>
    <n v="2.5499999999999998"/>
    <n v="7.85"/>
    <n v="67.52"/>
    <n v="75.290000000000006"/>
    <x v="26"/>
    <n v="70.92"/>
    <x v="4"/>
    <n v="0.75286624203821662"/>
  </r>
  <r>
    <x v="2"/>
    <x v="38"/>
    <n v="13.83333333"/>
    <n v="4.92"/>
    <x v="494"/>
    <n v="7.27"/>
    <n v="0.63"/>
    <n v="7.9"/>
    <n v="92.03"/>
    <n v="175.11"/>
    <x v="26"/>
    <n v="165.99999996000003"/>
    <x v="2"/>
    <n v="1.7510548518987341"/>
  </r>
  <r>
    <x v="2"/>
    <x v="39"/>
    <n v="4.4166666670000003"/>
    <n v="4.74"/>
    <x v="495"/>
    <n v="5.08"/>
    <n v="2.81"/>
    <n v="7.89"/>
    <n v="64.39"/>
    <n v="55.98"/>
    <x v="26"/>
    <n v="53.000000004"/>
    <x v="2"/>
    <n v="0.55978031267427131"/>
  </r>
  <r>
    <x v="2"/>
    <x v="40"/>
    <n v="6.94"/>
    <n v="7.21"/>
    <x v="496"/>
    <n v="6.53"/>
    <n v="1.46"/>
    <n v="7.99"/>
    <n v="81.73"/>
    <n v="86.86"/>
    <x v="26"/>
    <n v="83.28"/>
    <x v="3"/>
    <n v="0.86858573216520651"/>
  </r>
  <r>
    <x v="2"/>
    <x v="43"/>
    <n v="0"/>
    <n v="0"/>
    <x v="0"/>
    <n v="0"/>
    <n v="0"/>
    <n v="0"/>
    <n v="0"/>
    <n v="0"/>
    <x v="26"/>
    <n v="0"/>
    <x v="3"/>
    <n v="0"/>
  </r>
  <r>
    <x v="2"/>
    <x v="44"/>
    <n v="6.0833333329999997"/>
    <n v="4.3600000000000003"/>
    <x v="497"/>
    <n v="3.98"/>
    <n v="3.9"/>
    <n v="7.88"/>
    <n v="50.51"/>
    <n v="77.2"/>
    <x v="26"/>
    <n v="72.999999996"/>
    <x v="3"/>
    <n v="0.7719966158629441"/>
  </r>
  <r>
    <x v="2"/>
    <x v="45"/>
    <n v="4.8333333329999997"/>
    <n v="4.42"/>
    <x v="498"/>
    <n v="4.42"/>
    <n v="3.44"/>
    <n v="7.86"/>
    <n v="56.23"/>
    <n v="61.49"/>
    <x v="26"/>
    <n v="57.999999996"/>
    <x v="4"/>
    <n v="0.61492790496183203"/>
  </r>
  <r>
    <x v="2"/>
    <x v="46"/>
    <n v="0"/>
    <n v="0"/>
    <x v="0"/>
    <n v="0"/>
    <n v="0"/>
    <n v="0"/>
    <n v="0"/>
    <n v="0"/>
    <x v="26"/>
    <n v="0"/>
    <x v="4"/>
    <n v="0"/>
  </r>
  <r>
    <x v="2"/>
    <x v="48"/>
    <n v="0"/>
    <n v="0"/>
    <x v="0"/>
    <n v="0"/>
    <n v="0"/>
    <n v="0"/>
    <n v="0"/>
    <n v="0"/>
    <x v="26"/>
    <n v="0"/>
    <x v="6"/>
    <n v="0"/>
  </r>
  <r>
    <x v="0"/>
    <x v="0"/>
    <n v="0"/>
    <n v="0"/>
    <x v="0"/>
    <n v="0"/>
    <n v="0"/>
    <n v="0"/>
    <n v="0"/>
    <n v="0"/>
    <x v="27"/>
    <n v="0"/>
    <x v="0"/>
    <n v="0"/>
  </r>
  <r>
    <x v="0"/>
    <x v="1"/>
    <n v="0"/>
    <n v="0"/>
    <x v="0"/>
    <n v="0"/>
    <n v="0"/>
    <n v="0"/>
    <n v="0"/>
    <n v="0"/>
    <x v="27"/>
    <n v="0"/>
    <x v="0"/>
    <n v="0"/>
  </r>
  <r>
    <x v="0"/>
    <x v="2"/>
    <n v="0"/>
    <n v="0"/>
    <x v="0"/>
    <n v="0"/>
    <n v="0"/>
    <n v="0"/>
    <n v="0"/>
    <n v="0"/>
    <x v="27"/>
    <n v="0"/>
    <x v="0"/>
    <n v="0"/>
  </r>
  <r>
    <x v="0"/>
    <x v="3"/>
    <n v="0"/>
    <n v="0"/>
    <x v="0"/>
    <n v="0"/>
    <n v="0"/>
    <n v="0"/>
    <n v="0"/>
    <n v="0"/>
    <x v="27"/>
    <n v="0"/>
    <x v="0"/>
    <n v="0"/>
  </r>
  <r>
    <x v="0"/>
    <x v="4"/>
    <n v="0"/>
    <n v="0"/>
    <x v="0"/>
    <n v="0"/>
    <n v="0"/>
    <n v="0"/>
    <n v="0"/>
    <n v="0"/>
    <x v="27"/>
    <n v="0"/>
    <x v="0"/>
    <n v="0"/>
  </r>
  <r>
    <x v="0"/>
    <x v="5"/>
    <n v="0"/>
    <n v="0"/>
    <x v="0"/>
    <n v="0"/>
    <n v="0"/>
    <n v="0"/>
    <n v="0"/>
    <n v="0"/>
    <x v="27"/>
    <n v="0"/>
    <x v="0"/>
    <n v="0"/>
  </r>
  <r>
    <x v="0"/>
    <x v="6"/>
    <n v="0"/>
    <n v="0"/>
    <x v="0"/>
    <n v="0"/>
    <n v="0"/>
    <n v="0"/>
    <n v="0"/>
    <n v="0"/>
    <x v="27"/>
    <n v="0"/>
    <x v="0"/>
    <n v="0"/>
  </r>
  <r>
    <x v="0"/>
    <x v="7"/>
    <n v="0"/>
    <n v="0"/>
    <x v="0"/>
    <n v="0"/>
    <n v="0"/>
    <n v="0"/>
    <n v="0"/>
    <n v="0"/>
    <x v="27"/>
    <n v="0"/>
    <x v="0"/>
    <n v="0"/>
  </r>
  <r>
    <x v="0"/>
    <x v="8"/>
    <n v="0"/>
    <n v="0"/>
    <x v="0"/>
    <n v="0"/>
    <n v="0"/>
    <n v="0"/>
    <n v="0"/>
    <n v="0"/>
    <x v="27"/>
    <n v="0"/>
    <x v="0"/>
    <n v="0"/>
  </r>
  <r>
    <x v="1"/>
    <x v="9"/>
    <n v="0"/>
    <n v="0"/>
    <x v="0"/>
    <n v="0"/>
    <n v="0"/>
    <n v="0"/>
    <n v="0"/>
    <n v="0"/>
    <x v="27"/>
    <n v="0"/>
    <x v="1"/>
    <n v="0"/>
  </r>
  <r>
    <x v="1"/>
    <x v="10"/>
    <n v="0"/>
    <n v="0"/>
    <x v="0"/>
    <n v="0"/>
    <n v="0"/>
    <n v="0"/>
    <n v="0"/>
    <n v="0"/>
    <x v="27"/>
    <n v="0"/>
    <x v="1"/>
    <n v="0"/>
  </r>
  <r>
    <x v="1"/>
    <x v="11"/>
    <n v="0"/>
    <n v="0"/>
    <x v="0"/>
    <n v="0"/>
    <n v="0"/>
    <n v="0"/>
    <n v="0"/>
    <n v="0"/>
    <x v="27"/>
    <n v="0"/>
    <x v="1"/>
    <n v="0"/>
  </r>
  <r>
    <x v="1"/>
    <x v="12"/>
    <n v="0"/>
    <n v="0"/>
    <x v="0"/>
    <n v="0"/>
    <n v="0"/>
    <n v="0"/>
    <n v="0"/>
    <n v="0"/>
    <x v="27"/>
    <n v="0"/>
    <x v="1"/>
    <n v="0"/>
  </r>
  <r>
    <x v="1"/>
    <x v="13"/>
    <n v="0"/>
    <n v="0"/>
    <x v="0"/>
    <n v="0"/>
    <n v="0"/>
    <n v="0"/>
    <n v="0"/>
    <n v="0"/>
    <x v="27"/>
    <n v="0"/>
    <x v="1"/>
    <n v="0"/>
  </r>
  <r>
    <x v="2"/>
    <x v="14"/>
    <n v="0"/>
    <n v="0"/>
    <x v="0"/>
    <n v="0"/>
    <n v="0"/>
    <n v="0"/>
    <n v="0"/>
    <n v="0"/>
    <x v="27"/>
    <n v="0"/>
    <x v="2"/>
    <n v="0"/>
  </r>
  <r>
    <x v="2"/>
    <x v="15"/>
    <n v="0"/>
    <n v="0"/>
    <x v="0"/>
    <n v="0"/>
    <n v="0"/>
    <n v="0"/>
    <n v="0"/>
    <n v="0"/>
    <x v="27"/>
    <n v="0"/>
    <x v="3"/>
    <n v="0"/>
  </r>
  <r>
    <x v="2"/>
    <x v="16"/>
    <n v="0"/>
    <n v="0"/>
    <x v="0"/>
    <n v="0"/>
    <n v="0"/>
    <n v="0"/>
    <n v="0"/>
    <n v="0"/>
    <x v="27"/>
    <n v="0"/>
    <x v="4"/>
    <n v="0"/>
  </r>
  <r>
    <x v="2"/>
    <x v="17"/>
    <n v="0"/>
    <n v="0"/>
    <x v="0"/>
    <n v="0"/>
    <n v="0"/>
    <n v="0"/>
    <n v="0"/>
    <n v="0"/>
    <x v="27"/>
    <n v="0"/>
    <x v="3"/>
    <n v="0"/>
  </r>
  <r>
    <x v="2"/>
    <x v="18"/>
    <n v="0"/>
    <n v="0"/>
    <x v="0"/>
    <n v="0"/>
    <n v="0"/>
    <n v="0"/>
    <n v="0"/>
    <n v="0"/>
    <x v="27"/>
    <n v="0"/>
    <x v="3"/>
    <n v="0"/>
  </r>
  <r>
    <x v="2"/>
    <x v="19"/>
    <n v="0"/>
    <n v="0"/>
    <x v="0"/>
    <n v="0"/>
    <n v="0"/>
    <n v="0"/>
    <n v="0"/>
    <n v="0"/>
    <x v="27"/>
    <n v="0"/>
    <x v="2"/>
    <n v="0"/>
  </r>
  <r>
    <x v="2"/>
    <x v="20"/>
    <n v="0"/>
    <n v="0"/>
    <x v="0"/>
    <n v="0"/>
    <n v="0"/>
    <n v="0"/>
    <n v="0"/>
    <n v="0"/>
    <x v="27"/>
    <n v="0"/>
    <x v="5"/>
    <n v="0"/>
  </r>
  <r>
    <x v="2"/>
    <x v="21"/>
    <n v="0"/>
    <n v="0"/>
    <x v="0"/>
    <n v="0"/>
    <n v="0"/>
    <n v="0"/>
    <n v="0"/>
    <n v="0"/>
    <x v="27"/>
    <n v="0"/>
    <x v="2"/>
    <n v="0"/>
  </r>
  <r>
    <x v="2"/>
    <x v="22"/>
    <n v="0"/>
    <n v="0"/>
    <x v="0"/>
    <n v="0"/>
    <n v="0"/>
    <n v="0"/>
    <n v="0"/>
    <n v="0"/>
    <x v="27"/>
    <n v="0"/>
    <x v="4"/>
    <n v="0"/>
  </r>
  <r>
    <x v="2"/>
    <x v="23"/>
    <n v="0"/>
    <n v="0"/>
    <x v="0"/>
    <n v="0"/>
    <n v="0"/>
    <n v="0"/>
    <n v="0"/>
    <n v="0"/>
    <x v="27"/>
    <n v="0"/>
    <x v="3"/>
    <n v="0"/>
  </r>
  <r>
    <x v="2"/>
    <x v="24"/>
    <n v="0"/>
    <n v="0"/>
    <x v="0"/>
    <n v="0"/>
    <n v="0"/>
    <n v="0"/>
    <n v="0"/>
    <n v="0"/>
    <x v="27"/>
    <n v="0"/>
    <x v="5"/>
    <n v="0"/>
  </r>
  <r>
    <x v="2"/>
    <x v="25"/>
    <n v="0"/>
    <n v="0"/>
    <x v="0"/>
    <n v="0"/>
    <n v="0"/>
    <n v="0"/>
    <n v="0"/>
    <n v="0"/>
    <x v="27"/>
    <n v="0"/>
    <x v="2"/>
    <n v="0"/>
  </r>
  <r>
    <x v="2"/>
    <x v="26"/>
    <n v="0"/>
    <n v="0"/>
    <x v="0"/>
    <n v="0"/>
    <n v="0"/>
    <n v="0"/>
    <n v="0"/>
    <n v="0"/>
    <x v="27"/>
    <n v="0"/>
    <x v="3"/>
    <n v="0"/>
  </r>
  <r>
    <x v="2"/>
    <x v="27"/>
    <n v="0"/>
    <n v="0"/>
    <x v="0"/>
    <n v="0"/>
    <n v="0"/>
    <n v="0"/>
    <n v="0"/>
    <n v="0"/>
    <x v="27"/>
    <n v="0"/>
    <x v="5"/>
    <n v="0"/>
  </r>
  <r>
    <x v="2"/>
    <x v="29"/>
    <n v="0"/>
    <n v="0"/>
    <x v="0"/>
    <n v="0"/>
    <n v="0"/>
    <n v="0"/>
    <n v="0"/>
    <n v="0"/>
    <x v="27"/>
    <n v="0"/>
    <x v="5"/>
    <n v="0"/>
  </r>
  <r>
    <x v="2"/>
    <x v="30"/>
    <n v="0"/>
    <n v="0"/>
    <x v="0"/>
    <n v="0"/>
    <n v="0"/>
    <n v="0"/>
    <n v="0"/>
    <n v="0"/>
    <x v="27"/>
    <n v="0"/>
    <x v="5"/>
    <n v="0"/>
  </r>
  <r>
    <x v="2"/>
    <x v="31"/>
    <n v="0"/>
    <n v="0"/>
    <x v="0"/>
    <n v="0"/>
    <n v="0"/>
    <n v="0"/>
    <n v="0"/>
    <n v="0"/>
    <x v="27"/>
    <n v="0"/>
    <x v="2"/>
    <n v="0"/>
  </r>
  <r>
    <x v="2"/>
    <x v="32"/>
    <n v="0"/>
    <n v="0"/>
    <x v="0"/>
    <n v="0"/>
    <n v="0"/>
    <n v="0"/>
    <n v="0"/>
    <n v="0"/>
    <x v="27"/>
    <n v="0"/>
    <x v="3"/>
    <n v="0"/>
  </r>
  <r>
    <x v="2"/>
    <x v="33"/>
    <n v="0"/>
    <n v="0"/>
    <x v="0"/>
    <n v="0"/>
    <n v="0"/>
    <n v="0"/>
    <n v="0"/>
    <n v="0"/>
    <x v="27"/>
    <n v="0"/>
    <x v="3"/>
    <n v="0"/>
  </r>
  <r>
    <x v="2"/>
    <x v="34"/>
    <n v="0"/>
    <n v="0"/>
    <x v="0"/>
    <n v="0"/>
    <n v="0"/>
    <n v="0"/>
    <n v="0"/>
    <n v="0"/>
    <x v="27"/>
    <n v="0"/>
    <x v="4"/>
    <n v="0"/>
  </r>
  <r>
    <x v="2"/>
    <x v="35"/>
    <n v="0"/>
    <n v="0"/>
    <x v="0"/>
    <n v="0"/>
    <n v="0"/>
    <n v="0"/>
    <n v="0"/>
    <n v="0"/>
    <x v="27"/>
    <n v="0"/>
    <x v="2"/>
    <n v="0"/>
  </r>
  <r>
    <x v="2"/>
    <x v="36"/>
    <n v="0"/>
    <n v="0"/>
    <x v="0"/>
    <n v="0"/>
    <n v="0"/>
    <n v="0"/>
    <n v="0"/>
    <n v="0"/>
    <x v="27"/>
    <n v="0"/>
    <x v="4"/>
    <n v="0"/>
  </r>
  <r>
    <x v="2"/>
    <x v="37"/>
    <n v="0"/>
    <n v="0"/>
    <x v="0"/>
    <n v="0"/>
    <n v="0"/>
    <n v="0"/>
    <n v="0"/>
    <n v="0"/>
    <x v="27"/>
    <n v="0"/>
    <x v="4"/>
    <n v="0"/>
  </r>
  <r>
    <x v="2"/>
    <x v="38"/>
    <n v="0"/>
    <n v="0"/>
    <x v="0"/>
    <n v="0"/>
    <n v="0"/>
    <n v="0"/>
    <n v="0"/>
    <n v="0"/>
    <x v="27"/>
    <n v="0"/>
    <x v="2"/>
    <n v="0"/>
  </r>
  <r>
    <x v="2"/>
    <x v="39"/>
    <n v="0"/>
    <n v="0"/>
    <x v="0"/>
    <n v="0"/>
    <n v="0"/>
    <n v="0"/>
    <n v="0"/>
    <n v="0"/>
    <x v="27"/>
    <n v="0"/>
    <x v="2"/>
    <n v="0"/>
  </r>
  <r>
    <x v="2"/>
    <x v="40"/>
    <n v="0"/>
    <n v="0"/>
    <x v="0"/>
    <n v="0"/>
    <n v="0"/>
    <n v="0"/>
    <n v="0"/>
    <n v="0"/>
    <x v="27"/>
    <n v="0"/>
    <x v="3"/>
    <n v="0"/>
  </r>
  <r>
    <x v="2"/>
    <x v="41"/>
    <n v="0"/>
    <n v="0"/>
    <x v="0"/>
    <n v="0"/>
    <n v="0"/>
    <n v="0"/>
    <n v="0"/>
    <n v="0"/>
    <x v="27"/>
    <n v="0"/>
    <x v="5"/>
    <n v="0"/>
  </r>
  <r>
    <x v="2"/>
    <x v="42"/>
    <n v="0"/>
    <n v="0"/>
    <x v="0"/>
    <n v="0"/>
    <n v="0"/>
    <n v="0"/>
    <n v="0"/>
    <n v="0"/>
    <x v="27"/>
    <n v="0"/>
    <x v="2"/>
    <n v="0"/>
  </r>
  <r>
    <x v="2"/>
    <x v="43"/>
    <n v="0"/>
    <n v="0"/>
    <x v="0"/>
    <n v="0"/>
    <n v="0"/>
    <n v="0"/>
    <n v="0"/>
    <n v="0"/>
    <x v="27"/>
    <n v="0"/>
    <x v="3"/>
    <n v="0"/>
  </r>
  <r>
    <x v="2"/>
    <x v="44"/>
    <n v="0"/>
    <n v="0"/>
    <x v="0"/>
    <n v="0"/>
    <n v="0"/>
    <n v="0"/>
    <n v="0"/>
    <n v="0"/>
    <x v="27"/>
    <n v="0"/>
    <x v="3"/>
    <n v="0"/>
  </r>
  <r>
    <x v="2"/>
    <x v="45"/>
    <n v="0"/>
    <n v="0"/>
    <x v="0"/>
    <n v="0"/>
    <n v="0"/>
    <n v="0"/>
    <n v="0"/>
    <n v="0"/>
    <x v="27"/>
    <n v="0"/>
    <x v="4"/>
    <n v="0"/>
  </r>
  <r>
    <x v="2"/>
    <x v="46"/>
    <n v="0"/>
    <n v="0"/>
    <x v="0"/>
    <n v="0"/>
    <n v="0"/>
    <n v="0"/>
    <n v="0"/>
    <n v="0"/>
    <x v="27"/>
    <n v="0"/>
    <x v="4"/>
    <n v="0"/>
  </r>
  <r>
    <x v="2"/>
    <x v="47"/>
    <n v="0"/>
    <n v="0"/>
    <x v="0"/>
    <n v="0"/>
    <n v="0"/>
    <n v="0"/>
    <n v="0"/>
    <n v="0"/>
    <x v="27"/>
    <n v="0"/>
    <x v="5"/>
    <n v="0"/>
  </r>
  <r>
    <x v="2"/>
    <x v="48"/>
    <n v="0"/>
    <n v="0"/>
    <x v="0"/>
    <n v="0"/>
    <n v="0"/>
    <n v="0"/>
    <n v="0"/>
    <n v="0"/>
    <x v="27"/>
    <n v="0"/>
    <x v="6"/>
    <n v="0"/>
  </r>
  <r>
    <x v="2"/>
    <x v="49"/>
    <n v="0"/>
    <n v="0"/>
    <x v="0"/>
    <n v="0"/>
    <n v="0"/>
    <n v="0"/>
    <n v="0"/>
    <n v="0"/>
    <x v="27"/>
    <n v="0"/>
    <x v="3"/>
    <n v="0"/>
  </r>
  <r>
    <x v="2"/>
    <x v="50"/>
    <n v="0"/>
    <n v="0"/>
    <x v="0"/>
    <n v="0"/>
    <n v="0"/>
    <n v="0"/>
    <n v="0"/>
    <n v="0"/>
    <x v="27"/>
    <n v="0"/>
    <x v="4"/>
    <n v="0"/>
  </r>
  <r>
    <x v="0"/>
    <x v="0"/>
    <n v="0"/>
    <n v="0"/>
    <x v="0"/>
    <n v="7"/>
    <n v="0.99"/>
    <n v="7.99"/>
    <n v="87.61"/>
    <n v="0"/>
    <x v="28"/>
    <n v="0"/>
    <x v="0"/>
    <n v="0"/>
  </r>
  <r>
    <x v="0"/>
    <x v="3"/>
    <n v="1.25"/>
    <n v="3.57"/>
    <x v="499"/>
    <n v="6.98"/>
    <n v="1"/>
    <n v="7.98"/>
    <n v="87.47"/>
    <n v="15.66"/>
    <x v="28"/>
    <n v="15"/>
    <x v="0"/>
    <n v="0.15664160401002505"/>
  </r>
  <r>
    <x v="0"/>
    <x v="4"/>
    <n v="4.22"/>
    <n v="4.47"/>
    <x v="500"/>
    <n v="6.99"/>
    <n v="0.99"/>
    <n v="7.98"/>
    <n v="87.59"/>
    <n v="52.88"/>
    <x v="28"/>
    <n v="50.64"/>
    <x v="0"/>
    <n v="0.52882205513784453"/>
  </r>
  <r>
    <x v="0"/>
    <x v="5"/>
    <n v="0"/>
    <n v="0"/>
    <x v="0"/>
    <n v="0"/>
    <n v="0"/>
    <n v="0"/>
    <n v="0"/>
    <n v="0"/>
    <x v="28"/>
    <n v="0"/>
    <x v="0"/>
    <n v="0"/>
  </r>
  <r>
    <x v="0"/>
    <x v="6"/>
    <n v="2.61"/>
    <n v="2.77"/>
    <x v="501"/>
    <n v="6.97"/>
    <n v="1.01"/>
    <n v="7.98"/>
    <n v="87.34"/>
    <n v="32.71"/>
    <x v="28"/>
    <n v="31.32"/>
    <x v="0"/>
    <n v="0.32706766917293228"/>
  </r>
  <r>
    <x v="0"/>
    <x v="7"/>
    <n v="1.25"/>
    <n v="3.57"/>
    <x v="499"/>
    <n v="6.99"/>
    <n v="0.98"/>
    <n v="7.97"/>
    <n v="87.7"/>
    <n v="15.68"/>
    <x v="28"/>
    <n v="15"/>
    <x v="0"/>
    <n v="0.15683814303638646"/>
  </r>
  <r>
    <x v="0"/>
    <x v="8"/>
    <n v="0"/>
    <n v="0"/>
    <x v="0"/>
    <n v="7.03"/>
    <n v="0.99"/>
    <n v="8.02"/>
    <n v="87.66"/>
    <n v="0"/>
    <x v="28"/>
    <n v="0"/>
    <x v="0"/>
    <n v="0"/>
  </r>
  <r>
    <x v="1"/>
    <x v="10"/>
    <n v="2.5833333330000001"/>
    <n v="2.77"/>
    <x v="502"/>
    <n v="6.11"/>
    <n v="1.97"/>
    <n v="8.08"/>
    <n v="75.62"/>
    <n v="31.97"/>
    <x v="28"/>
    <n v="30.999999996000003"/>
    <x v="1"/>
    <n v="0.31971947190594063"/>
  </r>
  <r>
    <x v="1"/>
    <x v="11"/>
    <n v="1"/>
    <n v="1.03"/>
    <x v="503"/>
    <n v="3.74"/>
    <n v="4.34"/>
    <n v="8.08"/>
    <n v="46.29"/>
    <n v="12.38"/>
    <x v="28"/>
    <n v="12"/>
    <x v="1"/>
    <n v="0.12376237623762376"/>
  </r>
  <r>
    <x v="1"/>
    <x v="12"/>
    <n v="2.34"/>
    <n v="3.73"/>
    <x v="504"/>
    <n v="5.71"/>
    <n v="2.36"/>
    <n v="8.07"/>
    <n v="70.760000000000005"/>
    <n v="29"/>
    <x v="28"/>
    <n v="28.079999999999995"/>
    <x v="1"/>
    <n v="0.2899628252788104"/>
  </r>
  <r>
    <x v="1"/>
    <x v="13"/>
    <n v="3.08"/>
    <n v="4.2699999999999996"/>
    <x v="505"/>
    <n v="5.71"/>
    <n v="2.36"/>
    <n v="8.07"/>
    <n v="70.760000000000005"/>
    <n v="38.17"/>
    <x v="28"/>
    <n v="36.96"/>
    <x v="1"/>
    <n v="0.38166047087980171"/>
  </r>
  <r>
    <x v="2"/>
    <x v="14"/>
    <n v="5.0766666669999996"/>
    <n v="5.0599999999999996"/>
    <x v="506"/>
    <n v="6.36"/>
    <n v="1.53"/>
    <n v="7.89"/>
    <n v="80.61"/>
    <n v="64.34"/>
    <x v="28"/>
    <n v="60.920000003999995"/>
    <x v="2"/>
    <n v="0.64343050278833969"/>
  </r>
  <r>
    <x v="2"/>
    <x v="15"/>
    <n v="0.66666666699999999"/>
    <n v="2.3199999999999998"/>
    <x v="507"/>
    <n v="7.77"/>
    <n v="0.48"/>
    <n v="8.25"/>
    <n v="94.18"/>
    <n v="8.08"/>
    <x v="28"/>
    <n v="8.0000000040000003"/>
    <x v="3"/>
    <n v="8.0808080848484842E-2"/>
  </r>
  <r>
    <x v="2"/>
    <x v="17"/>
    <n v="1.5833333329999999"/>
    <n v="3.04"/>
    <x v="508"/>
    <n v="7.73"/>
    <n v="2.0299999999999998"/>
    <n v="9.76"/>
    <n v="79.2"/>
    <n v="16.22"/>
    <x v="28"/>
    <n v="18.999999996"/>
    <x v="3"/>
    <n v="0.16222677592213114"/>
  </r>
  <r>
    <x v="2"/>
    <x v="18"/>
    <n v="0"/>
    <n v="0"/>
    <x v="0"/>
    <n v="5.83"/>
    <n v="2.25"/>
    <n v="8.08"/>
    <n v="72.150000000000006"/>
    <n v="0"/>
    <x v="28"/>
    <n v="0"/>
    <x v="3"/>
    <n v="0"/>
  </r>
  <r>
    <x v="2"/>
    <x v="19"/>
    <n v="0"/>
    <n v="0"/>
    <x v="0"/>
    <n v="0"/>
    <n v="0"/>
    <n v="0"/>
    <n v="0"/>
    <n v="0"/>
    <x v="28"/>
    <n v="0"/>
    <x v="2"/>
    <n v="0"/>
  </r>
  <r>
    <x v="2"/>
    <x v="20"/>
    <n v="14.71666667"/>
    <n v="7.65"/>
    <x v="509"/>
    <n v="7.18"/>
    <n v="1.59"/>
    <n v="8.77"/>
    <n v="81.87"/>
    <n v="167.81"/>
    <x v="28"/>
    <n v="176.60000004"/>
    <x v="5"/>
    <n v="1.6780691755986319"/>
  </r>
  <r>
    <x v="2"/>
    <x v="21"/>
    <n v="10.16"/>
    <n v="6.84"/>
    <x v="510"/>
    <n v="7.01"/>
    <n v="0.99"/>
    <n v="8"/>
    <n v="87.63"/>
    <n v="127"/>
    <x v="28"/>
    <n v="121.92"/>
    <x v="2"/>
    <n v="1.27"/>
  </r>
  <r>
    <x v="2"/>
    <x v="22"/>
    <n v="3.75"/>
    <n v="4.4400000000000004"/>
    <x v="511"/>
    <n v="9.5500000000000007"/>
    <n v="1.49"/>
    <n v="11.04"/>
    <n v="86.5"/>
    <n v="33.97"/>
    <x v="28"/>
    <n v="45"/>
    <x v="4"/>
    <n v="0.33967391304347827"/>
  </r>
  <r>
    <x v="2"/>
    <x v="23"/>
    <n v="0.66666666699999999"/>
    <n v="0.4"/>
    <x v="512"/>
    <n v="0.2"/>
    <n v="9.09"/>
    <n v="9.2899999999999991"/>
    <n v="2.15"/>
    <n v="7.18"/>
    <x v="28"/>
    <n v="8.0000000040000003"/>
    <x v="3"/>
    <n v="7.1761751022604958E-2"/>
  </r>
  <r>
    <x v="2"/>
    <x v="25"/>
    <n v="8.5"/>
    <n v="6.11"/>
    <x v="513"/>
    <n v="5.96"/>
    <n v="1.96"/>
    <n v="7.92"/>
    <n v="75.25"/>
    <n v="107.32"/>
    <x v="28"/>
    <n v="102"/>
    <x v="2"/>
    <n v="1.0732323232323233"/>
  </r>
  <r>
    <x v="2"/>
    <x v="26"/>
    <n v="4.8333333329999997"/>
    <n v="6.81"/>
    <x v="514"/>
    <n v="6.76"/>
    <n v="1.28"/>
    <n v="8.0399999999999991"/>
    <n v="84.08"/>
    <n v="60.12"/>
    <x v="28"/>
    <n v="57.999999996"/>
    <x v="3"/>
    <n v="0.60116086231343291"/>
  </r>
  <r>
    <x v="2"/>
    <x v="27"/>
    <n v="8.06"/>
    <n v="5.7"/>
    <x v="515"/>
    <n v="6.62"/>
    <n v="1.38"/>
    <n v="8"/>
    <n v="82.75"/>
    <n v="100.75"/>
    <x v="28"/>
    <n v="96.72"/>
    <x v="5"/>
    <n v="1.0075000000000001"/>
  </r>
  <r>
    <x v="2"/>
    <x v="29"/>
    <n v="5.9333333330000002"/>
    <n v="7.28"/>
    <x v="516"/>
    <n v="8.59"/>
    <n v="0.61"/>
    <n v="9.1999999999999993"/>
    <n v="93.37"/>
    <n v="64.489999999999995"/>
    <x v="28"/>
    <n v="71.199999996000003"/>
    <x v="5"/>
    <n v="0.64492753619565224"/>
  </r>
  <r>
    <x v="2"/>
    <x v="30"/>
    <n v="0"/>
    <n v="0"/>
    <x v="0"/>
    <n v="0"/>
    <n v="0"/>
    <n v="0"/>
    <n v="0"/>
    <n v="0"/>
    <x v="28"/>
    <n v="0"/>
    <x v="5"/>
    <n v="0"/>
  </r>
  <r>
    <x v="2"/>
    <x v="31"/>
    <n v="6.4166666670000003"/>
    <n v="4.18"/>
    <x v="517"/>
    <n v="5.56"/>
    <n v="2.36"/>
    <n v="7.92"/>
    <n v="70.2"/>
    <n v="81.02"/>
    <x v="28"/>
    <n v="77.000000004"/>
    <x v="2"/>
    <n v="0.81018518522727279"/>
  </r>
  <r>
    <x v="2"/>
    <x v="32"/>
    <n v="1"/>
    <n v="1.43"/>
    <x v="518"/>
    <n v="8.34"/>
    <n v="1.44"/>
    <n v="9.7799999999999994"/>
    <n v="85.28"/>
    <n v="10.220000000000001"/>
    <x v="28"/>
    <n v="12"/>
    <x v="3"/>
    <n v="0.10224948875255624"/>
  </r>
  <r>
    <x v="2"/>
    <x v="33"/>
    <n v="0"/>
    <n v="0"/>
    <x v="0"/>
    <n v="2.2799999999999998"/>
    <n v="5.89"/>
    <n v="8.17"/>
    <n v="27.91"/>
    <n v="0"/>
    <x v="28"/>
    <n v="0"/>
    <x v="3"/>
    <n v="0"/>
  </r>
  <r>
    <x v="2"/>
    <x v="34"/>
    <n v="0"/>
    <n v="0"/>
    <x v="0"/>
    <n v="9.33"/>
    <n v="1.1200000000000001"/>
    <n v="10.45"/>
    <n v="89.28"/>
    <n v="0"/>
    <x v="28"/>
    <n v="0"/>
    <x v="4"/>
    <n v="0"/>
  </r>
  <r>
    <x v="2"/>
    <x v="35"/>
    <n v="1.4766666669999999"/>
    <n v="2.44"/>
    <x v="519"/>
    <n v="6.97"/>
    <n v="1.1200000000000001"/>
    <n v="8.09"/>
    <n v="86.16"/>
    <n v="18.25"/>
    <x v="28"/>
    <n v="17.720000003999999"/>
    <x v="2"/>
    <n v="0.18252987231149567"/>
  </r>
  <r>
    <x v="2"/>
    <x v="36"/>
    <n v="0"/>
    <n v="0"/>
    <x v="0"/>
    <n v="8.5500000000000007"/>
    <n v="1.18"/>
    <n v="9.73"/>
    <n v="87.87"/>
    <n v="0"/>
    <x v="28"/>
    <n v="0"/>
    <x v="4"/>
    <n v="0"/>
  </r>
  <r>
    <x v="2"/>
    <x v="37"/>
    <n v="4.1666666670000003"/>
    <n v="3.08"/>
    <x v="520"/>
    <n v="4.2699999999999996"/>
    <n v="1.58"/>
    <n v="5.85"/>
    <n v="72.989999999999995"/>
    <n v="71.23"/>
    <x v="28"/>
    <n v="50.000000004"/>
    <x v="4"/>
    <n v="0.71225071230769244"/>
  </r>
  <r>
    <x v="2"/>
    <x v="38"/>
    <n v="13.08333333"/>
    <n v="5.4"/>
    <x v="521"/>
    <n v="8.5399999999999991"/>
    <n v="1.35"/>
    <n v="9.89"/>
    <n v="86.35"/>
    <n v="132.29"/>
    <x v="28"/>
    <n v="156.99999996000003"/>
    <x v="2"/>
    <n v="1.3228850687563194"/>
  </r>
  <r>
    <x v="2"/>
    <x v="39"/>
    <n v="6.0833333329999997"/>
    <n v="4.45"/>
    <x v="522"/>
    <n v="6.85"/>
    <n v="2.94"/>
    <n v="9.7899999999999991"/>
    <n v="69.97"/>
    <n v="62.14"/>
    <x v="28"/>
    <n v="72.999999996"/>
    <x v="2"/>
    <n v="0.6213823629213483"/>
  </r>
  <r>
    <x v="2"/>
    <x v="40"/>
    <n v="0"/>
    <n v="0"/>
    <x v="0"/>
    <n v="2.2799999999999998"/>
    <n v="7.47"/>
    <n v="9.75"/>
    <n v="23.38"/>
    <n v="0"/>
    <x v="28"/>
    <n v="0"/>
    <x v="3"/>
    <n v="0"/>
  </r>
  <r>
    <x v="2"/>
    <x v="41"/>
    <n v="3.38"/>
    <n v="4.76"/>
    <x v="523"/>
    <n v="7.25"/>
    <n v="0.68"/>
    <n v="7.93"/>
    <n v="91.42"/>
    <n v="42.62"/>
    <x v="28"/>
    <n v="40.559999999999995"/>
    <x v="5"/>
    <n v="0.42622950819672134"/>
  </r>
  <r>
    <x v="2"/>
    <x v="42"/>
    <n v="3.75"/>
    <n v="3.11"/>
    <x v="524"/>
    <n v="7.26"/>
    <n v="0.74"/>
    <n v="8"/>
    <n v="90.75"/>
    <n v="46.88"/>
    <x v="28"/>
    <n v="45"/>
    <x v="2"/>
    <n v="0.46875"/>
  </r>
  <r>
    <x v="2"/>
    <x v="44"/>
    <n v="0.91666666699999999"/>
    <n v="1.57"/>
    <x v="525"/>
    <n v="4.4000000000000004"/>
    <n v="3.91"/>
    <n v="8.31"/>
    <n v="52.95"/>
    <n v="11.03"/>
    <x v="28"/>
    <n v="11.000000004"/>
    <x v="3"/>
    <n v="0.11030886486161251"/>
  </r>
  <r>
    <x v="2"/>
    <x v="45"/>
    <n v="0"/>
    <n v="0"/>
    <x v="0"/>
    <n v="0"/>
    <n v="0"/>
    <n v="0"/>
    <n v="0"/>
    <n v="0"/>
    <x v="28"/>
    <n v="0"/>
    <x v="4"/>
    <n v="0"/>
  </r>
  <r>
    <x v="2"/>
    <x v="47"/>
    <n v="3.03"/>
    <n v="4.34"/>
    <x v="526"/>
    <n v="7.27"/>
    <n v="0.66"/>
    <n v="7.93"/>
    <n v="91.68"/>
    <n v="38.21"/>
    <x v="28"/>
    <n v="36.36"/>
    <x v="5"/>
    <n v="0.38209331651954603"/>
  </r>
  <r>
    <x v="2"/>
    <x v="48"/>
    <n v="0"/>
    <n v="0"/>
    <x v="0"/>
    <n v="0"/>
    <n v="0"/>
    <n v="0"/>
    <n v="0"/>
    <n v="0"/>
    <x v="28"/>
    <n v="0"/>
    <x v="6"/>
    <n v="0"/>
  </r>
  <r>
    <x v="2"/>
    <x v="49"/>
    <n v="2.4166666669999999"/>
    <n v="4.45"/>
    <x v="527"/>
    <n v="7.71"/>
    <n v="0.36"/>
    <n v="8.07"/>
    <n v="95.54"/>
    <n v="29.95"/>
    <x v="28"/>
    <n v="29.000000003999997"/>
    <x v="3"/>
    <n v="0.29946303184634449"/>
  </r>
  <r>
    <x v="2"/>
    <x v="50"/>
    <n v="4.1066666669999998"/>
    <n v="5.28"/>
    <x v="528"/>
    <n v="7.37"/>
    <n v="0.57999999999999996"/>
    <n v="7.95"/>
    <n v="92.7"/>
    <n v="51.66"/>
    <x v="28"/>
    <n v="49.280000004000001"/>
    <x v="4"/>
    <n v="0.51656184490566037"/>
  </r>
  <r>
    <x v="0"/>
    <x v="1"/>
    <n v="2.13"/>
    <n v="7.29"/>
    <x v="529"/>
    <n v="10.84"/>
    <n v="0.24"/>
    <n v="11.08"/>
    <n v="97.83"/>
    <n v="19.22"/>
    <x v="29"/>
    <n v="25.56"/>
    <x v="0"/>
    <n v="0.19223826714801442"/>
  </r>
  <r>
    <x v="0"/>
    <x v="2"/>
    <n v="2.13"/>
    <n v="7.29"/>
    <x v="529"/>
    <n v="10.84"/>
    <n v="0.26"/>
    <n v="11.1"/>
    <n v="97.66"/>
    <n v="19.190000000000001"/>
    <x v="29"/>
    <n v="25.56"/>
    <x v="0"/>
    <n v="0.19189189189189187"/>
  </r>
  <r>
    <x v="0"/>
    <x v="3"/>
    <n v="0"/>
    <n v="0"/>
    <x v="0"/>
    <n v="6.62"/>
    <n v="1.51"/>
    <n v="8.1300000000000008"/>
    <n v="81.430000000000007"/>
    <n v="0"/>
    <x v="29"/>
    <n v="0"/>
    <x v="0"/>
    <n v="0"/>
  </r>
  <r>
    <x v="0"/>
    <x v="5"/>
    <n v="0"/>
    <n v="0"/>
    <x v="0"/>
    <n v="10.84"/>
    <n v="0.24"/>
    <n v="11.08"/>
    <n v="97.83"/>
    <n v="0"/>
    <x v="29"/>
    <n v="0"/>
    <x v="0"/>
    <n v="0"/>
  </r>
  <r>
    <x v="0"/>
    <x v="7"/>
    <n v="0"/>
    <n v="0"/>
    <x v="0"/>
    <n v="6.62"/>
    <n v="1.38"/>
    <n v="8"/>
    <n v="82.75"/>
    <n v="0"/>
    <x v="29"/>
    <n v="0"/>
    <x v="0"/>
    <n v="0"/>
  </r>
  <r>
    <x v="1"/>
    <x v="9"/>
    <n v="9.1666666669999994"/>
    <n v="4.0999999999999996"/>
    <x v="530"/>
    <n v="6.41"/>
    <n v="1.68"/>
    <n v="8.09"/>
    <n v="79.23"/>
    <n v="113.31"/>
    <x v="29"/>
    <n v="110.000000004"/>
    <x v="1"/>
    <n v="1.1330861145859086"/>
  </r>
  <r>
    <x v="1"/>
    <x v="12"/>
    <n v="2.23"/>
    <n v="3.24"/>
    <x v="531"/>
    <n v="5.63"/>
    <n v="2.48"/>
    <n v="8.11"/>
    <n v="69.42"/>
    <n v="27.5"/>
    <x v="29"/>
    <n v="26.76"/>
    <x v="1"/>
    <n v="0.27496917385943281"/>
  </r>
  <r>
    <x v="1"/>
    <x v="13"/>
    <n v="1.3"/>
    <n v="2.2400000000000002"/>
    <x v="532"/>
    <n v="5.61"/>
    <n v="2.5"/>
    <n v="8.11"/>
    <n v="69.17"/>
    <n v="16.03"/>
    <x v="29"/>
    <n v="15.6"/>
    <x v="1"/>
    <n v="0.16029593094944514"/>
  </r>
  <r>
    <x v="2"/>
    <x v="14"/>
    <n v="7.26"/>
    <n v="4.91"/>
    <x v="533"/>
    <n v="0"/>
    <n v="7.63"/>
    <n v="7.63"/>
    <n v="0"/>
    <n v="95.15"/>
    <x v="29"/>
    <n v="87.11999999999999"/>
    <x v="2"/>
    <n v="0.95150720838794234"/>
  </r>
  <r>
    <x v="2"/>
    <x v="16"/>
    <n v="2.8933333330000002"/>
    <n v="7.94"/>
    <x v="534"/>
    <n v="10.4"/>
    <n v="0.52"/>
    <n v="10.92"/>
    <n v="95.24"/>
    <n v="26.5"/>
    <x v="29"/>
    <n v="34.719999995999999"/>
    <x v="4"/>
    <n v="0.26495726492673993"/>
  </r>
  <r>
    <x v="2"/>
    <x v="17"/>
    <n v="0.96"/>
    <n v="5.43"/>
    <x v="535"/>
    <n v="2.88"/>
    <n v="8.58"/>
    <n v="11.46"/>
    <n v="25.13"/>
    <n v="8.3800000000000008"/>
    <x v="29"/>
    <n v="11.52"/>
    <x v="3"/>
    <n v="8.3769633507853394E-2"/>
  </r>
  <r>
    <x v="2"/>
    <x v="18"/>
    <n v="0.5"/>
    <n v="0.83"/>
    <x v="536"/>
    <n v="8.41"/>
    <n v="0.65"/>
    <n v="9.06"/>
    <n v="92.83"/>
    <n v="5.52"/>
    <x v="29"/>
    <n v="6"/>
    <x v="3"/>
    <n v="5.518763796909492E-2"/>
  </r>
  <r>
    <x v="2"/>
    <x v="19"/>
    <n v="0"/>
    <n v="0"/>
    <x v="0"/>
    <n v="0"/>
    <n v="0"/>
    <n v="0"/>
    <n v="0"/>
    <n v="0"/>
    <x v="29"/>
    <n v="0"/>
    <x v="2"/>
    <n v="0"/>
  </r>
  <r>
    <x v="2"/>
    <x v="20"/>
    <n v="1.9866666669999999"/>
    <n v="3.49"/>
    <x v="537"/>
    <n v="8.32"/>
    <n v="2"/>
    <n v="10.32"/>
    <n v="80.62"/>
    <n v="19.25"/>
    <x v="29"/>
    <n v="23.840000003999997"/>
    <x v="5"/>
    <n v="0.19250645998062013"/>
  </r>
  <r>
    <x v="2"/>
    <x v="21"/>
    <n v="9.91"/>
    <n v="6.04"/>
    <x v="538"/>
    <n v="10.16"/>
    <n v="1.02"/>
    <n v="11.18"/>
    <n v="90.88"/>
    <n v="88.64"/>
    <x v="29"/>
    <n v="118.92"/>
    <x v="2"/>
    <n v="0.88640429338103766"/>
  </r>
  <r>
    <x v="2"/>
    <x v="22"/>
    <n v="6"/>
    <n v="8.91"/>
    <x v="539"/>
    <n v="9.56"/>
    <n v="0.32"/>
    <n v="9.8800000000000008"/>
    <n v="96.76"/>
    <n v="60.73"/>
    <x v="29"/>
    <n v="72"/>
    <x v="4"/>
    <n v="0.60728744939271251"/>
  </r>
  <r>
    <x v="2"/>
    <x v="24"/>
    <n v="4.8866666670000001"/>
    <n v="4.0999999999999996"/>
    <x v="540"/>
    <n v="9.48"/>
    <n v="0.57999999999999996"/>
    <n v="10.06"/>
    <n v="94.23"/>
    <n v="48.58"/>
    <x v="29"/>
    <n v="58.640000004000001"/>
    <x v="5"/>
    <n v="0.48575215377733599"/>
  </r>
  <r>
    <x v="2"/>
    <x v="25"/>
    <n v="14.02333333"/>
    <n v="8.34"/>
    <x v="541"/>
    <n v="9.64"/>
    <n v="0.91"/>
    <n v="10.55"/>
    <n v="91.37"/>
    <n v="132.91999999999999"/>
    <x v="29"/>
    <n v="168.27999996"/>
    <x v="2"/>
    <n v="1.329225908056872"/>
  </r>
  <r>
    <x v="2"/>
    <x v="27"/>
    <n v="6.66"/>
    <n v="4.7300000000000004"/>
    <x v="542"/>
    <n v="9.82"/>
    <n v="0.28999999999999998"/>
    <n v="10.11"/>
    <n v="97.13"/>
    <n v="65.88"/>
    <x v="29"/>
    <n v="79.92"/>
    <x v="5"/>
    <n v="0.65875370919881315"/>
  </r>
  <r>
    <x v="2"/>
    <x v="30"/>
    <n v="0"/>
    <n v="0"/>
    <x v="0"/>
    <n v="0"/>
    <n v="0"/>
    <n v="0"/>
    <n v="0"/>
    <n v="0"/>
    <x v="29"/>
    <n v="0"/>
    <x v="5"/>
    <n v="0"/>
  </r>
  <r>
    <x v="2"/>
    <x v="31"/>
    <n v="11.41666667"/>
    <n v="7.48"/>
    <x v="543"/>
    <n v="10.58"/>
    <n v="0.69"/>
    <n v="11.27"/>
    <n v="93.88"/>
    <n v="101.3"/>
    <x v="29"/>
    <n v="137.00000003999997"/>
    <x v="2"/>
    <n v="1.0130139015084294"/>
  </r>
  <r>
    <x v="2"/>
    <x v="32"/>
    <n v="2"/>
    <n v="4.8899999999999997"/>
    <x v="544"/>
    <n v="9.7200000000000006"/>
    <n v="1.73"/>
    <n v="11.45"/>
    <n v="84.89"/>
    <n v="17.47"/>
    <x v="29"/>
    <n v="24"/>
    <x v="3"/>
    <n v="0.17467248908296945"/>
  </r>
  <r>
    <x v="2"/>
    <x v="33"/>
    <n v="0"/>
    <n v="0"/>
    <x v="0"/>
    <n v="7.52"/>
    <n v="0.86"/>
    <n v="8.3800000000000008"/>
    <n v="89.74"/>
    <n v="0"/>
    <x v="29"/>
    <n v="0"/>
    <x v="3"/>
    <n v="0"/>
  </r>
  <r>
    <x v="2"/>
    <x v="34"/>
    <n v="5.5"/>
    <n v="6.91"/>
    <x v="545"/>
    <n v="9.17"/>
    <n v="1.72"/>
    <n v="10.89"/>
    <n v="84.21"/>
    <n v="50.51"/>
    <x v="29"/>
    <n v="66"/>
    <x v="4"/>
    <n v="0.50505050505050497"/>
  </r>
  <r>
    <x v="2"/>
    <x v="38"/>
    <n v="20"/>
    <n v="9.7200000000000006"/>
    <x v="546"/>
    <n v="9.33"/>
    <n v="0.95"/>
    <n v="10.28"/>
    <n v="90.76"/>
    <n v="194.55"/>
    <x v="29"/>
    <n v="240"/>
    <x v="2"/>
    <n v="1.945525291828794"/>
  </r>
  <r>
    <x v="2"/>
    <x v="39"/>
    <n v="9.1666666669999994"/>
    <n v="6.39"/>
    <x v="547"/>
    <n v="8.7899999999999991"/>
    <n v="0.03"/>
    <n v="8.82"/>
    <n v="99.66"/>
    <n v="103.93"/>
    <x v="29"/>
    <n v="110.000000004"/>
    <x v="2"/>
    <n v="1.0393046107709749"/>
  </r>
  <r>
    <x v="2"/>
    <x v="40"/>
    <n v="0"/>
    <n v="0"/>
    <x v="0"/>
    <n v="8.01"/>
    <n v="0.3"/>
    <n v="8.31"/>
    <n v="96.39"/>
    <n v="0"/>
    <x v="29"/>
    <n v="0"/>
    <x v="3"/>
    <n v="0"/>
  </r>
  <r>
    <x v="2"/>
    <x v="41"/>
    <n v="0.33"/>
    <n v="0.4"/>
    <x v="548"/>
    <n v="7.26"/>
    <n v="0.88"/>
    <n v="8.14"/>
    <n v="89.19"/>
    <n v="4.05"/>
    <x v="29"/>
    <n v="3.96"/>
    <x v="5"/>
    <n v="4.0540540540540543E-2"/>
  </r>
  <r>
    <x v="2"/>
    <x v="42"/>
    <n v="14.33333333"/>
    <n v="9.5500000000000007"/>
    <x v="549"/>
    <n v="10.91"/>
    <n v="0.34"/>
    <n v="11.25"/>
    <n v="96.98"/>
    <n v="127.41"/>
    <x v="29"/>
    <n v="171.99999996000003"/>
    <x v="2"/>
    <n v="1.2740740737777778"/>
  </r>
  <r>
    <x v="2"/>
    <x v="44"/>
    <n v="0"/>
    <n v="0"/>
    <x v="0"/>
    <n v="4.5"/>
    <n v="4.07"/>
    <n v="8.57"/>
    <n v="52.51"/>
    <n v="0"/>
    <x v="29"/>
    <n v="0"/>
    <x v="3"/>
    <n v="0"/>
  </r>
  <r>
    <x v="2"/>
    <x v="45"/>
    <n v="1.75"/>
    <n v="1.83"/>
    <x v="550"/>
    <n v="6.43"/>
    <n v="1.71"/>
    <n v="8.14"/>
    <n v="78.989999999999995"/>
    <n v="21.5"/>
    <x v="29"/>
    <n v="21"/>
    <x v="4"/>
    <n v="0.21498771498771496"/>
  </r>
  <r>
    <x v="2"/>
    <x v="46"/>
    <n v="1.1100000000000001"/>
    <n v="3.27"/>
    <x v="551"/>
    <n v="8.0500000000000007"/>
    <n v="0.56999999999999995"/>
    <n v="8.6199999999999992"/>
    <n v="93.39"/>
    <n v="12.88"/>
    <x v="29"/>
    <n v="13.320000000000002"/>
    <x v="4"/>
    <n v="0.12877030162412995"/>
  </r>
  <r>
    <x v="2"/>
    <x v="47"/>
    <n v="6.1633333329999997"/>
    <n v="4.12"/>
    <x v="552"/>
    <n v="7.8"/>
    <n v="0.26"/>
    <n v="8.06"/>
    <n v="96.77"/>
    <n v="76.47"/>
    <x v="29"/>
    <n v="73.959999995999993"/>
    <x v="5"/>
    <n v="0.76468155496277912"/>
  </r>
  <r>
    <x v="2"/>
    <x v="48"/>
    <n v="0"/>
    <n v="0"/>
    <x v="0"/>
    <n v="0"/>
    <n v="0"/>
    <n v="0"/>
    <n v="0"/>
    <n v="0"/>
    <x v="29"/>
    <n v="0"/>
    <x v="6"/>
    <n v="0"/>
  </r>
  <r>
    <x v="2"/>
    <x v="49"/>
    <n v="2.5"/>
    <n v="3.58"/>
    <x v="553"/>
    <n v="7.66"/>
    <n v="0.41"/>
    <n v="8.07"/>
    <n v="94.92"/>
    <n v="30.98"/>
    <x v="29"/>
    <n v="30"/>
    <x v="3"/>
    <n v="0.3097893432465923"/>
  </r>
  <r>
    <x v="2"/>
    <x v="50"/>
    <n v="0"/>
    <n v="0"/>
    <x v="0"/>
    <n v="9.5299999999999994"/>
    <n v="0.35"/>
    <n v="9.8800000000000008"/>
    <n v="96.46"/>
    <n v="0"/>
    <x v="29"/>
    <n v="0"/>
    <x v="4"/>
    <n v="0"/>
  </r>
  <r>
    <x v="0"/>
    <x v="0"/>
    <n v="5.85"/>
    <n v="9.4700000000000006"/>
    <x v="554"/>
    <n v="9.19"/>
    <n v="0.83"/>
    <n v="10.02"/>
    <n v="91.72"/>
    <n v="58.38"/>
    <x v="30"/>
    <n v="70.2"/>
    <x v="0"/>
    <n v="0.58383233532934131"/>
  </r>
  <r>
    <x v="0"/>
    <x v="3"/>
    <n v="0"/>
    <n v="0"/>
    <x v="0"/>
    <n v="5.58"/>
    <n v="0.4"/>
    <n v="5.98"/>
    <n v="93.31"/>
    <n v="0"/>
    <x v="30"/>
    <n v="0"/>
    <x v="0"/>
    <n v="0"/>
  </r>
  <r>
    <x v="0"/>
    <x v="7"/>
    <n v="0"/>
    <n v="0"/>
    <x v="0"/>
    <n v="9.19"/>
    <n v="0.84"/>
    <n v="10.029999999999999"/>
    <n v="91.63"/>
    <n v="0"/>
    <x v="30"/>
    <n v="0"/>
    <x v="0"/>
    <n v="0"/>
  </r>
  <r>
    <x v="1"/>
    <x v="10"/>
    <n v="12.16666667"/>
    <n v="7.76"/>
    <x v="555"/>
    <n v="8.76"/>
    <n v="2.33"/>
    <n v="11.09"/>
    <n v="78.989999999999995"/>
    <n v="109.71"/>
    <x v="30"/>
    <n v="146.00000003999997"/>
    <x v="1"/>
    <n v="1.0970844607754733"/>
  </r>
  <r>
    <x v="2"/>
    <x v="14"/>
    <n v="5.25"/>
    <n v="4.8899999999999997"/>
    <x v="556"/>
    <n v="6.67"/>
    <n v="3.04"/>
    <n v="9.7100000000000009"/>
    <n v="68.69"/>
    <n v="54.07"/>
    <x v="30"/>
    <n v="63"/>
    <x v="2"/>
    <n v="0.54067971163748707"/>
  </r>
  <r>
    <x v="2"/>
    <x v="17"/>
    <n v="0.83333333300000001"/>
    <n v="1.5"/>
    <x v="557"/>
    <n v="1.31"/>
    <n v="4.3600000000000003"/>
    <n v="5.67"/>
    <n v="23.1"/>
    <n v="14.7"/>
    <x v="30"/>
    <n v="9.9999999959999997"/>
    <x v="3"/>
    <n v="0.14697236913580247"/>
  </r>
  <r>
    <x v="2"/>
    <x v="18"/>
    <n v="3.9166666669999999"/>
    <n v="2.39"/>
    <x v="558"/>
    <n v="7.7"/>
    <n v="0.94"/>
    <n v="8.64"/>
    <n v="89.12"/>
    <n v="45.33"/>
    <x v="30"/>
    <n v="47.000000004"/>
    <x v="3"/>
    <n v="0.45331790127314808"/>
  </r>
  <r>
    <x v="2"/>
    <x v="19"/>
    <n v="0"/>
    <n v="0"/>
    <x v="0"/>
    <n v="0"/>
    <n v="0"/>
    <n v="0"/>
    <n v="0"/>
    <n v="0"/>
    <x v="30"/>
    <n v="0"/>
    <x v="2"/>
    <n v="0"/>
  </r>
  <r>
    <x v="2"/>
    <x v="20"/>
    <n v="10.37"/>
    <n v="5.49"/>
    <x v="559"/>
    <n v="9.32"/>
    <n v="2.06"/>
    <n v="11.38"/>
    <n v="81.900000000000006"/>
    <n v="91.12"/>
    <x v="30"/>
    <n v="124.43999999999998"/>
    <x v="5"/>
    <n v="0.91124780316344456"/>
  </r>
  <r>
    <x v="2"/>
    <x v="21"/>
    <n v="14.16666667"/>
    <n v="8.41"/>
    <x v="560"/>
    <n v="8.25"/>
    <n v="1.24"/>
    <n v="9.49"/>
    <n v="86.93"/>
    <n v="149.28"/>
    <x v="30"/>
    <n v="170.00000003999997"/>
    <x v="2"/>
    <n v="1.4927994383561642"/>
  </r>
  <r>
    <x v="2"/>
    <x v="22"/>
    <n v="1.1666666670000001"/>
    <n v="2.2000000000000002"/>
    <x v="561"/>
    <n v="9.17"/>
    <n v="0.82"/>
    <n v="9.99"/>
    <n v="91.79"/>
    <n v="11.68"/>
    <x v="30"/>
    <n v="14.000000004"/>
    <x v="4"/>
    <n v="0.11678345015015015"/>
  </r>
  <r>
    <x v="2"/>
    <x v="23"/>
    <n v="0.8"/>
    <n v="6.88"/>
    <x v="562"/>
    <n v="3.41"/>
    <n v="5.73"/>
    <n v="9.14"/>
    <n v="37.31"/>
    <n v="8.75"/>
    <x v="30"/>
    <n v="9.6"/>
    <x v="3"/>
    <n v="8.7527352297592995E-2"/>
  </r>
  <r>
    <x v="2"/>
    <x v="24"/>
    <n v="7.7233333330000002"/>
    <n v="6.9"/>
    <x v="563"/>
    <n v="8.67"/>
    <n v="1.01"/>
    <n v="9.68"/>
    <n v="89.57"/>
    <n v="79.790000000000006"/>
    <x v="30"/>
    <n v="92.679999996000006"/>
    <x v="5"/>
    <n v="0.79786501373966945"/>
  </r>
  <r>
    <x v="2"/>
    <x v="26"/>
    <n v="1.5833333329999999"/>
    <n v="1.07"/>
    <x v="564"/>
    <n v="7.47"/>
    <n v="0.61"/>
    <n v="8.08"/>
    <n v="92.45"/>
    <n v="19.600000000000001"/>
    <x v="30"/>
    <n v="18.999999996"/>
    <x v="3"/>
    <n v="0.19595709566831682"/>
  </r>
  <r>
    <x v="2"/>
    <x v="29"/>
    <n v="12.48666667"/>
    <n v="7.99"/>
    <x v="565"/>
    <n v="6.83"/>
    <n v="2.4"/>
    <n v="9.23"/>
    <n v="74"/>
    <n v="135.28"/>
    <x v="30"/>
    <n v="149.84000004000001"/>
    <x v="5"/>
    <n v="1.3528349588299025"/>
  </r>
  <r>
    <x v="2"/>
    <x v="30"/>
    <n v="0"/>
    <n v="0"/>
    <x v="0"/>
    <n v="0"/>
    <n v="0"/>
    <n v="0"/>
    <n v="0"/>
    <n v="0"/>
    <x v="30"/>
    <n v="0"/>
    <x v="5"/>
    <n v="0"/>
  </r>
  <r>
    <x v="2"/>
    <x v="32"/>
    <n v="0.33333333300000001"/>
    <n v="4.97"/>
    <x v="566"/>
    <n v="5.23"/>
    <n v="3.94"/>
    <n v="9.17"/>
    <n v="57.03"/>
    <n v="3.64"/>
    <x v="30"/>
    <n v="3.9999999960000006"/>
    <x v="3"/>
    <n v="3.6350417993456924E-2"/>
  </r>
  <r>
    <x v="2"/>
    <x v="37"/>
    <n v="2.9166666669999999"/>
    <n v="7.94"/>
    <x v="567"/>
    <n v="7.2"/>
    <n v="0.78"/>
    <n v="7.98"/>
    <n v="90.23"/>
    <n v="36.549999999999997"/>
    <x v="30"/>
    <n v="35.000000004"/>
    <x v="4"/>
    <n v="0.36549707606516285"/>
  </r>
  <r>
    <x v="2"/>
    <x v="41"/>
    <n v="9.64"/>
    <n v="7.08"/>
    <x v="568"/>
    <n v="7.69"/>
    <n v="0.78"/>
    <n v="8.4700000000000006"/>
    <n v="90.79"/>
    <n v="113.81"/>
    <x v="30"/>
    <n v="115.68000000000002"/>
    <x v="5"/>
    <n v="1.1381345926800472"/>
  </r>
  <r>
    <x v="2"/>
    <x v="43"/>
    <n v="2.1666666669999999"/>
    <n v="6.19"/>
    <x v="569"/>
    <n v="6.6"/>
    <n v="1.51"/>
    <n v="8.11"/>
    <n v="81.38"/>
    <n v="26.72"/>
    <x v="30"/>
    <n v="26.000000003999997"/>
    <x v="3"/>
    <n v="0.2671598849568434"/>
  </r>
  <r>
    <x v="2"/>
    <x v="44"/>
    <n v="0"/>
    <n v="0"/>
    <x v="0"/>
    <n v="5.75"/>
    <n v="2.14"/>
    <n v="7.89"/>
    <n v="72.88"/>
    <n v="0"/>
    <x v="30"/>
    <n v="0"/>
    <x v="3"/>
    <n v="0"/>
  </r>
  <r>
    <x v="2"/>
    <x v="48"/>
    <n v="0"/>
    <n v="0"/>
    <x v="0"/>
    <n v="0"/>
    <n v="0"/>
    <n v="0"/>
    <n v="0"/>
    <n v="0"/>
    <x v="30"/>
    <n v="0"/>
    <x v="6"/>
    <n v="0"/>
  </r>
  <r>
    <x v="2"/>
    <x v="49"/>
    <n v="0"/>
    <n v="0"/>
    <x v="0"/>
    <n v="6.92"/>
    <n v="1.18"/>
    <n v="8.1"/>
    <n v="85.43"/>
    <n v="0"/>
    <x v="30"/>
    <n v="0"/>
    <x v="3"/>
    <n v="0"/>
  </r>
  <r>
    <x v="2"/>
    <x v="50"/>
    <n v="3.3333333330000001"/>
    <n v="3"/>
    <x v="483"/>
    <n v="9.19"/>
    <n v="0.28000000000000003"/>
    <n v="9.4700000000000006"/>
    <n v="97.04"/>
    <n v="35.200000000000003"/>
    <x v="30"/>
    <n v="39.999999996"/>
    <x v="4"/>
    <n v="0.35198873632523758"/>
  </r>
  <r>
    <x v="0"/>
    <x v="0"/>
    <n v="0"/>
    <n v="0"/>
    <x v="0"/>
    <n v="8.9"/>
    <n v="1.1000000000000001"/>
    <n v="10"/>
    <n v="89"/>
    <n v="0"/>
    <x v="31"/>
    <n v="0"/>
    <x v="0"/>
    <n v="0"/>
  </r>
  <r>
    <x v="0"/>
    <x v="1"/>
    <n v="0"/>
    <n v="0"/>
    <x v="0"/>
    <n v="10.75"/>
    <n v="0.2"/>
    <n v="10.95"/>
    <n v="98.17"/>
    <n v="0"/>
    <x v="31"/>
    <n v="0"/>
    <x v="0"/>
    <n v="0"/>
  </r>
  <r>
    <x v="0"/>
    <x v="2"/>
    <n v="0"/>
    <n v="0"/>
    <x v="0"/>
    <n v="10.77"/>
    <n v="0.2"/>
    <n v="10.97"/>
    <n v="98.18"/>
    <n v="0"/>
    <x v="31"/>
    <n v="0"/>
    <x v="0"/>
    <n v="0"/>
  </r>
  <r>
    <x v="0"/>
    <x v="3"/>
    <n v="2.67"/>
    <n v="6.86"/>
    <x v="570"/>
    <n v="8.8800000000000008"/>
    <n v="1.1000000000000001"/>
    <n v="9.98"/>
    <n v="88.98"/>
    <n v="26.75"/>
    <x v="31"/>
    <n v="32.04"/>
    <x v="0"/>
    <n v="0.26753507014028055"/>
  </r>
  <r>
    <x v="0"/>
    <x v="5"/>
    <n v="0"/>
    <n v="0"/>
    <x v="0"/>
    <n v="9.48"/>
    <n v="0.2"/>
    <n v="9.68"/>
    <n v="97.93"/>
    <n v="0"/>
    <x v="31"/>
    <n v="0"/>
    <x v="0"/>
    <n v="0"/>
  </r>
  <r>
    <x v="0"/>
    <x v="7"/>
    <n v="2.67"/>
    <n v="6.86"/>
    <x v="570"/>
    <n v="6.98"/>
    <n v="1"/>
    <n v="7.98"/>
    <n v="87.47"/>
    <n v="33.46"/>
    <x v="31"/>
    <n v="32.04"/>
    <x v="0"/>
    <n v="0.33458646616541349"/>
  </r>
  <r>
    <x v="0"/>
    <x v="8"/>
    <n v="4.0833333329999997"/>
    <n v="4.82"/>
    <x v="571"/>
    <n v="8.9499999999999993"/>
    <n v="1.1000000000000001"/>
    <n v="10.050000000000001"/>
    <n v="89.05"/>
    <n v="40.630000000000003"/>
    <x v="31"/>
    <n v="48.999999996"/>
    <x v="0"/>
    <n v="0.40630182417910443"/>
  </r>
  <r>
    <x v="1"/>
    <x v="10"/>
    <n v="2.9166666669999999"/>
    <n v="1.63"/>
    <x v="572"/>
    <n v="8.1999999999999993"/>
    <n v="2.84"/>
    <n v="11.04"/>
    <n v="74.28"/>
    <n v="26.42"/>
    <x v="31"/>
    <n v="35.000000004"/>
    <x v="1"/>
    <n v="0.26419082128623189"/>
  </r>
  <r>
    <x v="1"/>
    <x v="11"/>
    <n v="0"/>
    <n v="0"/>
    <x v="0"/>
    <n v="3.63"/>
    <n v="4.58"/>
    <n v="8.2100000000000009"/>
    <n v="44.21"/>
    <n v="0"/>
    <x v="31"/>
    <n v="0"/>
    <x v="1"/>
    <n v="0"/>
  </r>
  <r>
    <x v="1"/>
    <x v="12"/>
    <n v="0"/>
    <n v="0"/>
    <x v="0"/>
    <n v="5.03"/>
    <n v="3.18"/>
    <n v="8.2100000000000009"/>
    <n v="61.27"/>
    <n v="0"/>
    <x v="31"/>
    <n v="0"/>
    <x v="1"/>
    <n v="0"/>
  </r>
  <r>
    <x v="1"/>
    <x v="13"/>
    <n v="0"/>
    <n v="0"/>
    <x v="0"/>
    <n v="5.01"/>
    <n v="3.19"/>
    <n v="8.1999999999999993"/>
    <n v="61.1"/>
    <n v="0"/>
    <x v="31"/>
    <n v="0"/>
    <x v="1"/>
    <n v="0"/>
  </r>
  <r>
    <x v="2"/>
    <x v="14"/>
    <n v="10.33333333"/>
    <n v="6.38"/>
    <x v="573"/>
    <n v="5.26"/>
    <n v="2.83"/>
    <n v="8.09"/>
    <n v="65.02"/>
    <n v="127.73"/>
    <x v="31"/>
    <n v="123.99999996000001"/>
    <x v="2"/>
    <n v="1.2772970741656366"/>
  </r>
  <r>
    <x v="2"/>
    <x v="16"/>
    <n v="1.17"/>
    <n v="1.62"/>
    <x v="574"/>
    <n v="6.74"/>
    <n v="1.66"/>
    <n v="8.4"/>
    <n v="80.239999999999995"/>
    <n v="13.93"/>
    <x v="31"/>
    <n v="14.039999999999997"/>
    <x v="4"/>
    <n v="0.13928571428571426"/>
  </r>
  <r>
    <x v="2"/>
    <x v="18"/>
    <n v="0.5"/>
    <n v="5.7"/>
    <x v="575"/>
    <n v="7.88"/>
    <n v="2.25"/>
    <n v="10.130000000000001"/>
    <n v="77.790000000000006"/>
    <n v="4.9400000000000004"/>
    <x v="31"/>
    <n v="6"/>
    <x v="3"/>
    <n v="4.9358341559723587E-2"/>
  </r>
  <r>
    <x v="2"/>
    <x v="19"/>
    <n v="7.6266666670000003"/>
    <n v="7.21"/>
    <x v="576"/>
    <n v="7.21"/>
    <n v="0.74"/>
    <n v="7.95"/>
    <n v="90.69"/>
    <n v="95.93"/>
    <x v="31"/>
    <n v="91.520000004000011"/>
    <x v="2"/>
    <n v="0.95932914050314466"/>
  </r>
  <r>
    <x v="2"/>
    <x v="23"/>
    <n v="2"/>
    <n v="2.25"/>
    <x v="577"/>
    <n v="3.56"/>
    <n v="7.12"/>
    <n v="10.68"/>
    <n v="33.33"/>
    <n v="18.73"/>
    <x v="31"/>
    <n v="24"/>
    <x v="3"/>
    <n v="0.18726591760299627"/>
  </r>
  <r>
    <x v="2"/>
    <x v="25"/>
    <n v="5.75"/>
    <n v="4.37"/>
    <x v="578"/>
    <n v="6.4"/>
    <n v="1.65"/>
    <n v="8.0500000000000007"/>
    <n v="79.5"/>
    <n v="71.430000000000007"/>
    <x v="31"/>
    <n v="69"/>
    <x v="2"/>
    <n v="0.71428571428571419"/>
  </r>
  <r>
    <x v="2"/>
    <x v="26"/>
    <n v="3.1666666669999999"/>
    <n v="3.28"/>
    <x v="579"/>
    <n v="7.01"/>
    <n v="1.0900000000000001"/>
    <n v="8.1"/>
    <n v="86.54"/>
    <n v="39.090000000000003"/>
    <x v="31"/>
    <n v="38.000000004"/>
    <x v="3"/>
    <n v="0.39094650209876541"/>
  </r>
  <r>
    <x v="2"/>
    <x v="30"/>
    <n v="0"/>
    <n v="0"/>
    <x v="0"/>
    <n v="0"/>
    <n v="0"/>
    <n v="0"/>
    <n v="0"/>
    <n v="0"/>
    <x v="31"/>
    <n v="0"/>
    <x v="5"/>
    <n v="0"/>
  </r>
  <r>
    <x v="2"/>
    <x v="33"/>
    <n v="1.0833333329999999"/>
    <n v="4.72"/>
    <x v="580"/>
    <n v="7.38"/>
    <n v="3.05"/>
    <n v="10.43"/>
    <n v="70.760000000000005"/>
    <n v="10.39"/>
    <x v="31"/>
    <n v="12.999999996"/>
    <x v="3"/>
    <n v="0.10386705014381591"/>
  </r>
  <r>
    <x v="2"/>
    <x v="34"/>
    <n v="6"/>
    <n v="9.83"/>
    <x v="581"/>
    <n v="8.16"/>
    <n v="2.1800000000000002"/>
    <n v="10.34"/>
    <n v="78.92"/>
    <n v="58.03"/>
    <x v="31"/>
    <n v="72"/>
    <x v="4"/>
    <n v="0.58027079303675044"/>
  </r>
  <r>
    <x v="2"/>
    <x v="35"/>
    <n v="15.91666667"/>
    <n v="5.48"/>
    <x v="582"/>
    <n v="6.63"/>
    <n v="1.44"/>
    <n v="8.07"/>
    <n v="82.16"/>
    <n v="197.23"/>
    <x v="31"/>
    <n v="191.00000003999997"/>
    <x v="2"/>
    <n v="1.9723254857496901"/>
  </r>
  <r>
    <x v="2"/>
    <x v="36"/>
    <n v="1.5"/>
    <n v="2.35"/>
    <x v="583"/>
    <n v="7.25"/>
    <n v="3.19"/>
    <n v="10.44"/>
    <n v="69.44"/>
    <n v="14.37"/>
    <x v="31"/>
    <n v="18"/>
    <x v="4"/>
    <n v="0.14367816091954025"/>
  </r>
  <r>
    <x v="2"/>
    <x v="37"/>
    <n v="2"/>
    <n v="2.04"/>
    <x v="584"/>
    <n v="9.35"/>
    <n v="1.0900000000000001"/>
    <n v="10.44"/>
    <n v="89.56"/>
    <n v="19.16"/>
    <x v="31"/>
    <n v="24"/>
    <x v="4"/>
    <n v="0.19157088122605365"/>
  </r>
  <r>
    <x v="2"/>
    <x v="38"/>
    <n v="13.08333333"/>
    <n v="7.32"/>
    <x v="585"/>
    <n v="7.84"/>
    <n v="2.35"/>
    <n v="10.19"/>
    <n v="76.94"/>
    <n v="128.38999999999999"/>
    <x v="31"/>
    <n v="156.99999996000003"/>
    <x v="2"/>
    <n v="1.2839385014720315"/>
  </r>
  <r>
    <x v="2"/>
    <x v="40"/>
    <n v="3.26"/>
    <n v="3.12"/>
    <x v="586"/>
    <n v="7.18"/>
    <n v="0.95"/>
    <n v="8.1300000000000008"/>
    <n v="88.31"/>
    <n v="40.1"/>
    <x v="31"/>
    <n v="39.119999999999997"/>
    <x v="3"/>
    <n v="0.40098400984009835"/>
  </r>
  <r>
    <x v="2"/>
    <x v="44"/>
    <n v="1"/>
    <n v="1.23"/>
    <x v="587"/>
    <n v="6.78"/>
    <n v="1.32"/>
    <n v="8.1"/>
    <n v="83.7"/>
    <n v="12.35"/>
    <x v="31"/>
    <n v="12"/>
    <x v="3"/>
    <n v="0.1234567901234568"/>
  </r>
  <r>
    <x v="2"/>
    <x v="45"/>
    <n v="0"/>
    <n v="0"/>
    <x v="0"/>
    <n v="6.38"/>
    <n v="1.95"/>
    <n v="8.33"/>
    <n v="76.59"/>
    <n v="0"/>
    <x v="31"/>
    <n v="0"/>
    <x v="4"/>
    <n v="0"/>
  </r>
  <r>
    <x v="2"/>
    <x v="46"/>
    <n v="1.26"/>
    <n v="1.73"/>
    <x v="588"/>
    <n v="6.16"/>
    <n v="2.21"/>
    <n v="8.3699999999999992"/>
    <n v="73.599999999999994"/>
    <n v="15.05"/>
    <x v="31"/>
    <n v="15.12"/>
    <x v="4"/>
    <n v="0.15053763440860216"/>
  </r>
  <r>
    <x v="2"/>
    <x v="47"/>
    <n v="12.926666669999999"/>
    <n v="7.85"/>
    <x v="589"/>
    <n v="7.88"/>
    <n v="0.14000000000000001"/>
    <n v="8.02"/>
    <n v="98.25"/>
    <n v="161.18"/>
    <x v="31"/>
    <n v="155.12000003999998"/>
    <x v="5"/>
    <n v="1.6118038241895263"/>
  </r>
  <r>
    <x v="2"/>
    <x v="48"/>
    <n v="0"/>
    <n v="0"/>
    <x v="0"/>
    <n v="0"/>
    <n v="0"/>
    <n v="0"/>
    <n v="0"/>
    <n v="0"/>
    <x v="31"/>
    <n v="0"/>
    <x v="6"/>
    <n v="0"/>
  </r>
  <r>
    <x v="2"/>
    <x v="49"/>
    <n v="0"/>
    <n v="0"/>
    <x v="0"/>
    <n v="7.24"/>
    <n v="0.84"/>
    <n v="8.08"/>
    <n v="89.6"/>
    <n v="0"/>
    <x v="31"/>
    <n v="0"/>
    <x v="3"/>
    <n v="0"/>
  </r>
  <r>
    <x v="2"/>
    <x v="50"/>
    <n v="5.6666666670000003"/>
    <n v="7.37"/>
    <x v="590"/>
    <n v="8.18"/>
    <n v="1.18"/>
    <n v="9.36"/>
    <n v="87.39"/>
    <n v="60.54"/>
    <x v="31"/>
    <n v="68.000000004"/>
    <x v="4"/>
    <n v="0.60541310544871807"/>
  </r>
  <r>
    <x v="0"/>
    <x v="0"/>
    <n v="3.11"/>
    <n v="3.57"/>
    <x v="591"/>
    <n v="7.12"/>
    <n v="0.92"/>
    <n v="8.0399999999999991"/>
    <n v="88.56"/>
    <n v="38.68"/>
    <x v="32"/>
    <n v="37.32"/>
    <x v="0"/>
    <n v="0.38681592039800999"/>
  </r>
  <r>
    <x v="0"/>
    <x v="1"/>
    <n v="0.67"/>
    <n v="4.83"/>
    <x v="592"/>
    <n v="7.95"/>
    <n v="0.11"/>
    <n v="8.06"/>
    <n v="98.64"/>
    <n v="8.31"/>
    <x v="32"/>
    <n v="8.0400000000000009"/>
    <x v="0"/>
    <n v="8.3126550868486346E-2"/>
  </r>
  <r>
    <x v="0"/>
    <x v="2"/>
    <n v="0.67"/>
    <n v="4.83"/>
    <x v="592"/>
    <n v="7.95"/>
    <n v="0.11"/>
    <n v="8.06"/>
    <n v="98.64"/>
    <n v="8.31"/>
    <x v="32"/>
    <n v="8.0400000000000009"/>
    <x v="0"/>
    <n v="8.3126550868486346E-2"/>
  </r>
  <r>
    <x v="0"/>
    <x v="3"/>
    <n v="2.99"/>
    <n v="6.22"/>
    <x v="593"/>
    <n v="7.1"/>
    <n v="0.91"/>
    <n v="8.01"/>
    <n v="88.64"/>
    <n v="37.33"/>
    <x v="32"/>
    <n v="35.880000000000003"/>
    <x v="0"/>
    <n v="0.37328339575530589"/>
  </r>
  <r>
    <x v="0"/>
    <x v="5"/>
    <n v="0.67"/>
    <n v="4.83"/>
    <x v="592"/>
    <n v="7.95"/>
    <n v="0.1"/>
    <n v="8.0500000000000007"/>
    <n v="98.76"/>
    <n v="8.32"/>
    <x v="32"/>
    <n v="8.0400000000000009"/>
    <x v="0"/>
    <n v="8.3229813664596267E-2"/>
  </r>
  <r>
    <x v="0"/>
    <x v="6"/>
    <n v="3.96"/>
    <n v="4.63"/>
    <x v="594"/>
    <n v="7.8"/>
    <n v="0.22"/>
    <n v="8.02"/>
    <n v="97.26"/>
    <n v="49.38"/>
    <x v="32"/>
    <n v="47.519999999999996"/>
    <x v="0"/>
    <n v="0.49376558603491272"/>
  </r>
  <r>
    <x v="0"/>
    <x v="7"/>
    <n v="0"/>
    <n v="0"/>
    <x v="0"/>
    <n v="7.08"/>
    <n v="0.92"/>
    <n v="8"/>
    <n v="88.5"/>
    <n v="0"/>
    <x v="32"/>
    <n v="0"/>
    <x v="0"/>
    <n v="0"/>
  </r>
  <r>
    <x v="0"/>
    <x v="8"/>
    <n v="3.01"/>
    <n v="6.27"/>
    <x v="595"/>
    <n v="7.28"/>
    <n v="0.91"/>
    <n v="8.19"/>
    <n v="88.89"/>
    <n v="36.75"/>
    <x v="32"/>
    <n v="36.119999999999997"/>
    <x v="0"/>
    <n v="0.36752136752136749"/>
  </r>
  <r>
    <x v="1"/>
    <x v="10"/>
    <n v="0"/>
    <n v="0"/>
    <x v="0"/>
    <n v="6.26"/>
    <n v="1.8"/>
    <n v="8.06"/>
    <n v="77.67"/>
    <n v="0"/>
    <x v="32"/>
    <n v="0"/>
    <x v="1"/>
    <n v="0"/>
  </r>
  <r>
    <x v="1"/>
    <x v="11"/>
    <n v="0"/>
    <n v="0"/>
    <x v="0"/>
    <n v="7.14"/>
    <n v="0.92"/>
    <n v="8.06"/>
    <n v="88.59"/>
    <n v="0"/>
    <x v="32"/>
    <n v="0"/>
    <x v="1"/>
    <n v="0"/>
  </r>
  <r>
    <x v="1"/>
    <x v="12"/>
    <n v="1.5"/>
    <n v="2.1"/>
    <x v="453"/>
    <n v="5.25"/>
    <n v="2.8"/>
    <n v="8.0500000000000007"/>
    <n v="65.22"/>
    <n v="18.63"/>
    <x v="32"/>
    <n v="18"/>
    <x v="1"/>
    <n v="0.18633540372670807"/>
  </r>
  <r>
    <x v="1"/>
    <x v="13"/>
    <n v="2"/>
    <n v="2.8"/>
    <x v="453"/>
    <n v="6.32"/>
    <n v="1.73"/>
    <n v="8.0500000000000007"/>
    <n v="78.510000000000005"/>
    <n v="24.84"/>
    <x v="32"/>
    <n v="24"/>
    <x v="1"/>
    <n v="0.24844720496894407"/>
  </r>
  <r>
    <x v="2"/>
    <x v="14"/>
    <n v="14.66666667"/>
    <n v="8.07"/>
    <x v="596"/>
    <n v="6.7"/>
    <n v="2.2599999999999998"/>
    <n v="8.9600000000000009"/>
    <n v="74.78"/>
    <n v="163.69"/>
    <x v="32"/>
    <n v="176.00000003999997"/>
    <x v="2"/>
    <n v="1.6369047622767856"/>
  </r>
  <r>
    <x v="2"/>
    <x v="15"/>
    <n v="1.9166666670000001"/>
    <n v="5.86"/>
    <x v="597"/>
    <n v="7.79"/>
    <n v="0.19"/>
    <n v="7.98"/>
    <n v="97.62"/>
    <n v="24.02"/>
    <x v="32"/>
    <n v="23.000000004"/>
    <x v="3"/>
    <n v="0.24018379285714286"/>
  </r>
  <r>
    <x v="2"/>
    <x v="16"/>
    <n v="6.1766666670000001"/>
    <n v="7.58"/>
    <x v="598"/>
    <n v="6.81"/>
    <n v="0.99"/>
    <n v="7.8"/>
    <n v="87.31"/>
    <n v="79.19"/>
    <x v="32"/>
    <n v="74.120000003999991"/>
    <x v="4"/>
    <n v="0.79188034192307699"/>
  </r>
  <r>
    <x v="2"/>
    <x v="18"/>
    <n v="3.5"/>
    <n v="3.91"/>
    <x v="599"/>
    <n v="6.33"/>
    <n v="1.65"/>
    <n v="7.98"/>
    <n v="79.319999999999993"/>
    <n v="43.86"/>
    <x v="32"/>
    <n v="42"/>
    <x v="3"/>
    <n v="0.43859649122807015"/>
  </r>
  <r>
    <x v="2"/>
    <x v="19"/>
    <n v="10.01"/>
    <n v="6.02"/>
    <x v="600"/>
    <n v="6.02"/>
    <n v="2.0299999999999998"/>
    <n v="8.0500000000000007"/>
    <n v="74.78"/>
    <n v="124.35"/>
    <x v="32"/>
    <n v="120.12"/>
    <x v="2"/>
    <n v="1.2434782608695651"/>
  </r>
  <r>
    <x v="2"/>
    <x v="21"/>
    <n v="7.62"/>
    <n v="6.68"/>
    <x v="601"/>
    <n v="6.68"/>
    <n v="1.17"/>
    <n v="7.85"/>
    <n v="85.1"/>
    <n v="97.07"/>
    <x v="32"/>
    <n v="91.44"/>
    <x v="2"/>
    <n v="0.97070063694267517"/>
  </r>
  <r>
    <x v="2"/>
    <x v="22"/>
    <n v="1.9166666670000001"/>
    <n v="4.41"/>
    <x v="602"/>
    <n v="7.21"/>
    <n v="0.57999999999999996"/>
    <n v="7.79"/>
    <n v="92.55"/>
    <n v="24.6"/>
    <x v="32"/>
    <n v="23.000000004"/>
    <x v="4"/>
    <n v="0.24604193414634148"/>
  </r>
  <r>
    <x v="2"/>
    <x v="23"/>
    <n v="8.3333332999999996E-2"/>
    <n v="0.01"/>
    <x v="603"/>
    <n v="2.62"/>
    <n v="5.35"/>
    <n v="7.97"/>
    <n v="32.869999999999997"/>
    <n v="1.05"/>
    <x v="32"/>
    <n v="0.999999996"/>
    <x v="3"/>
    <n v="1.0455876160602258E-2"/>
  </r>
  <r>
    <x v="2"/>
    <x v="26"/>
    <n v="0"/>
    <n v="0"/>
    <x v="0"/>
    <n v="7"/>
    <n v="0.94"/>
    <n v="7.94"/>
    <n v="88.16"/>
    <n v="0"/>
    <x v="32"/>
    <n v="0"/>
    <x v="3"/>
    <n v="0"/>
  </r>
  <r>
    <x v="2"/>
    <x v="30"/>
    <n v="0"/>
    <n v="0"/>
    <x v="0"/>
    <n v="0"/>
    <n v="0"/>
    <n v="0"/>
    <n v="0"/>
    <n v="0"/>
    <x v="32"/>
    <n v="0"/>
    <x v="5"/>
    <n v="0"/>
  </r>
  <r>
    <x v="2"/>
    <x v="31"/>
    <n v="7.67"/>
    <n v="8.11"/>
    <x v="604"/>
    <n v="6.89"/>
    <n v="1.27"/>
    <n v="8.16"/>
    <n v="84.44"/>
    <n v="94"/>
    <x v="32"/>
    <n v="92.039999999999992"/>
    <x v="2"/>
    <n v="0.93995098039215685"/>
  </r>
  <r>
    <x v="2"/>
    <x v="32"/>
    <n v="2.7266666669999999"/>
    <n v="2.36"/>
    <x v="605"/>
    <n v="7.4"/>
    <n v="2.59"/>
    <n v="9.99"/>
    <n v="74.069999999999993"/>
    <n v="27.29"/>
    <x v="32"/>
    <n v="32.720000003999999"/>
    <x v="3"/>
    <n v="0.27293960630630631"/>
  </r>
  <r>
    <x v="2"/>
    <x v="33"/>
    <n v="3.47"/>
    <n v="4.16"/>
    <x v="606"/>
    <n v="6.05"/>
    <n v="4.16"/>
    <n v="10.210000000000001"/>
    <n v="59.26"/>
    <n v="33.99"/>
    <x v="32"/>
    <n v="41.64"/>
    <x v="3"/>
    <n v="0.33986287952987265"/>
  </r>
  <r>
    <x v="2"/>
    <x v="35"/>
    <n v="14.08333333"/>
    <n v="7.98"/>
    <x v="607"/>
    <n v="6.83"/>
    <n v="1.37"/>
    <n v="8.1999999999999993"/>
    <n v="83.29"/>
    <n v="171.75"/>
    <x v="32"/>
    <n v="168.99999996000003"/>
    <x v="2"/>
    <n v="1.7174796743902441"/>
  </r>
  <r>
    <x v="2"/>
    <x v="36"/>
    <n v="1.9166666670000001"/>
    <n v="2.69"/>
    <x v="608"/>
    <n v="4.54"/>
    <n v="3.29"/>
    <n v="7.83"/>
    <n v="57.98"/>
    <n v="24.48"/>
    <x v="32"/>
    <n v="23.000000004"/>
    <x v="4"/>
    <n v="0.24478501494252874"/>
  </r>
  <r>
    <x v="2"/>
    <x v="39"/>
    <n v="7.8333333329999997"/>
    <n v="7.52"/>
    <x v="609"/>
    <n v="4.4400000000000004"/>
    <n v="3.73"/>
    <n v="8.17"/>
    <n v="54.35"/>
    <n v="95.88"/>
    <x v="32"/>
    <n v="93.999999996"/>
    <x v="2"/>
    <n v="0.95879232962056304"/>
  </r>
  <r>
    <x v="2"/>
    <x v="40"/>
    <n v="3.6966666670000001"/>
    <n v="5.97"/>
    <x v="610"/>
    <n v="4.63"/>
    <n v="3.37"/>
    <n v="8"/>
    <n v="57.88"/>
    <n v="46.21"/>
    <x v="32"/>
    <n v="44.360000004"/>
    <x v="3"/>
    <n v="0.46208333337500002"/>
  </r>
  <r>
    <x v="2"/>
    <x v="42"/>
    <n v="10.92333333"/>
    <n v="6.05"/>
    <x v="611"/>
    <n v="6.88"/>
    <n v="1.29"/>
    <n v="8.17"/>
    <n v="84.21"/>
    <n v="133.69999999999999"/>
    <x v="32"/>
    <n v="131.07999996000001"/>
    <x v="2"/>
    <n v="1.3370053035495717"/>
  </r>
  <r>
    <x v="2"/>
    <x v="43"/>
    <n v="5"/>
    <n v="5.54"/>
    <x v="612"/>
    <n v="5.82"/>
    <n v="2.15"/>
    <n v="7.97"/>
    <n v="73.02"/>
    <n v="62.74"/>
    <x v="32"/>
    <n v="60"/>
    <x v="3"/>
    <n v="0.62735257214554585"/>
  </r>
  <r>
    <x v="2"/>
    <x v="45"/>
    <n v="0"/>
    <n v="0"/>
    <x v="0"/>
    <n v="0"/>
    <n v="0"/>
    <n v="0"/>
    <n v="0"/>
    <n v="0"/>
    <x v="32"/>
    <n v="0"/>
    <x v="4"/>
    <n v="0"/>
  </r>
  <r>
    <x v="2"/>
    <x v="46"/>
    <n v="4.3"/>
    <n v="7"/>
    <x v="613"/>
    <n v="7.27"/>
    <n v="0.53"/>
    <n v="7.8"/>
    <n v="93.21"/>
    <n v="55.13"/>
    <x v="32"/>
    <n v="51.6"/>
    <x v="4"/>
    <n v="0.55128205128205132"/>
  </r>
  <r>
    <x v="2"/>
    <x v="48"/>
    <n v="0"/>
    <n v="0"/>
    <x v="0"/>
    <n v="0"/>
    <n v="0"/>
    <n v="0"/>
    <n v="0"/>
    <n v="0"/>
    <x v="32"/>
    <n v="0"/>
    <x v="6"/>
    <n v="0"/>
  </r>
  <r>
    <x v="2"/>
    <x v="49"/>
    <n v="4.3333333329999997"/>
    <n v="7.92"/>
    <x v="614"/>
    <n v="7.9"/>
    <n v="0.4"/>
    <n v="8.3000000000000007"/>
    <n v="95.18"/>
    <n v="52.21"/>
    <x v="32"/>
    <n v="51.999999996"/>
    <x v="3"/>
    <n v="0.52208835337349391"/>
  </r>
  <r>
    <x v="0"/>
    <x v="0"/>
    <n v="0"/>
    <n v="0"/>
    <x v="0"/>
    <n v="5.85"/>
    <n v="2.15"/>
    <n v="8"/>
    <n v="73.13"/>
    <n v="0"/>
    <x v="33"/>
    <n v="0"/>
    <x v="0"/>
    <n v="0"/>
  </r>
  <r>
    <x v="0"/>
    <x v="1"/>
    <n v="0"/>
    <n v="0"/>
    <x v="0"/>
    <n v="0"/>
    <n v="0"/>
    <n v="0"/>
    <n v="0"/>
    <n v="0"/>
    <x v="33"/>
    <n v="0"/>
    <x v="0"/>
    <n v="0"/>
  </r>
  <r>
    <x v="0"/>
    <x v="2"/>
    <n v="0"/>
    <n v="0"/>
    <x v="0"/>
    <n v="7.52"/>
    <n v="0.47"/>
    <n v="7.99"/>
    <n v="94.12"/>
    <n v="0"/>
    <x v="33"/>
    <n v="0"/>
    <x v="0"/>
    <n v="0"/>
  </r>
  <r>
    <x v="0"/>
    <x v="3"/>
    <n v="0"/>
    <n v="0"/>
    <x v="0"/>
    <n v="0"/>
    <n v="0"/>
    <n v="0"/>
    <n v="0"/>
    <n v="0"/>
    <x v="33"/>
    <n v="0"/>
    <x v="0"/>
    <n v="0"/>
  </r>
  <r>
    <x v="0"/>
    <x v="4"/>
    <n v="0"/>
    <n v="0"/>
    <x v="0"/>
    <n v="0"/>
    <n v="0"/>
    <n v="0"/>
    <n v="0"/>
    <n v="0"/>
    <x v="33"/>
    <n v="0"/>
    <x v="0"/>
    <n v="0"/>
  </r>
  <r>
    <x v="0"/>
    <x v="5"/>
    <n v="0"/>
    <n v="0"/>
    <x v="0"/>
    <n v="0"/>
    <n v="0"/>
    <n v="0"/>
    <n v="0"/>
    <n v="0"/>
    <x v="33"/>
    <n v="0"/>
    <x v="0"/>
    <n v="0"/>
  </r>
  <r>
    <x v="0"/>
    <x v="6"/>
    <n v="0"/>
    <n v="0"/>
    <x v="0"/>
    <n v="7.53"/>
    <n v="0.45"/>
    <n v="7.98"/>
    <n v="94.36"/>
    <n v="0"/>
    <x v="33"/>
    <n v="0"/>
    <x v="0"/>
    <n v="0"/>
  </r>
  <r>
    <x v="0"/>
    <x v="7"/>
    <n v="0"/>
    <n v="0"/>
    <x v="0"/>
    <n v="0"/>
    <n v="0"/>
    <n v="0"/>
    <n v="0"/>
    <n v="0"/>
    <x v="33"/>
    <n v="0"/>
    <x v="0"/>
    <n v="0"/>
  </r>
  <r>
    <x v="0"/>
    <x v="8"/>
    <n v="0"/>
    <n v="0"/>
    <x v="0"/>
    <n v="5.89"/>
    <n v="2.15"/>
    <n v="8.0399999999999991"/>
    <n v="73.260000000000005"/>
    <n v="0"/>
    <x v="33"/>
    <n v="0"/>
    <x v="0"/>
    <n v="0"/>
  </r>
  <r>
    <x v="1"/>
    <x v="9"/>
    <n v="0"/>
    <n v="0"/>
    <x v="0"/>
    <n v="0"/>
    <n v="0"/>
    <n v="0"/>
    <n v="0"/>
    <n v="0"/>
    <x v="33"/>
    <n v="0"/>
    <x v="1"/>
    <n v="0"/>
  </r>
  <r>
    <x v="1"/>
    <x v="10"/>
    <n v="0"/>
    <n v="0"/>
    <x v="0"/>
    <n v="3.99"/>
    <n v="4.09"/>
    <n v="8.08"/>
    <n v="49.38"/>
    <n v="0"/>
    <x v="33"/>
    <n v="0"/>
    <x v="1"/>
    <n v="0"/>
  </r>
  <r>
    <x v="1"/>
    <x v="11"/>
    <n v="0"/>
    <n v="0"/>
    <x v="0"/>
    <n v="0"/>
    <n v="0"/>
    <n v="0"/>
    <n v="0"/>
    <n v="0"/>
    <x v="33"/>
    <n v="0"/>
    <x v="1"/>
    <n v="0"/>
  </r>
  <r>
    <x v="1"/>
    <x v="12"/>
    <n v="0"/>
    <n v="0"/>
    <x v="0"/>
    <n v="6.63"/>
    <n v="1.47"/>
    <n v="8.1"/>
    <n v="81.849999999999994"/>
    <n v="0"/>
    <x v="33"/>
    <n v="0"/>
    <x v="1"/>
    <n v="0"/>
  </r>
  <r>
    <x v="1"/>
    <x v="13"/>
    <n v="0"/>
    <n v="0"/>
    <x v="0"/>
    <n v="0"/>
    <n v="0"/>
    <n v="0"/>
    <n v="0"/>
    <n v="0"/>
    <x v="33"/>
    <n v="0"/>
    <x v="1"/>
    <n v="0"/>
  </r>
  <r>
    <x v="2"/>
    <x v="15"/>
    <n v="0"/>
    <n v="0"/>
    <x v="0"/>
    <n v="0"/>
    <n v="0"/>
    <n v="0"/>
    <n v="0"/>
    <n v="0"/>
    <x v="33"/>
    <n v="0"/>
    <x v="3"/>
    <n v="0"/>
  </r>
  <r>
    <x v="2"/>
    <x v="16"/>
    <n v="0"/>
    <n v="0"/>
    <x v="0"/>
    <n v="0"/>
    <n v="0"/>
    <n v="0"/>
    <n v="0"/>
    <n v="0"/>
    <x v="33"/>
    <n v="0"/>
    <x v="4"/>
    <n v="0"/>
  </r>
  <r>
    <x v="2"/>
    <x v="17"/>
    <n v="0"/>
    <n v="0"/>
    <x v="0"/>
    <n v="0"/>
    <n v="0"/>
    <n v="0"/>
    <n v="0"/>
    <n v="0"/>
    <x v="33"/>
    <n v="0"/>
    <x v="3"/>
    <n v="0"/>
  </r>
  <r>
    <x v="2"/>
    <x v="18"/>
    <n v="3.21"/>
    <n v="2.41"/>
    <x v="615"/>
    <n v="5.59"/>
    <n v="2.4900000000000002"/>
    <n v="8.08"/>
    <n v="69.180000000000007"/>
    <n v="39.729999999999997"/>
    <x v="33"/>
    <n v="38.519999999999996"/>
    <x v="3"/>
    <n v="0.3972772277227723"/>
  </r>
  <r>
    <x v="2"/>
    <x v="19"/>
    <n v="0"/>
    <n v="0"/>
    <x v="0"/>
    <n v="0"/>
    <n v="0"/>
    <n v="0"/>
    <n v="0"/>
    <n v="0"/>
    <x v="33"/>
    <n v="0"/>
    <x v="2"/>
    <n v="0"/>
  </r>
  <r>
    <x v="2"/>
    <x v="21"/>
    <n v="6.8333333329999997"/>
    <n v="2.91"/>
    <x v="616"/>
    <n v="6.28"/>
    <n v="1.49"/>
    <n v="7.77"/>
    <n v="80.819999999999993"/>
    <n v="87.95"/>
    <x v="33"/>
    <n v="81.999999996"/>
    <x v="2"/>
    <n v="0.87945087940797939"/>
  </r>
  <r>
    <x v="2"/>
    <x v="22"/>
    <n v="0"/>
    <n v="0"/>
    <x v="0"/>
    <n v="0"/>
    <n v="0"/>
    <n v="0"/>
    <n v="0"/>
    <n v="0"/>
    <x v="33"/>
    <n v="0"/>
    <x v="4"/>
    <n v="0"/>
  </r>
  <r>
    <x v="2"/>
    <x v="23"/>
    <n v="4.2966666670000002"/>
    <n v="3.5"/>
    <x v="617"/>
    <n v="5.65"/>
    <n v="2.41"/>
    <n v="8.06"/>
    <n v="70.099999999999994"/>
    <n v="53.31"/>
    <x v="33"/>
    <n v="51.560000004000003"/>
    <x v="3"/>
    <n v="0.53308519441687341"/>
  </r>
  <r>
    <x v="2"/>
    <x v="24"/>
    <n v="6.11"/>
    <n v="4.32"/>
    <x v="618"/>
    <n v="5.23"/>
    <n v="2.83"/>
    <n v="8.06"/>
    <n v="64.89"/>
    <n v="75.81"/>
    <x v="33"/>
    <n v="73.320000000000007"/>
    <x v="5"/>
    <n v="0.75806451612903225"/>
  </r>
  <r>
    <x v="2"/>
    <x v="25"/>
    <n v="8.5833333330000006"/>
    <n v="4.91"/>
    <x v="619"/>
    <n v="5.96"/>
    <n v="2.11"/>
    <n v="8.07"/>
    <n v="73.849999999999994"/>
    <n v="106.36"/>
    <x v="33"/>
    <n v="102.999999996"/>
    <x v="2"/>
    <n v="1.0636100784386617"/>
  </r>
  <r>
    <x v="2"/>
    <x v="26"/>
    <n v="2.5"/>
    <n v="3.4"/>
    <x v="620"/>
    <n v="8.92"/>
    <n v="0.13"/>
    <n v="9.0500000000000007"/>
    <n v="98.56"/>
    <n v="27.62"/>
    <x v="33"/>
    <n v="30"/>
    <x v="3"/>
    <n v="0.27624309392265189"/>
  </r>
  <r>
    <x v="2"/>
    <x v="27"/>
    <n v="6.54"/>
    <n v="4.13"/>
    <x v="621"/>
    <n v="5.67"/>
    <n v="2.4"/>
    <n v="8.07"/>
    <n v="70.260000000000005"/>
    <n v="81.040000000000006"/>
    <x v="33"/>
    <n v="78.47999999999999"/>
    <x v="5"/>
    <n v="0.81040892193308545"/>
  </r>
  <r>
    <x v="2"/>
    <x v="30"/>
    <n v="0"/>
    <n v="0"/>
    <x v="0"/>
    <n v="0"/>
    <n v="0"/>
    <n v="0"/>
    <n v="0"/>
    <n v="0"/>
    <x v="33"/>
    <n v="0"/>
    <x v="5"/>
    <n v="0"/>
  </r>
  <r>
    <x v="2"/>
    <x v="31"/>
    <n v="8.7200000000000006"/>
    <n v="6.16"/>
    <x v="622"/>
    <n v="6.23"/>
    <n v="1.84"/>
    <n v="8.07"/>
    <n v="77.2"/>
    <n v="108.05"/>
    <x v="33"/>
    <n v="104.64000000000001"/>
    <x v="2"/>
    <n v="1.080545229244114"/>
  </r>
  <r>
    <x v="2"/>
    <x v="32"/>
    <n v="0"/>
    <n v="0"/>
    <x v="0"/>
    <n v="0"/>
    <n v="0"/>
    <n v="0"/>
    <n v="0"/>
    <n v="0"/>
    <x v="33"/>
    <n v="0"/>
    <x v="3"/>
    <n v="0"/>
  </r>
  <r>
    <x v="2"/>
    <x v="34"/>
    <n v="0"/>
    <n v="0"/>
    <x v="0"/>
    <n v="0"/>
    <n v="0"/>
    <n v="0"/>
    <n v="0"/>
    <n v="0"/>
    <x v="33"/>
    <n v="0"/>
    <x v="4"/>
    <n v="0"/>
  </r>
  <r>
    <x v="2"/>
    <x v="35"/>
    <n v="0"/>
    <n v="0"/>
    <x v="0"/>
    <n v="0"/>
    <n v="0"/>
    <n v="0"/>
    <n v="0"/>
    <n v="0"/>
    <x v="33"/>
    <n v="0"/>
    <x v="2"/>
    <n v="0"/>
  </r>
  <r>
    <x v="2"/>
    <x v="36"/>
    <n v="0"/>
    <n v="0"/>
    <x v="0"/>
    <n v="7.06"/>
    <n v="1.03"/>
    <n v="8.09"/>
    <n v="87.27"/>
    <n v="0"/>
    <x v="33"/>
    <n v="0"/>
    <x v="4"/>
    <n v="0"/>
  </r>
  <r>
    <x v="2"/>
    <x v="37"/>
    <n v="0"/>
    <n v="0"/>
    <x v="0"/>
    <n v="0"/>
    <n v="0"/>
    <n v="0"/>
    <n v="0"/>
    <n v="0"/>
    <x v="33"/>
    <n v="0"/>
    <x v="4"/>
    <n v="0"/>
  </r>
  <r>
    <x v="2"/>
    <x v="41"/>
    <n v="0"/>
    <n v="0"/>
    <x v="0"/>
    <n v="0"/>
    <n v="0"/>
    <n v="0"/>
    <n v="0"/>
    <n v="0"/>
    <x v="33"/>
    <n v="0"/>
    <x v="5"/>
    <n v="0"/>
  </r>
  <r>
    <x v="2"/>
    <x v="43"/>
    <n v="5.9166666670000003"/>
    <n v="3"/>
    <x v="623"/>
    <n v="5.2"/>
    <n v="2.87"/>
    <n v="8.07"/>
    <n v="64.44"/>
    <n v="73.319999999999993"/>
    <x v="33"/>
    <n v="71.000000004"/>
    <x v="3"/>
    <n v="0.73316811239157376"/>
  </r>
  <r>
    <x v="2"/>
    <x v="44"/>
    <n v="0"/>
    <n v="0"/>
    <x v="0"/>
    <n v="0"/>
    <n v="0"/>
    <n v="0"/>
    <n v="0"/>
    <n v="0"/>
    <x v="33"/>
    <n v="0"/>
    <x v="3"/>
    <n v="0"/>
  </r>
  <r>
    <x v="2"/>
    <x v="45"/>
    <n v="2.8333333330000001"/>
    <n v="3.33"/>
    <x v="624"/>
    <n v="3.33"/>
    <n v="4.74"/>
    <n v="8.07"/>
    <n v="41.26"/>
    <n v="35.11"/>
    <x v="33"/>
    <n v="33.999999996"/>
    <x v="4"/>
    <n v="0.35109458897149937"/>
  </r>
  <r>
    <x v="2"/>
    <x v="46"/>
    <n v="0"/>
    <n v="0"/>
    <x v="0"/>
    <n v="0"/>
    <n v="0"/>
    <n v="0"/>
    <n v="0"/>
    <n v="0"/>
    <x v="33"/>
    <n v="0"/>
    <x v="4"/>
    <n v="0"/>
  </r>
  <r>
    <x v="2"/>
    <x v="47"/>
    <n v="13.41666667"/>
    <n v="6.1"/>
    <x v="625"/>
    <n v="6.1"/>
    <n v="1.98"/>
    <n v="8.08"/>
    <n v="75.5"/>
    <n v="166.05"/>
    <x v="33"/>
    <n v="161.00000003999997"/>
    <x v="5"/>
    <n v="1.6604785482673268"/>
  </r>
  <r>
    <x v="2"/>
    <x v="48"/>
    <n v="0"/>
    <n v="0"/>
    <x v="0"/>
    <n v="0"/>
    <n v="0"/>
    <n v="0"/>
    <n v="0"/>
    <n v="0"/>
    <x v="33"/>
    <n v="0"/>
    <x v="6"/>
    <n v="0"/>
  </r>
  <r>
    <x v="2"/>
    <x v="49"/>
    <n v="3.2966666670000002"/>
    <n v="2.5"/>
    <x v="626"/>
    <n v="5.71"/>
    <n v="2.36"/>
    <n v="8.07"/>
    <n v="70.760000000000005"/>
    <n v="40.85"/>
    <x v="33"/>
    <n v="39.560000004000003"/>
    <x v="3"/>
    <n v="0.40850888066914498"/>
  </r>
  <r>
    <x v="2"/>
    <x v="50"/>
    <n v="0"/>
    <n v="0"/>
    <x v="0"/>
    <n v="7.68"/>
    <n v="0.28000000000000003"/>
    <n v="7.96"/>
    <n v="96.48"/>
    <n v="0"/>
    <x v="33"/>
    <n v="0"/>
    <x v="4"/>
    <n v="0"/>
  </r>
  <r>
    <x v="0"/>
    <x v="0"/>
    <n v="0"/>
    <n v="0"/>
    <x v="0"/>
    <n v="0"/>
    <n v="0"/>
    <n v="0"/>
    <n v="0"/>
    <n v="0"/>
    <x v="34"/>
    <n v="0"/>
    <x v="0"/>
    <n v="0"/>
  </r>
  <r>
    <x v="0"/>
    <x v="1"/>
    <n v="0"/>
    <n v="0"/>
    <x v="0"/>
    <n v="0"/>
    <n v="0"/>
    <n v="0"/>
    <n v="0"/>
    <n v="0"/>
    <x v="34"/>
    <n v="0"/>
    <x v="0"/>
    <n v="0"/>
  </r>
  <r>
    <x v="0"/>
    <x v="2"/>
    <n v="0"/>
    <n v="0"/>
    <x v="0"/>
    <n v="0"/>
    <n v="0"/>
    <n v="0"/>
    <n v="0"/>
    <n v="0"/>
    <x v="34"/>
    <n v="0"/>
    <x v="0"/>
    <n v="0"/>
  </r>
  <r>
    <x v="0"/>
    <x v="3"/>
    <n v="0"/>
    <n v="0"/>
    <x v="0"/>
    <n v="0"/>
    <n v="0"/>
    <n v="0"/>
    <n v="0"/>
    <n v="0"/>
    <x v="34"/>
    <n v="0"/>
    <x v="0"/>
    <n v="0"/>
  </r>
  <r>
    <x v="0"/>
    <x v="4"/>
    <n v="0"/>
    <n v="0"/>
    <x v="0"/>
    <n v="0"/>
    <n v="0"/>
    <n v="0"/>
    <n v="0"/>
    <n v="0"/>
    <x v="34"/>
    <n v="0"/>
    <x v="0"/>
    <n v="0"/>
  </r>
  <r>
    <x v="0"/>
    <x v="5"/>
    <n v="0"/>
    <n v="0"/>
    <x v="0"/>
    <n v="0"/>
    <n v="0"/>
    <n v="0"/>
    <n v="0"/>
    <n v="0"/>
    <x v="34"/>
    <n v="0"/>
    <x v="0"/>
    <n v="0"/>
  </r>
  <r>
    <x v="0"/>
    <x v="6"/>
    <n v="0"/>
    <n v="0"/>
    <x v="0"/>
    <n v="0"/>
    <n v="0"/>
    <n v="0"/>
    <n v="0"/>
    <n v="0"/>
    <x v="34"/>
    <n v="0"/>
    <x v="0"/>
    <n v="0"/>
  </r>
  <r>
    <x v="0"/>
    <x v="7"/>
    <n v="0"/>
    <n v="0"/>
    <x v="0"/>
    <n v="0"/>
    <n v="0"/>
    <n v="0"/>
    <n v="0"/>
    <n v="0"/>
    <x v="34"/>
    <n v="0"/>
    <x v="0"/>
    <n v="0"/>
  </r>
  <r>
    <x v="0"/>
    <x v="8"/>
    <n v="0"/>
    <n v="0"/>
    <x v="0"/>
    <n v="0"/>
    <n v="0"/>
    <n v="0"/>
    <n v="0"/>
    <n v="0"/>
    <x v="34"/>
    <n v="0"/>
    <x v="0"/>
    <n v="0"/>
  </r>
  <r>
    <x v="1"/>
    <x v="9"/>
    <n v="0"/>
    <n v="0"/>
    <x v="0"/>
    <n v="0"/>
    <n v="0"/>
    <n v="0"/>
    <n v="0"/>
    <n v="0"/>
    <x v="34"/>
    <n v="0"/>
    <x v="1"/>
    <n v="0"/>
  </r>
  <r>
    <x v="1"/>
    <x v="10"/>
    <n v="0"/>
    <n v="0"/>
    <x v="0"/>
    <n v="0"/>
    <n v="0"/>
    <n v="0"/>
    <n v="0"/>
    <n v="0"/>
    <x v="34"/>
    <n v="0"/>
    <x v="1"/>
    <n v="0"/>
  </r>
  <r>
    <x v="1"/>
    <x v="11"/>
    <n v="0"/>
    <n v="0"/>
    <x v="0"/>
    <n v="0"/>
    <n v="0"/>
    <n v="0"/>
    <n v="0"/>
    <n v="0"/>
    <x v="34"/>
    <n v="0"/>
    <x v="1"/>
    <n v="0"/>
  </r>
  <r>
    <x v="1"/>
    <x v="12"/>
    <n v="0"/>
    <n v="0"/>
    <x v="0"/>
    <n v="0"/>
    <n v="0"/>
    <n v="0"/>
    <n v="0"/>
    <n v="0"/>
    <x v="34"/>
    <n v="0"/>
    <x v="1"/>
    <n v="0"/>
  </r>
  <r>
    <x v="1"/>
    <x v="13"/>
    <n v="0"/>
    <n v="0"/>
    <x v="0"/>
    <n v="0"/>
    <n v="0"/>
    <n v="0"/>
    <n v="0"/>
    <n v="0"/>
    <x v="34"/>
    <n v="0"/>
    <x v="1"/>
    <n v="0"/>
  </r>
  <r>
    <x v="2"/>
    <x v="14"/>
    <n v="0"/>
    <n v="0"/>
    <x v="0"/>
    <n v="0"/>
    <n v="0"/>
    <n v="0"/>
    <n v="0"/>
    <n v="0"/>
    <x v="34"/>
    <n v="0"/>
    <x v="2"/>
    <n v="0"/>
  </r>
  <r>
    <x v="2"/>
    <x v="15"/>
    <n v="0"/>
    <n v="0"/>
    <x v="0"/>
    <n v="0"/>
    <n v="0"/>
    <n v="0"/>
    <n v="0"/>
    <n v="0"/>
    <x v="34"/>
    <n v="0"/>
    <x v="3"/>
    <n v="0"/>
  </r>
  <r>
    <x v="2"/>
    <x v="16"/>
    <n v="0"/>
    <n v="0"/>
    <x v="0"/>
    <n v="0"/>
    <n v="0"/>
    <n v="0"/>
    <n v="0"/>
    <n v="0"/>
    <x v="34"/>
    <n v="0"/>
    <x v="4"/>
    <n v="0"/>
  </r>
  <r>
    <x v="2"/>
    <x v="17"/>
    <n v="0"/>
    <n v="0"/>
    <x v="0"/>
    <n v="0"/>
    <n v="0"/>
    <n v="0"/>
    <n v="0"/>
    <n v="0"/>
    <x v="34"/>
    <n v="0"/>
    <x v="3"/>
    <n v="0"/>
  </r>
  <r>
    <x v="2"/>
    <x v="18"/>
    <n v="0"/>
    <n v="0"/>
    <x v="0"/>
    <n v="0"/>
    <n v="0"/>
    <n v="0"/>
    <n v="0"/>
    <n v="0"/>
    <x v="34"/>
    <n v="0"/>
    <x v="3"/>
    <n v="0"/>
  </r>
  <r>
    <x v="2"/>
    <x v="19"/>
    <n v="0"/>
    <n v="0"/>
    <x v="0"/>
    <n v="0"/>
    <n v="0"/>
    <n v="0"/>
    <n v="0"/>
    <n v="0"/>
    <x v="34"/>
    <n v="0"/>
    <x v="2"/>
    <n v="0"/>
  </r>
  <r>
    <x v="2"/>
    <x v="20"/>
    <n v="0"/>
    <n v="0"/>
    <x v="0"/>
    <n v="0"/>
    <n v="0"/>
    <n v="0"/>
    <n v="0"/>
    <n v="0"/>
    <x v="34"/>
    <n v="0"/>
    <x v="5"/>
    <n v="0"/>
  </r>
  <r>
    <x v="2"/>
    <x v="21"/>
    <n v="0"/>
    <n v="0"/>
    <x v="0"/>
    <n v="0"/>
    <n v="0"/>
    <n v="0"/>
    <n v="0"/>
    <n v="0"/>
    <x v="34"/>
    <n v="0"/>
    <x v="2"/>
    <n v="0"/>
  </r>
  <r>
    <x v="2"/>
    <x v="22"/>
    <n v="0"/>
    <n v="0"/>
    <x v="0"/>
    <n v="0"/>
    <n v="0"/>
    <n v="0"/>
    <n v="0"/>
    <n v="0"/>
    <x v="34"/>
    <n v="0"/>
    <x v="4"/>
    <n v="0"/>
  </r>
  <r>
    <x v="2"/>
    <x v="23"/>
    <n v="0"/>
    <n v="0"/>
    <x v="0"/>
    <n v="0"/>
    <n v="0"/>
    <n v="0"/>
    <n v="0"/>
    <n v="0"/>
    <x v="34"/>
    <n v="0"/>
    <x v="3"/>
    <n v="0"/>
  </r>
  <r>
    <x v="2"/>
    <x v="24"/>
    <n v="0"/>
    <n v="0"/>
    <x v="0"/>
    <n v="0"/>
    <n v="0"/>
    <n v="0"/>
    <n v="0"/>
    <n v="0"/>
    <x v="34"/>
    <n v="0"/>
    <x v="5"/>
    <n v="0"/>
  </r>
  <r>
    <x v="2"/>
    <x v="25"/>
    <n v="0"/>
    <n v="0"/>
    <x v="0"/>
    <n v="0"/>
    <n v="0"/>
    <n v="0"/>
    <n v="0"/>
    <n v="0"/>
    <x v="34"/>
    <n v="0"/>
    <x v="2"/>
    <n v="0"/>
  </r>
  <r>
    <x v="2"/>
    <x v="26"/>
    <n v="0"/>
    <n v="0"/>
    <x v="0"/>
    <n v="0"/>
    <n v="0"/>
    <n v="0"/>
    <n v="0"/>
    <n v="0"/>
    <x v="34"/>
    <n v="0"/>
    <x v="3"/>
    <n v="0"/>
  </r>
  <r>
    <x v="2"/>
    <x v="27"/>
    <n v="0"/>
    <n v="0"/>
    <x v="0"/>
    <n v="0"/>
    <n v="0"/>
    <n v="0"/>
    <n v="0"/>
    <n v="0"/>
    <x v="34"/>
    <n v="0"/>
    <x v="5"/>
    <n v="0"/>
  </r>
  <r>
    <x v="2"/>
    <x v="29"/>
    <n v="0"/>
    <n v="0"/>
    <x v="0"/>
    <n v="0"/>
    <n v="0"/>
    <n v="0"/>
    <n v="0"/>
    <n v="0"/>
    <x v="34"/>
    <n v="0"/>
    <x v="5"/>
    <n v="0"/>
  </r>
  <r>
    <x v="2"/>
    <x v="30"/>
    <n v="0"/>
    <n v="0"/>
    <x v="0"/>
    <n v="0"/>
    <n v="0"/>
    <n v="0"/>
    <n v="0"/>
    <n v="0"/>
    <x v="34"/>
    <n v="0"/>
    <x v="5"/>
    <n v="0"/>
  </r>
  <r>
    <x v="2"/>
    <x v="31"/>
    <n v="0"/>
    <n v="0"/>
    <x v="0"/>
    <n v="0"/>
    <n v="0"/>
    <n v="0"/>
    <n v="0"/>
    <n v="0"/>
    <x v="34"/>
    <n v="0"/>
    <x v="2"/>
    <n v="0"/>
  </r>
  <r>
    <x v="2"/>
    <x v="32"/>
    <n v="0"/>
    <n v="0"/>
    <x v="0"/>
    <n v="0"/>
    <n v="0"/>
    <n v="0"/>
    <n v="0"/>
    <n v="0"/>
    <x v="34"/>
    <n v="0"/>
    <x v="3"/>
    <n v="0"/>
  </r>
  <r>
    <x v="2"/>
    <x v="33"/>
    <n v="0"/>
    <n v="0"/>
    <x v="0"/>
    <n v="0"/>
    <n v="0"/>
    <n v="0"/>
    <n v="0"/>
    <n v="0"/>
    <x v="34"/>
    <n v="0"/>
    <x v="3"/>
    <n v="0"/>
  </r>
  <r>
    <x v="2"/>
    <x v="34"/>
    <n v="0"/>
    <n v="0"/>
    <x v="0"/>
    <n v="0"/>
    <n v="0"/>
    <n v="0"/>
    <n v="0"/>
    <n v="0"/>
    <x v="34"/>
    <n v="0"/>
    <x v="4"/>
    <n v="0"/>
  </r>
  <r>
    <x v="2"/>
    <x v="35"/>
    <n v="0"/>
    <n v="0"/>
    <x v="0"/>
    <n v="0"/>
    <n v="0"/>
    <n v="0"/>
    <n v="0"/>
    <n v="0"/>
    <x v="34"/>
    <n v="0"/>
    <x v="2"/>
    <n v="0"/>
  </r>
  <r>
    <x v="2"/>
    <x v="36"/>
    <n v="0"/>
    <n v="0"/>
    <x v="0"/>
    <n v="0"/>
    <n v="0"/>
    <n v="0"/>
    <n v="0"/>
    <n v="0"/>
    <x v="34"/>
    <n v="0"/>
    <x v="4"/>
    <n v="0"/>
  </r>
  <r>
    <x v="2"/>
    <x v="37"/>
    <n v="0"/>
    <n v="0"/>
    <x v="0"/>
    <n v="0"/>
    <n v="0"/>
    <n v="0"/>
    <n v="0"/>
    <n v="0"/>
    <x v="34"/>
    <n v="0"/>
    <x v="4"/>
    <n v="0"/>
  </r>
  <r>
    <x v="2"/>
    <x v="38"/>
    <n v="0"/>
    <n v="0"/>
    <x v="0"/>
    <n v="0"/>
    <n v="0"/>
    <n v="0"/>
    <n v="0"/>
    <n v="0"/>
    <x v="34"/>
    <n v="0"/>
    <x v="2"/>
    <n v="0"/>
  </r>
  <r>
    <x v="2"/>
    <x v="39"/>
    <n v="0"/>
    <n v="0"/>
    <x v="0"/>
    <n v="0"/>
    <n v="0"/>
    <n v="0"/>
    <n v="0"/>
    <n v="0"/>
    <x v="34"/>
    <n v="0"/>
    <x v="2"/>
    <n v="0"/>
  </r>
  <r>
    <x v="2"/>
    <x v="40"/>
    <n v="0"/>
    <n v="0"/>
    <x v="0"/>
    <n v="0"/>
    <n v="0"/>
    <n v="0"/>
    <n v="0"/>
    <n v="0"/>
    <x v="34"/>
    <n v="0"/>
    <x v="3"/>
    <n v="0"/>
  </r>
  <r>
    <x v="2"/>
    <x v="41"/>
    <n v="0"/>
    <n v="0"/>
    <x v="0"/>
    <n v="0"/>
    <n v="0"/>
    <n v="0"/>
    <n v="0"/>
    <n v="0"/>
    <x v="34"/>
    <n v="0"/>
    <x v="5"/>
    <n v="0"/>
  </r>
  <r>
    <x v="2"/>
    <x v="42"/>
    <n v="0"/>
    <n v="0"/>
    <x v="0"/>
    <n v="0"/>
    <n v="0"/>
    <n v="0"/>
    <n v="0"/>
    <n v="0"/>
    <x v="34"/>
    <n v="0"/>
    <x v="2"/>
    <n v="0"/>
  </r>
  <r>
    <x v="2"/>
    <x v="43"/>
    <n v="0"/>
    <n v="0"/>
    <x v="0"/>
    <n v="0"/>
    <n v="0"/>
    <n v="0"/>
    <n v="0"/>
    <n v="0"/>
    <x v="34"/>
    <n v="0"/>
    <x v="3"/>
    <n v="0"/>
  </r>
  <r>
    <x v="2"/>
    <x v="44"/>
    <n v="0"/>
    <n v="0"/>
    <x v="0"/>
    <n v="0"/>
    <n v="0"/>
    <n v="0"/>
    <n v="0"/>
    <n v="0"/>
    <x v="34"/>
    <n v="0"/>
    <x v="3"/>
    <n v="0"/>
  </r>
  <r>
    <x v="2"/>
    <x v="45"/>
    <n v="0"/>
    <n v="0"/>
    <x v="0"/>
    <n v="0"/>
    <n v="0"/>
    <n v="0"/>
    <n v="0"/>
    <n v="0"/>
    <x v="34"/>
    <n v="0"/>
    <x v="4"/>
    <n v="0"/>
  </r>
  <r>
    <x v="2"/>
    <x v="46"/>
    <n v="0"/>
    <n v="0"/>
    <x v="0"/>
    <n v="0"/>
    <n v="0"/>
    <n v="0"/>
    <n v="0"/>
    <n v="0"/>
    <x v="34"/>
    <n v="0"/>
    <x v="4"/>
    <n v="0"/>
  </r>
  <r>
    <x v="2"/>
    <x v="47"/>
    <n v="0"/>
    <n v="0"/>
    <x v="0"/>
    <n v="0"/>
    <n v="0"/>
    <n v="0"/>
    <n v="0"/>
    <n v="0"/>
    <x v="34"/>
    <n v="0"/>
    <x v="5"/>
    <n v="0"/>
  </r>
  <r>
    <x v="2"/>
    <x v="48"/>
    <n v="0"/>
    <n v="0"/>
    <x v="0"/>
    <n v="0"/>
    <n v="0"/>
    <n v="0"/>
    <n v="0"/>
    <n v="0"/>
    <x v="34"/>
    <n v="0"/>
    <x v="6"/>
    <n v="0"/>
  </r>
  <r>
    <x v="2"/>
    <x v="49"/>
    <n v="0"/>
    <n v="0"/>
    <x v="0"/>
    <n v="0"/>
    <n v="0"/>
    <n v="0"/>
    <n v="0"/>
    <n v="0"/>
    <x v="34"/>
    <n v="0"/>
    <x v="3"/>
    <n v="0"/>
  </r>
  <r>
    <x v="2"/>
    <x v="50"/>
    <n v="0"/>
    <n v="0"/>
    <x v="0"/>
    <n v="0"/>
    <n v="0"/>
    <n v="0"/>
    <n v="0"/>
    <n v="0"/>
    <x v="34"/>
    <n v="0"/>
    <x v="4"/>
    <n v="0"/>
  </r>
  <r>
    <x v="0"/>
    <x v="3"/>
    <n v="1.25"/>
    <n v="7.1"/>
    <x v="627"/>
    <n v="4.96"/>
    <n v="2.89"/>
    <n v="7.85"/>
    <n v="63.18"/>
    <n v="15.92"/>
    <x v="35"/>
    <n v="15"/>
    <x v="0"/>
    <n v="0.15923566878980894"/>
  </r>
  <r>
    <x v="0"/>
    <x v="4"/>
    <n v="5.596666667"/>
    <n v="5.22"/>
    <x v="628"/>
    <n v="7.75"/>
    <n v="0.2"/>
    <n v="7.95"/>
    <n v="97.48"/>
    <n v="70.400000000000006"/>
    <x v="35"/>
    <n v="67.160000004000011"/>
    <x v="0"/>
    <n v="0.70398322855345907"/>
  </r>
  <r>
    <x v="0"/>
    <x v="6"/>
    <n v="4.16"/>
    <n v="3.68"/>
    <x v="629"/>
    <n v="7.75"/>
    <n v="0.2"/>
    <n v="7.95"/>
    <n v="97.48"/>
    <n v="52.33"/>
    <x v="35"/>
    <n v="49.92"/>
    <x v="0"/>
    <n v="0.52327044025157232"/>
  </r>
  <r>
    <x v="0"/>
    <x v="7"/>
    <n v="1.26"/>
    <n v="7.09"/>
    <x v="630"/>
    <n v="4.96"/>
    <n v="2.91"/>
    <n v="7.87"/>
    <n v="63.02"/>
    <n v="16.010000000000002"/>
    <x v="35"/>
    <n v="15.12"/>
    <x v="0"/>
    <n v="0.16010165184243963"/>
  </r>
  <r>
    <x v="1"/>
    <x v="11"/>
    <n v="11.54"/>
    <n v="5.7"/>
    <x v="631"/>
    <n v="3.86"/>
    <n v="4.13"/>
    <n v="7.99"/>
    <n v="48.31"/>
    <n v="144.43"/>
    <x v="35"/>
    <n v="138.47999999999999"/>
    <x v="1"/>
    <n v="1.4443053817271587"/>
  </r>
  <r>
    <x v="1"/>
    <x v="12"/>
    <n v="6.6366666670000001"/>
    <n v="3.85"/>
    <x v="632"/>
    <n v="3.63"/>
    <n v="4.3600000000000003"/>
    <n v="7.99"/>
    <n v="45.43"/>
    <n v="83.06"/>
    <x v="35"/>
    <n v="79.640000004000001"/>
    <x v="1"/>
    <n v="0.83062161038798499"/>
  </r>
  <r>
    <x v="1"/>
    <x v="13"/>
    <n v="1.95"/>
    <n v="3.08"/>
    <x v="633"/>
    <n v="3.63"/>
    <n v="4.3600000000000003"/>
    <n v="7.99"/>
    <n v="45.43"/>
    <n v="24.41"/>
    <x v="35"/>
    <n v="23.4"/>
    <x v="1"/>
    <n v="0.24405506883604505"/>
  </r>
  <r>
    <x v="2"/>
    <x v="14"/>
    <n v="9.6333333329999995"/>
    <n v="6.68"/>
    <x v="634"/>
    <n v="7.73"/>
    <n v="0.33"/>
    <n v="8.06"/>
    <n v="95.91"/>
    <n v="119.52"/>
    <x v="35"/>
    <n v="115.59999999599999"/>
    <x v="2"/>
    <n v="1.1952026467741934"/>
  </r>
  <r>
    <x v="2"/>
    <x v="15"/>
    <n v="0"/>
    <n v="0"/>
    <x v="0"/>
    <n v="6.88"/>
    <n v="1.19"/>
    <n v="8.07"/>
    <n v="85.25"/>
    <n v="0"/>
    <x v="35"/>
    <n v="0"/>
    <x v="3"/>
    <n v="0"/>
  </r>
  <r>
    <x v="2"/>
    <x v="16"/>
    <n v="3.03"/>
    <n v="4.6100000000000003"/>
    <x v="635"/>
    <n v="7.68"/>
    <n v="0.41"/>
    <n v="8.09"/>
    <n v="94.93"/>
    <n v="37.450000000000003"/>
    <x v="35"/>
    <n v="36.36"/>
    <x v="4"/>
    <n v="0.37453646477132263"/>
  </r>
  <r>
    <x v="2"/>
    <x v="18"/>
    <n v="6.4366666669999999"/>
    <n v="3.61"/>
    <x v="636"/>
    <n v="5.9"/>
    <n v="2.11"/>
    <n v="8.01"/>
    <n v="73.66"/>
    <n v="80.36"/>
    <x v="35"/>
    <n v="77.240000003999995"/>
    <x v="3"/>
    <n v="0.80357885980024968"/>
  </r>
  <r>
    <x v="2"/>
    <x v="19"/>
    <n v="0"/>
    <n v="0"/>
    <x v="0"/>
    <n v="0"/>
    <n v="0"/>
    <n v="0"/>
    <n v="0"/>
    <n v="0"/>
    <x v="35"/>
    <n v="0"/>
    <x v="2"/>
    <n v="0"/>
  </r>
  <r>
    <x v="2"/>
    <x v="23"/>
    <n v="3.1666666669999999"/>
    <n v="3.48"/>
    <x v="637"/>
    <n v="8.23"/>
    <n v="3.27"/>
    <n v="11.5"/>
    <n v="71.569999999999993"/>
    <n v="27.54"/>
    <x v="35"/>
    <n v="38.000000004"/>
    <x v="3"/>
    <n v="0.27536231886956519"/>
  </r>
  <r>
    <x v="2"/>
    <x v="24"/>
    <n v="8.98"/>
    <n v="5.99"/>
    <x v="638"/>
    <n v="6.58"/>
    <n v="1.49"/>
    <n v="8.07"/>
    <n v="81.540000000000006"/>
    <n v="111.28"/>
    <x v="35"/>
    <n v="107.76000000000002"/>
    <x v="5"/>
    <n v="1.1127633209417596"/>
  </r>
  <r>
    <x v="2"/>
    <x v="29"/>
    <n v="5"/>
    <n v="3.25"/>
    <x v="639"/>
    <n v="3.25"/>
    <n v="0.73"/>
    <n v="3.98"/>
    <n v="81.66"/>
    <n v="125.63"/>
    <x v="35"/>
    <n v="60"/>
    <x v="5"/>
    <n v="1.256281407035176"/>
  </r>
  <r>
    <x v="2"/>
    <x v="30"/>
    <n v="0"/>
    <n v="0"/>
    <x v="0"/>
    <n v="0"/>
    <n v="0"/>
    <n v="0"/>
    <n v="0"/>
    <n v="0"/>
    <x v="35"/>
    <n v="0"/>
    <x v="5"/>
    <n v="0"/>
  </r>
  <r>
    <x v="2"/>
    <x v="31"/>
    <n v="6.6666666670000003"/>
    <n v="7.29"/>
    <x v="640"/>
    <n v="6.82"/>
    <n v="1.25"/>
    <n v="8.07"/>
    <n v="84.51"/>
    <n v="82.61"/>
    <x v="35"/>
    <n v="80.000000004"/>
    <x v="2"/>
    <n v="0.82610491536555142"/>
  </r>
  <r>
    <x v="2"/>
    <x v="33"/>
    <n v="3.88"/>
    <n v="5.55"/>
    <x v="641"/>
    <n v="7.57"/>
    <n v="0.55000000000000004"/>
    <n v="8.1199999999999992"/>
    <n v="93.23"/>
    <n v="47.78"/>
    <x v="35"/>
    <n v="46.559999999999995"/>
    <x v="3"/>
    <n v="0.47783251231527096"/>
  </r>
  <r>
    <x v="2"/>
    <x v="34"/>
    <n v="1.5"/>
    <n v="3.48"/>
    <x v="642"/>
    <n v="8.18"/>
    <n v="1.93"/>
    <n v="10.11"/>
    <n v="80.91"/>
    <n v="14.84"/>
    <x v="35"/>
    <n v="18"/>
    <x v="4"/>
    <n v="0.14836795252225521"/>
  </r>
  <r>
    <x v="2"/>
    <x v="35"/>
    <n v="6.6666666670000003"/>
    <n v="2.46"/>
    <x v="643"/>
    <n v="7.53"/>
    <n v="1.1200000000000001"/>
    <n v="8.65"/>
    <n v="87.05"/>
    <n v="77.069999999999993"/>
    <x v="35"/>
    <n v="80.000000004"/>
    <x v="2"/>
    <n v="0.77071290947976878"/>
  </r>
  <r>
    <x v="2"/>
    <x v="37"/>
    <n v="1"/>
    <n v="0.62"/>
    <x v="644"/>
    <n v="7.62"/>
    <n v="0.64"/>
    <n v="8.26"/>
    <n v="92.25"/>
    <n v="12.11"/>
    <x v="35"/>
    <n v="12"/>
    <x v="4"/>
    <n v="0.12106537530266344"/>
  </r>
  <r>
    <x v="2"/>
    <x v="38"/>
    <n v="12.08333333"/>
    <n v="6.93"/>
    <x v="645"/>
    <n v="6.52"/>
    <n v="1.43"/>
    <n v="7.95"/>
    <n v="82.01"/>
    <n v="151.99"/>
    <x v="35"/>
    <n v="144.99999996000003"/>
    <x v="2"/>
    <n v="1.5199161421383647"/>
  </r>
  <r>
    <x v="2"/>
    <x v="39"/>
    <n v="6.3333333329999997"/>
    <n v="4.5199999999999996"/>
    <x v="646"/>
    <n v="4.8899999999999997"/>
    <n v="3.18"/>
    <n v="8.07"/>
    <n v="60.59"/>
    <n v="78.48"/>
    <x v="35"/>
    <n v="75.999999996"/>
    <x v="2"/>
    <n v="0.78479966951672853"/>
  </r>
  <r>
    <x v="2"/>
    <x v="41"/>
    <n v="3.996666667"/>
    <n v="4.25"/>
    <x v="647"/>
    <n v="8.36"/>
    <n v="0.37"/>
    <n v="8.73"/>
    <n v="95.76"/>
    <n v="45.78"/>
    <x v="35"/>
    <n v="47.960000004000001"/>
    <x v="5"/>
    <n v="0.45780832382588771"/>
  </r>
  <r>
    <x v="2"/>
    <x v="42"/>
    <n v="5.75"/>
    <n v="4.58"/>
    <x v="648"/>
    <n v="7.51"/>
    <n v="0.65"/>
    <n v="8.16"/>
    <n v="92.03"/>
    <n v="70.47"/>
    <x v="35"/>
    <n v="69"/>
    <x v="2"/>
    <n v="0.70465686274509798"/>
  </r>
  <r>
    <x v="2"/>
    <x v="43"/>
    <n v="5.8333333329999997"/>
    <n v="4.03"/>
    <x v="649"/>
    <n v="5.04"/>
    <n v="2.98"/>
    <n v="8.02"/>
    <n v="62.84"/>
    <n v="72.73"/>
    <x v="35"/>
    <n v="69.999999996"/>
    <x v="3"/>
    <n v="0.72734829588528682"/>
  </r>
  <r>
    <x v="2"/>
    <x v="44"/>
    <n v="0"/>
    <n v="0"/>
    <x v="0"/>
    <n v="6.64"/>
    <n v="1.55"/>
    <n v="8.19"/>
    <n v="81.069999999999993"/>
    <n v="0"/>
    <x v="35"/>
    <n v="0"/>
    <x v="3"/>
    <n v="0"/>
  </r>
  <r>
    <x v="2"/>
    <x v="46"/>
    <n v="4.1399999999999997"/>
    <n v="7.58"/>
    <x v="650"/>
    <n v="7.71"/>
    <n v="0.4"/>
    <n v="8.11"/>
    <n v="95.07"/>
    <n v="51.05"/>
    <x v="35"/>
    <n v="49.679999999999993"/>
    <x v="4"/>
    <n v="0.51048088779284828"/>
  </r>
  <r>
    <x v="2"/>
    <x v="47"/>
    <n v="6.0833333329999997"/>
    <n v="4.1900000000000004"/>
    <x v="651"/>
    <n v="7.63"/>
    <n v="0.38"/>
    <n v="8.01"/>
    <n v="95.26"/>
    <n v="75.95"/>
    <x v="35"/>
    <n v="72.999999996"/>
    <x v="5"/>
    <n v="0.75946733245942566"/>
  </r>
  <r>
    <x v="2"/>
    <x v="48"/>
    <n v="0"/>
    <n v="0"/>
    <x v="0"/>
    <n v="0"/>
    <n v="0"/>
    <n v="0"/>
    <n v="0"/>
    <n v="0"/>
    <x v="35"/>
    <n v="0"/>
    <x v="6"/>
    <n v="0"/>
  </r>
  <r>
    <x v="2"/>
    <x v="50"/>
    <n v="5.5833333329999997"/>
    <n v="4.41"/>
    <x v="652"/>
    <n v="8.33"/>
    <n v="1.19"/>
    <n v="9.52"/>
    <n v="87.5"/>
    <n v="58.65"/>
    <x v="35"/>
    <n v="66.999999996"/>
    <x v="4"/>
    <n v="0.58648459380252105"/>
  </r>
  <r>
    <x v="0"/>
    <x v="0"/>
    <n v="0"/>
    <n v="0"/>
    <x v="0"/>
    <n v="3.4"/>
    <n v="4.6500000000000004"/>
    <n v="8.0500000000000007"/>
    <n v="42.24"/>
    <n v="0"/>
    <x v="36"/>
    <n v="0"/>
    <x v="0"/>
    <n v="0"/>
  </r>
  <r>
    <x v="0"/>
    <x v="3"/>
    <n v="0"/>
    <n v="0"/>
    <x v="0"/>
    <n v="0"/>
    <n v="8.1"/>
    <n v="8.1"/>
    <n v="0"/>
    <n v="0"/>
    <x v="36"/>
    <n v="0"/>
    <x v="0"/>
    <n v="0"/>
  </r>
  <r>
    <x v="0"/>
    <x v="5"/>
    <n v="1.53"/>
    <n v="7.68"/>
    <x v="653"/>
    <n v="7.74"/>
    <n v="0.26"/>
    <n v="8"/>
    <n v="96.75"/>
    <n v="19.13"/>
    <x v="36"/>
    <n v="18.36"/>
    <x v="0"/>
    <n v="0.19125"/>
  </r>
  <r>
    <x v="0"/>
    <x v="7"/>
    <n v="0"/>
    <n v="0"/>
    <x v="0"/>
    <n v="0"/>
    <n v="8.1"/>
    <n v="8.1"/>
    <n v="0"/>
    <n v="0"/>
    <x v="36"/>
    <n v="0"/>
    <x v="0"/>
    <n v="0"/>
  </r>
  <r>
    <x v="0"/>
    <x v="8"/>
    <n v="4.4166666670000003"/>
    <n v="3.73"/>
    <x v="654"/>
    <n v="3.47"/>
    <n v="4.58"/>
    <n v="8.0500000000000007"/>
    <n v="43.11"/>
    <n v="54.87"/>
    <x v="36"/>
    <n v="53.000000004"/>
    <x v="0"/>
    <n v="0.54865424434782606"/>
  </r>
  <r>
    <x v="1"/>
    <x v="9"/>
    <n v="0"/>
    <n v="0"/>
    <x v="0"/>
    <n v="2.97"/>
    <n v="5.1100000000000003"/>
    <n v="8.08"/>
    <n v="36.76"/>
    <n v="0"/>
    <x v="36"/>
    <n v="0"/>
    <x v="1"/>
    <n v="0"/>
  </r>
  <r>
    <x v="1"/>
    <x v="11"/>
    <n v="14.66666667"/>
    <n v="7.06"/>
    <x v="655"/>
    <n v="2.97"/>
    <n v="5.13"/>
    <n v="8.1"/>
    <n v="36.67"/>
    <n v="181.07"/>
    <x v="36"/>
    <n v="176.00000003999997"/>
    <x v="1"/>
    <n v="1.8106995888888888"/>
  </r>
  <r>
    <x v="1"/>
    <x v="12"/>
    <n v="0"/>
    <n v="0"/>
    <x v="0"/>
    <n v="2.15"/>
    <n v="6.01"/>
    <n v="8.16"/>
    <n v="26.35"/>
    <n v="0"/>
    <x v="36"/>
    <n v="0"/>
    <x v="1"/>
    <n v="0"/>
  </r>
  <r>
    <x v="1"/>
    <x v="13"/>
    <n v="0"/>
    <n v="0"/>
    <x v="0"/>
    <n v="3.17"/>
    <n v="4.9400000000000004"/>
    <n v="8.11"/>
    <n v="39.090000000000003"/>
    <n v="0"/>
    <x v="36"/>
    <n v="0"/>
    <x v="1"/>
    <n v="0"/>
  </r>
  <r>
    <x v="2"/>
    <x v="15"/>
    <n v="2"/>
    <n v="2.2400000000000002"/>
    <x v="656"/>
    <n v="7.58"/>
    <n v="0.45"/>
    <n v="8.0299999999999994"/>
    <n v="94.4"/>
    <n v="24.91"/>
    <x v="36"/>
    <n v="24"/>
    <x v="3"/>
    <n v="0.24906600249066005"/>
  </r>
  <r>
    <x v="2"/>
    <x v="16"/>
    <n v="1.0833333329999999"/>
    <n v="3.66"/>
    <x v="657"/>
    <n v="7.71"/>
    <n v="0.33"/>
    <n v="8.0399999999999991"/>
    <n v="95.9"/>
    <n v="13.47"/>
    <x v="36"/>
    <n v="12.999999996"/>
    <x v="4"/>
    <n v="0.13474295186567165"/>
  </r>
  <r>
    <x v="2"/>
    <x v="17"/>
    <n v="0"/>
    <n v="0"/>
    <x v="0"/>
    <n v="0"/>
    <n v="0"/>
    <n v="0"/>
    <n v="0"/>
    <n v="0"/>
    <x v="36"/>
    <n v="0"/>
    <x v="3"/>
    <n v="0"/>
  </r>
  <r>
    <x v="2"/>
    <x v="19"/>
    <n v="0"/>
    <n v="0"/>
    <x v="0"/>
    <n v="0"/>
    <n v="0"/>
    <n v="0"/>
    <n v="0"/>
    <n v="0"/>
    <x v="36"/>
    <n v="0"/>
    <x v="2"/>
    <n v="0"/>
  </r>
  <r>
    <x v="2"/>
    <x v="21"/>
    <n v="9.1266666670000003"/>
    <n v="7.59"/>
    <x v="658"/>
    <n v="7.52"/>
    <n v="0.65"/>
    <n v="8.17"/>
    <n v="92.04"/>
    <n v="111.71"/>
    <x v="36"/>
    <n v="109.52000000400001"/>
    <x v="2"/>
    <n v="1.1170950632802938"/>
  </r>
  <r>
    <x v="2"/>
    <x v="22"/>
    <n v="4.4166666670000003"/>
    <n v="4.1100000000000003"/>
    <x v="659"/>
    <n v="8.0399999999999991"/>
    <n v="0.2"/>
    <n v="8.24"/>
    <n v="97.57"/>
    <n v="53.6"/>
    <x v="36"/>
    <n v="53.000000004"/>
    <x v="4"/>
    <n v="0.53600323628640778"/>
  </r>
  <r>
    <x v="2"/>
    <x v="23"/>
    <n v="4"/>
    <n v="5.85"/>
    <x v="660"/>
    <n v="0.88"/>
    <n v="9.1199999999999992"/>
    <n v="10"/>
    <n v="8.8000000000000007"/>
    <n v="40"/>
    <x v="36"/>
    <n v="48"/>
    <x v="3"/>
    <n v="0.4"/>
  </r>
  <r>
    <x v="2"/>
    <x v="24"/>
    <n v="8.61"/>
    <n v="7.75"/>
    <x v="661"/>
    <n v="6.97"/>
    <n v="2.5299999999999998"/>
    <n v="9.5"/>
    <n v="73.37"/>
    <n v="90.63"/>
    <x v="36"/>
    <n v="103.31999999999998"/>
    <x v="5"/>
    <n v="0.90631578947368419"/>
  </r>
  <r>
    <x v="2"/>
    <x v="25"/>
    <n v="7.75"/>
    <n v="3.65"/>
    <x v="662"/>
    <n v="7.37"/>
    <n v="0.62"/>
    <n v="7.99"/>
    <n v="92.24"/>
    <n v="97"/>
    <x v="36"/>
    <n v="93"/>
    <x v="2"/>
    <n v="0.96996245306633289"/>
  </r>
  <r>
    <x v="2"/>
    <x v="26"/>
    <n v="7.06"/>
    <n v="6.74"/>
    <x v="663"/>
    <n v="6.7"/>
    <n v="1.28"/>
    <n v="7.98"/>
    <n v="83.96"/>
    <n v="88.47"/>
    <x v="36"/>
    <n v="84.72"/>
    <x v="3"/>
    <n v="0.88471177944862145"/>
  </r>
  <r>
    <x v="2"/>
    <x v="27"/>
    <n v="10.573333330000001"/>
    <n v="8.57"/>
    <x v="664"/>
    <n v="6.94"/>
    <n v="2.57"/>
    <n v="9.51"/>
    <n v="72.98"/>
    <n v="111.18"/>
    <x v="36"/>
    <n v="126.87999996000001"/>
    <x v="5"/>
    <n v="1.1118121272344901"/>
  </r>
  <r>
    <x v="2"/>
    <x v="29"/>
    <n v="7.3166666669999998"/>
    <n v="4.54"/>
    <x v="665"/>
    <n v="6.35"/>
    <n v="1.62"/>
    <n v="7.97"/>
    <n v="79.67"/>
    <n v="91.8"/>
    <x v="36"/>
    <n v="87.800000003999997"/>
    <x v="5"/>
    <n v="0.91802593061480553"/>
  </r>
  <r>
    <x v="2"/>
    <x v="30"/>
    <n v="0"/>
    <n v="0"/>
    <x v="0"/>
    <n v="0"/>
    <n v="0"/>
    <n v="0"/>
    <n v="0"/>
    <n v="0"/>
    <x v="36"/>
    <n v="0"/>
    <x v="5"/>
    <n v="0"/>
  </r>
  <r>
    <x v="2"/>
    <x v="33"/>
    <n v="4.9933333329999998"/>
    <n v="3.67"/>
    <x v="666"/>
    <n v="4.55"/>
    <n v="3.42"/>
    <n v="7.97"/>
    <n v="57.09"/>
    <n v="62.65"/>
    <x v="36"/>
    <n v="59.919999996000001"/>
    <x v="3"/>
    <n v="0.62651610200752827"/>
  </r>
  <r>
    <x v="2"/>
    <x v="34"/>
    <n v="4.1666666670000003"/>
    <n v="3.9"/>
    <x v="667"/>
    <n v="6.32"/>
    <n v="1.95"/>
    <n v="8.27"/>
    <n v="76.42"/>
    <n v="50.38"/>
    <x v="36"/>
    <n v="50.000000004"/>
    <x v="4"/>
    <n v="0.50382910120918989"/>
  </r>
  <r>
    <x v="2"/>
    <x v="36"/>
    <n v="3"/>
    <n v="2.35"/>
    <x v="668"/>
    <n v="9.33"/>
    <n v="2.0699999999999998"/>
    <n v="11.4"/>
    <n v="81.84"/>
    <n v="26.32"/>
    <x v="36"/>
    <n v="36"/>
    <x v="4"/>
    <n v="0.26315789473684209"/>
  </r>
  <r>
    <x v="2"/>
    <x v="37"/>
    <n v="3.4166666669999999"/>
    <n v="4.28"/>
    <x v="669"/>
    <n v="6.94"/>
    <n v="1.56"/>
    <n v="8.5"/>
    <n v="81.650000000000006"/>
    <n v="40.200000000000003"/>
    <x v="36"/>
    <n v="41.000000004"/>
    <x v="4"/>
    <n v="0.40196078435294114"/>
  </r>
  <r>
    <x v="2"/>
    <x v="39"/>
    <n v="8.6666666669999994"/>
    <n v="7.02"/>
    <x v="670"/>
    <n v="5.95"/>
    <n v="2.2200000000000002"/>
    <n v="8.17"/>
    <n v="72.83"/>
    <n v="106.08"/>
    <x v="36"/>
    <n v="104.000000004"/>
    <x v="2"/>
    <n v="1.0607915137086903"/>
  </r>
  <r>
    <x v="2"/>
    <x v="40"/>
    <n v="7.29"/>
    <n v="5.62"/>
    <x v="671"/>
    <n v="5.57"/>
    <n v="2.39"/>
    <n v="7.96"/>
    <n v="69.97"/>
    <n v="91.58"/>
    <x v="36"/>
    <n v="87.47999999999999"/>
    <x v="3"/>
    <n v="0.91582914572864327"/>
  </r>
  <r>
    <x v="2"/>
    <x v="43"/>
    <n v="10.38"/>
    <n v="9.5399999999999991"/>
    <x v="672"/>
    <n v="6.15"/>
    <n v="3.45"/>
    <n v="9.6"/>
    <n v="64.06"/>
    <n v="108.13"/>
    <x v="36"/>
    <n v="124.56000000000002"/>
    <x v="3"/>
    <n v="1.08125"/>
  </r>
  <r>
    <x v="2"/>
    <x v="44"/>
    <n v="1.25"/>
    <n v="1.22"/>
    <x v="673"/>
    <n v="5.1100000000000003"/>
    <n v="2.89"/>
    <n v="8"/>
    <n v="63.88"/>
    <n v="15.63"/>
    <x v="36"/>
    <n v="15"/>
    <x v="3"/>
    <n v="0.15625"/>
  </r>
  <r>
    <x v="2"/>
    <x v="45"/>
    <n v="0"/>
    <n v="0"/>
    <x v="0"/>
    <n v="0"/>
    <n v="0"/>
    <n v="0"/>
    <n v="0"/>
    <n v="0"/>
    <x v="36"/>
    <n v="0"/>
    <x v="4"/>
    <n v="0"/>
  </r>
  <r>
    <x v="2"/>
    <x v="46"/>
    <n v="2.5"/>
    <n v="5.64"/>
    <x v="674"/>
    <n v="7.71"/>
    <n v="0.31"/>
    <n v="8.02"/>
    <n v="96.13"/>
    <n v="31.17"/>
    <x v="36"/>
    <n v="30"/>
    <x v="4"/>
    <n v="0.3117206982543641"/>
  </r>
  <r>
    <x v="2"/>
    <x v="48"/>
    <n v="0"/>
    <n v="0"/>
    <x v="0"/>
    <n v="0"/>
    <n v="0"/>
    <n v="0"/>
    <n v="0"/>
    <n v="0"/>
    <x v="36"/>
    <n v="0"/>
    <x v="6"/>
    <n v="0"/>
  </r>
  <r>
    <x v="2"/>
    <x v="50"/>
    <n v="5.0833333329999997"/>
    <n v="5.27"/>
    <x v="675"/>
    <n v="10.220000000000001"/>
    <n v="0.3"/>
    <n v="10.52"/>
    <n v="97.15"/>
    <n v="48.32"/>
    <x v="36"/>
    <n v="60.999999996"/>
    <x v="4"/>
    <n v="0.48320659058935361"/>
  </r>
  <r>
    <x v="0"/>
    <x v="1"/>
    <n v="1.1399999999999999"/>
    <n v="3.88"/>
    <x v="676"/>
    <n v="0"/>
    <n v="8.0399999999999991"/>
    <n v="8.0399999999999991"/>
    <n v="0"/>
    <n v="14.18"/>
    <x v="37"/>
    <n v="13.679999999999998"/>
    <x v="0"/>
    <n v="0.1417910447761194"/>
  </r>
  <r>
    <x v="0"/>
    <x v="2"/>
    <n v="1.1399999999999999"/>
    <n v="3.88"/>
    <x v="676"/>
    <n v="0"/>
    <n v="8.0299999999999994"/>
    <n v="8.0299999999999994"/>
    <n v="0"/>
    <n v="14.2"/>
    <x v="37"/>
    <n v="13.679999999999998"/>
    <x v="0"/>
    <n v="0.14196762141967623"/>
  </r>
  <r>
    <x v="0"/>
    <x v="3"/>
    <n v="2.69"/>
    <n v="5.4"/>
    <x v="677"/>
    <n v="0"/>
    <n v="8.0399999999999991"/>
    <n v="8.0399999999999991"/>
    <n v="0"/>
    <n v="33.46"/>
    <x v="37"/>
    <n v="32.28"/>
    <x v="0"/>
    <n v="0.3345771144278607"/>
  </r>
  <r>
    <x v="0"/>
    <x v="5"/>
    <n v="1.1399999999999999"/>
    <n v="3.88"/>
    <x v="676"/>
    <n v="0"/>
    <n v="8.0399999999999991"/>
    <n v="8.0399999999999991"/>
    <n v="0"/>
    <n v="14.18"/>
    <x v="37"/>
    <n v="13.679999999999998"/>
    <x v="0"/>
    <n v="0.1417910447761194"/>
  </r>
  <r>
    <x v="0"/>
    <x v="8"/>
    <n v="3.98"/>
    <n v="7.02"/>
    <x v="678"/>
    <n v="0"/>
    <n v="8.0500000000000007"/>
    <n v="8.0500000000000007"/>
    <n v="0"/>
    <n v="49.44"/>
    <x v="37"/>
    <n v="47.760000000000005"/>
    <x v="0"/>
    <n v="0.4944099378881987"/>
  </r>
  <r>
    <x v="1"/>
    <x v="9"/>
    <n v="0"/>
    <n v="0"/>
    <x v="0"/>
    <n v="3.05"/>
    <n v="4.99"/>
    <n v="8.0399999999999991"/>
    <n v="37.94"/>
    <n v="0"/>
    <x v="37"/>
    <n v="0"/>
    <x v="1"/>
    <n v="0"/>
  </r>
  <r>
    <x v="1"/>
    <x v="11"/>
    <n v="9.99"/>
    <n v="5.72"/>
    <x v="679"/>
    <n v="0"/>
    <n v="8.0500000000000007"/>
    <n v="8.0500000000000007"/>
    <n v="0"/>
    <n v="124.1"/>
    <x v="37"/>
    <n v="119.88"/>
    <x v="1"/>
    <n v="1.2409937888198757"/>
  </r>
  <r>
    <x v="1"/>
    <x v="12"/>
    <n v="3.26"/>
    <n v="4.38"/>
    <x v="680"/>
    <n v="0"/>
    <n v="8.0500000000000007"/>
    <n v="8.0500000000000007"/>
    <n v="0"/>
    <n v="40.5"/>
    <x v="37"/>
    <n v="39.119999999999997"/>
    <x v="1"/>
    <n v="0.40496894409937884"/>
  </r>
  <r>
    <x v="2"/>
    <x v="14"/>
    <n v="11.893333330000001"/>
    <n v="7.39"/>
    <x v="681"/>
    <n v="6.74"/>
    <n v="1.26"/>
    <n v="8"/>
    <n v="84.25"/>
    <n v="148.66999999999999"/>
    <x v="37"/>
    <n v="142.71999996000002"/>
    <x v="2"/>
    <n v="1.4866666662500001"/>
  </r>
  <r>
    <x v="2"/>
    <x v="17"/>
    <n v="0"/>
    <n v="0"/>
    <x v="0"/>
    <n v="0"/>
    <n v="0"/>
    <n v="0"/>
    <n v="0"/>
    <n v="0"/>
    <x v="37"/>
    <n v="0"/>
    <x v="3"/>
    <n v="0"/>
  </r>
  <r>
    <x v="2"/>
    <x v="19"/>
    <n v="0"/>
    <n v="0"/>
    <x v="0"/>
    <n v="0"/>
    <n v="0"/>
    <n v="0"/>
    <n v="0"/>
    <n v="0"/>
    <x v="37"/>
    <n v="0"/>
    <x v="2"/>
    <n v="0"/>
  </r>
  <r>
    <x v="2"/>
    <x v="21"/>
    <n v="9.8566666670000007"/>
    <n v="6.05"/>
    <x v="682"/>
    <n v="5.78"/>
    <n v="2.27"/>
    <n v="8.0500000000000007"/>
    <n v="71.8"/>
    <n v="122.44"/>
    <x v="37"/>
    <n v="118.280000004"/>
    <x v="2"/>
    <n v="1.2244306418633539"/>
  </r>
  <r>
    <x v="2"/>
    <x v="24"/>
    <n v="9.1366666670000001"/>
    <n v="7.49"/>
    <x v="683"/>
    <n v="6.47"/>
    <n v="1.02"/>
    <n v="7.49"/>
    <n v="86.38"/>
    <n v="121.98"/>
    <x v="37"/>
    <n v="109.64000000400002"/>
    <x v="5"/>
    <n v="1.2198486871829106"/>
  </r>
  <r>
    <x v="2"/>
    <x v="25"/>
    <n v="13.41333333"/>
    <n v="6.33"/>
    <x v="684"/>
    <n v="6.33"/>
    <n v="1.67"/>
    <n v="8"/>
    <n v="79.13"/>
    <n v="167.67"/>
    <x v="37"/>
    <n v="160.95999996"/>
    <x v="2"/>
    <n v="1.67666666625"/>
  </r>
  <r>
    <x v="2"/>
    <x v="30"/>
    <n v="0"/>
    <n v="0"/>
    <x v="0"/>
    <n v="0"/>
    <n v="0"/>
    <n v="0"/>
    <n v="0"/>
    <n v="0"/>
    <x v="37"/>
    <n v="0"/>
    <x v="5"/>
    <n v="0"/>
  </r>
  <r>
    <x v="2"/>
    <x v="31"/>
    <n v="8.25"/>
    <n v="4.76"/>
    <x v="685"/>
    <n v="4.76"/>
    <n v="3.25"/>
    <n v="8.01"/>
    <n v="59.43"/>
    <n v="103"/>
    <x v="37"/>
    <n v="99"/>
    <x v="2"/>
    <n v="1.0299625468164795"/>
  </r>
  <r>
    <x v="2"/>
    <x v="32"/>
    <n v="7.8833333330000004"/>
    <n v="6.37"/>
    <x v="686"/>
    <n v="4.32"/>
    <n v="3.86"/>
    <n v="8.18"/>
    <n v="52.81"/>
    <n v="96.37"/>
    <x v="37"/>
    <n v="94.599999996000008"/>
    <x v="3"/>
    <n v="0.96373268129584355"/>
  </r>
  <r>
    <x v="2"/>
    <x v="34"/>
    <n v="7.1733333330000004"/>
    <n v="7.35"/>
    <x v="687"/>
    <n v="3.85"/>
    <n v="4.3"/>
    <n v="8.15"/>
    <n v="47.24"/>
    <n v="88.02"/>
    <x v="37"/>
    <n v="86.079999995999998"/>
    <x v="4"/>
    <n v="0.88016359914110431"/>
  </r>
  <r>
    <x v="2"/>
    <x v="39"/>
    <n v="5.8333333329999997"/>
    <n v="2.87"/>
    <x v="688"/>
    <n v="2.87"/>
    <n v="1.03"/>
    <n v="3.9"/>
    <n v="73.59"/>
    <n v="149.57"/>
    <x v="37"/>
    <n v="69.999999996"/>
    <x v="2"/>
    <n v="1.4957264956410257"/>
  </r>
  <r>
    <x v="2"/>
    <x v="44"/>
    <n v="11.39666667"/>
    <n v="8.1"/>
    <x v="689"/>
    <n v="3.32"/>
    <n v="5.44"/>
    <n v="8.76"/>
    <n v="37.9"/>
    <n v="130.1"/>
    <x v="37"/>
    <n v="136.76000003999999"/>
    <x v="3"/>
    <n v="1.3009893458904109"/>
  </r>
  <r>
    <x v="2"/>
    <x v="48"/>
    <n v="0"/>
    <n v="0"/>
    <x v="0"/>
    <n v="0"/>
    <n v="0"/>
    <n v="0"/>
    <n v="0"/>
    <n v="0"/>
    <x v="37"/>
    <n v="0"/>
    <x v="6"/>
    <n v="0"/>
  </r>
  <r>
    <x v="2"/>
    <x v="49"/>
    <n v="4"/>
    <n v="5.0999999999999996"/>
    <x v="690"/>
    <n v="4.5599999999999996"/>
    <n v="3.61"/>
    <n v="8.17"/>
    <n v="55.81"/>
    <n v="48.96"/>
    <x v="37"/>
    <n v="48"/>
    <x v="3"/>
    <n v="0.48959608323133413"/>
  </r>
  <r>
    <x v="0"/>
    <x v="0"/>
    <n v="0"/>
    <n v="0"/>
    <x v="0"/>
    <n v="0"/>
    <n v="0"/>
    <n v="0"/>
    <n v="0"/>
    <n v="0"/>
    <x v="38"/>
    <n v="0"/>
    <x v="0"/>
    <n v="0"/>
  </r>
  <r>
    <x v="0"/>
    <x v="1"/>
    <n v="0"/>
    <n v="0"/>
    <x v="0"/>
    <n v="0"/>
    <n v="0"/>
    <n v="0"/>
    <n v="0"/>
    <n v="0"/>
    <x v="38"/>
    <n v="0"/>
    <x v="0"/>
    <n v="0"/>
  </r>
  <r>
    <x v="0"/>
    <x v="2"/>
    <n v="0"/>
    <n v="0"/>
    <x v="0"/>
    <n v="0"/>
    <n v="0"/>
    <n v="0"/>
    <n v="0"/>
    <n v="0"/>
    <x v="38"/>
    <n v="0"/>
    <x v="0"/>
    <n v="0"/>
  </r>
  <r>
    <x v="0"/>
    <x v="3"/>
    <n v="0"/>
    <n v="0"/>
    <x v="0"/>
    <n v="0"/>
    <n v="0"/>
    <n v="0"/>
    <n v="0"/>
    <n v="0"/>
    <x v="38"/>
    <n v="0"/>
    <x v="0"/>
    <n v="0"/>
  </r>
  <r>
    <x v="0"/>
    <x v="4"/>
    <n v="0"/>
    <n v="0"/>
    <x v="0"/>
    <n v="0"/>
    <n v="0"/>
    <n v="0"/>
    <n v="0"/>
    <n v="0"/>
    <x v="38"/>
    <n v="0"/>
    <x v="0"/>
    <n v="0"/>
  </r>
  <r>
    <x v="0"/>
    <x v="5"/>
    <n v="0"/>
    <n v="0"/>
    <x v="0"/>
    <n v="0"/>
    <n v="0"/>
    <n v="0"/>
    <n v="0"/>
    <n v="0"/>
    <x v="38"/>
    <n v="0"/>
    <x v="0"/>
    <n v="0"/>
  </r>
  <r>
    <x v="0"/>
    <x v="6"/>
    <n v="0"/>
    <n v="0"/>
    <x v="0"/>
    <n v="0"/>
    <n v="0"/>
    <n v="0"/>
    <n v="0"/>
    <n v="0"/>
    <x v="38"/>
    <n v="0"/>
    <x v="0"/>
    <n v="0"/>
  </r>
  <r>
    <x v="0"/>
    <x v="7"/>
    <n v="0"/>
    <n v="0"/>
    <x v="0"/>
    <n v="0"/>
    <n v="0"/>
    <n v="0"/>
    <n v="0"/>
    <n v="0"/>
    <x v="38"/>
    <n v="0"/>
    <x v="0"/>
    <n v="0"/>
  </r>
  <r>
    <x v="0"/>
    <x v="8"/>
    <n v="0"/>
    <n v="0"/>
    <x v="0"/>
    <n v="0"/>
    <n v="0"/>
    <n v="0"/>
    <n v="0"/>
    <n v="0"/>
    <x v="38"/>
    <n v="0"/>
    <x v="0"/>
    <n v="0"/>
  </r>
  <r>
    <x v="1"/>
    <x v="9"/>
    <n v="0"/>
    <n v="0"/>
    <x v="0"/>
    <n v="0"/>
    <n v="0"/>
    <n v="0"/>
    <n v="0"/>
    <n v="0"/>
    <x v="38"/>
    <n v="0"/>
    <x v="1"/>
    <n v="0"/>
  </r>
  <r>
    <x v="1"/>
    <x v="10"/>
    <n v="0"/>
    <n v="0"/>
    <x v="0"/>
    <n v="0"/>
    <n v="0"/>
    <n v="0"/>
    <n v="0"/>
    <n v="0"/>
    <x v="38"/>
    <n v="0"/>
    <x v="1"/>
    <n v="0"/>
  </r>
  <r>
    <x v="1"/>
    <x v="11"/>
    <n v="0"/>
    <n v="0"/>
    <x v="0"/>
    <n v="0"/>
    <n v="0"/>
    <n v="0"/>
    <n v="0"/>
    <n v="0"/>
    <x v="38"/>
    <n v="0"/>
    <x v="1"/>
    <n v="0"/>
  </r>
  <r>
    <x v="1"/>
    <x v="12"/>
    <n v="0"/>
    <n v="0"/>
    <x v="0"/>
    <n v="0"/>
    <n v="0"/>
    <n v="0"/>
    <n v="0"/>
    <n v="0"/>
    <x v="38"/>
    <n v="0"/>
    <x v="1"/>
    <n v="0"/>
  </r>
  <r>
    <x v="1"/>
    <x v="13"/>
    <n v="0"/>
    <n v="0"/>
    <x v="0"/>
    <n v="0"/>
    <n v="0"/>
    <n v="0"/>
    <n v="0"/>
    <n v="0"/>
    <x v="38"/>
    <n v="0"/>
    <x v="1"/>
    <n v="0"/>
  </r>
  <r>
    <x v="2"/>
    <x v="14"/>
    <n v="0"/>
    <n v="0"/>
    <x v="0"/>
    <n v="0"/>
    <n v="0"/>
    <n v="0"/>
    <n v="0"/>
    <n v="0"/>
    <x v="38"/>
    <n v="0"/>
    <x v="2"/>
    <n v="0"/>
  </r>
  <r>
    <x v="2"/>
    <x v="15"/>
    <n v="0"/>
    <n v="0"/>
    <x v="0"/>
    <n v="0"/>
    <n v="0"/>
    <n v="0"/>
    <n v="0"/>
    <n v="0"/>
    <x v="38"/>
    <n v="0"/>
    <x v="3"/>
    <n v="0"/>
  </r>
  <r>
    <x v="2"/>
    <x v="16"/>
    <n v="0"/>
    <n v="0"/>
    <x v="0"/>
    <n v="0"/>
    <n v="0"/>
    <n v="0"/>
    <n v="0"/>
    <n v="0"/>
    <x v="38"/>
    <n v="0"/>
    <x v="4"/>
    <n v="0"/>
  </r>
  <r>
    <x v="2"/>
    <x v="17"/>
    <n v="0"/>
    <n v="0"/>
    <x v="0"/>
    <n v="0"/>
    <n v="0"/>
    <n v="0"/>
    <n v="0"/>
    <n v="0"/>
    <x v="38"/>
    <n v="0"/>
    <x v="3"/>
    <n v="0"/>
  </r>
  <r>
    <x v="2"/>
    <x v="18"/>
    <n v="0"/>
    <n v="0"/>
    <x v="0"/>
    <n v="0"/>
    <n v="0"/>
    <n v="0"/>
    <n v="0"/>
    <n v="0"/>
    <x v="38"/>
    <n v="0"/>
    <x v="3"/>
    <n v="0"/>
  </r>
  <r>
    <x v="2"/>
    <x v="19"/>
    <n v="0"/>
    <n v="0"/>
    <x v="0"/>
    <n v="0"/>
    <n v="0"/>
    <n v="0"/>
    <n v="0"/>
    <n v="0"/>
    <x v="38"/>
    <n v="0"/>
    <x v="2"/>
    <n v="0"/>
  </r>
  <r>
    <x v="2"/>
    <x v="21"/>
    <n v="5.4166666670000003"/>
    <n v="4.72"/>
    <x v="422"/>
    <n v="4.72"/>
    <n v="3.43"/>
    <n v="8.15"/>
    <n v="57.91"/>
    <n v="66.459999999999994"/>
    <x v="38"/>
    <n v="65.000000004"/>
    <x v="2"/>
    <n v="0.66462167693251539"/>
  </r>
  <r>
    <x v="2"/>
    <x v="22"/>
    <n v="0"/>
    <n v="0"/>
    <x v="0"/>
    <n v="0"/>
    <n v="0"/>
    <n v="0"/>
    <n v="0"/>
    <n v="0"/>
    <x v="38"/>
    <n v="0"/>
    <x v="4"/>
    <n v="0"/>
  </r>
  <r>
    <x v="2"/>
    <x v="23"/>
    <n v="0"/>
    <n v="0"/>
    <x v="0"/>
    <n v="0"/>
    <n v="8.18"/>
    <n v="8.18"/>
    <n v="0"/>
    <n v="0"/>
    <x v="38"/>
    <n v="0"/>
    <x v="3"/>
    <n v="0"/>
  </r>
  <r>
    <x v="2"/>
    <x v="24"/>
    <n v="0"/>
    <n v="0"/>
    <x v="0"/>
    <n v="0"/>
    <n v="0"/>
    <n v="0"/>
    <n v="0"/>
    <n v="0"/>
    <x v="38"/>
    <n v="0"/>
    <x v="5"/>
    <n v="0"/>
  </r>
  <r>
    <x v="2"/>
    <x v="26"/>
    <n v="0"/>
    <n v="0"/>
    <x v="0"/>
    <n v="0"/>
    <n v="0"/>
    <n v="0"/>
    <n v="0"/>
    <n v="0"/>
    <x v="38"/>
    <n v="0"/>
    <x v="3"/>
    <n v="0"/>
  </r>
  <r>
    <x v="2"/>
    <x v="27"/>
    <n v="6.4566666670000004"/>
    <n v="3.53"/>
    <x v="691"/>
    <n v="3.53"/>
    <n v="4.6500000000000004"/>
    <n v="8.18"/>
    <n v="43.15"/>
    <n v="78.930000000000007"/>
    <x v="38"/>
    <n v="77.480000004000004"/>
    <x v="5"/>
    <n v="0.78932355342298299"/>
  </r>
  <r>
    <x v="2"/>
    <x v="29"/>
    <n v="0"/>
    <n v="0"/>
    <x v="0"/>
    <n v="0"/>
    <n v="0"/>
    <n v="0"/>
    <n v="0"/>
    <n v="0"/>
    <x v="38"/>
    <n v="0"/>
    <x v="5"/>
    <n v="0"/>
  </r>
  <r>
    <x v="2"/>
    <x v="30"/>
    <n v="0"/>
    <n v="0"/>
    <x v="0"/>
    <n v="0"/>
    <n v="0"/>
    <n v="0"/>
    <n v="0"/>
    <n v="0"/>
    <x v="38"/>
    <n v="0"/>
    <x v="5"/>
    <n v="0"/>
  </r>
  <r>
    <x v="2"/>
    <x v="31"/>
    <n v="0"/>
    <n v="0"/>
    <x v="0"/>
    <n v="0"/>
    <n v="0"/>
    <n v="0"/>
    <n v="0"/>
    <n v="0"/>
    <x v="38"/>
    <n v="0"/>
    <x v="2"/>
    <n v="0"/>
  </r>
  <r>
    <x v="2"/>
    <x v="32"/>
    <n v="0"/>
    <n v="0"/>
    <x v="0"/>
    <n v="0"/>
    <n v="0"/>
    <n v="0"/>
    <n v="0"/>
    <n v="0"/>
    <x v="38"/>
    <n v="0"/>
    <x v="3"/>
    <n v="0"/>
  </r>
  <r>
    <x v="2"/>
    <x v="33"/>
    <n v="0"/>
    <n v="0"/>
    <x v="0"/>
    <n v="0"/>
    <n v="0"/>
    <n v="0"/>
    <n v="0"/>
    <n v="0"/>
    <x v="38"/>
    <n v="0"/>
    <x v="3"/>
    <n v="0"/>
  </r>
  <r>
    <x v="2"/>
    <x v="34"/>
    <n v="4.2033333329999998"/>
    <n v="3.3"/>
    <x v="692"/>
    <n v="3.97"/>
    <n v="5.08"/>
    <n v="9.0500000000000007"/>
    <n v="43.87"/>
    <n v="46.45"/>
    <x v="38"/>
    <n v="50.439999995999997"/>
    <x v="4"/>
    <n v="0.46445672187845299"/>
  </r>
  <r>
    <x v="2"/>
    <x v="36"/>
    <n v="0"/>
    <n v="0"/>
    <x v="0"/>
    <n v="0"/>
    <n v="0"/>
    <n v="0"/>
    <n v="0"/>
    <n v="0"/>
    <x v="38"/>
    <n v="0"/>
    <x v="4"/>
    <n v="0"/>
  </r>
  <r>
    <x v="2"/>
    <x v="37"/>
    <n v="0"/>
    <n v="0"/>
    <x v="0"/>
    <n v="0"/>
    <n v="0"/>
    <n v="0"/>
    <n v="0"/>
    <n v="0"/>
    <x v="38"/>
    <n v="0"/>
    <x v="4"/>
    <n v="0"/>
  </r>
  <r>
    <x v="2"/>
    <x v="38"/>
    <n v="0"/>
    <n v="0"/>
    <x v="0"/>
    <n v="0"/>
    <n v="0"/>
    <n v="0"/>
    <n v="0"/>
    <n v="0"/>
    <x v="38"/>
    <n v="0"/>
    <x v="2"/>
    <n v="0"/>
  </r>
  <r>
    <x v="2"/>
    <x v="39"/>
    <n v="5.25"/>
    <n v="3.77"/>
    <x v="693"/>
    <n v="3.77"/>
    <n v="4.4000000000000004"/>
    <n v="8.17"/>
    <n v="46.14"/>
    <n v="64.260000000000005"/>
    <x v="38"/>
    <n v="63"/>
    <x v="2"/>
    <n v="0.64259485924112603"/>
  </r>
  <r>
    <x v="2"/>
    <x v="40"/>
    <n v="0"/>
    <n v="0"/>
    <x v="0"/>
    <n v="0"/>
    <n v="0"/>
    <n v="0"/>
    <n v="0"/>
    <n v="0"/>
    <x v="38"/>
    <n v="0"/>
    <x v="3"/>
    <n v="0"/>
  </r>
  <r>
    <x v="2"/>
    <x v="41"/>
    <n v="5.57"/>
    <n v="3.17"/>
    <x v="694"/>
    <n v="3.17"/>
    <n v="5.01"/>
    <n v="8.18"/>
    <n v="38.75"/>
    <n v="68.09"/>
    <x v="38"/>
    <n v="66.84"/>
    <x v="5"/>
    <n v="0.68092909535452328"/>
  </r>
  <r>
    <x v="2"/>
    <x v="42"/>
    <n v="0"/>
    <n v="0"/>
    <x v="0"/>
    <n v="0"/>
    <n v="0"/>
    <n v="0"/>
    <n v="0"/>
    <n v="0"/>
    <x v="38"/>
    <n v="0"/>
    <x v="2"/>
    <n v="0"/>
  </r>
  <r>
    <x v="2"/>
    <x v="43"/>
    <n v="0"/>
    <n v="0"/>
    <x v="0"/>
    <n v="0"/>
    <n v="0"/>
    <n v="0"/>
    <n v="0"/>
    <n v="0"/>
    <x v="38"/>
    <n v="0"/>
    <x v="3"/>
    <n v="0"/>
  </r>
  <r>
    <x v="2"/>
    <x v="44"/>
    <n v="0"/>
    <n v="0"/>
    <x v="0"/>
    <n v="0"/>
    <n v="0"/>
    <n v="0"/>
    <n v="0"/>
    <n v="0"/>
    <x v="38"/>
    <n v="0"/>
    <x v="3"/>
    <n v="0"/>
  </r>
  <r>
    <x v="2"/>
    <x v="45"/>
    <n v="0"/>
    <n v="0"/>
    <x v="0"/>
    <n v="0"/>
    <n v="0"/>
    <n v="0"/>
    <n v="0"/>
    <n v="0"/>
    <x v="38"/>
    <n v="0"/>
    <x v="4"/>
    <n v="0"/>
  </r>
  <r>
    <x v="2"/>
    <x v="46"/>
    <n v="0"/>
    <n v="0"/>
    <x v="0"/>
    <n v="0"/>
    <n v="0"/>
    <n v="0"/>
    <n v="0"/>
    <n v="0"/>
    <x v="38"/>
    <n v="0"/>
    <x v="4"/>
    <n v="0"/>
  </r>
  <r>
    <x v="2"/>
    <x v="47"/>
    <n v="0"/>
    <n v="0"/>
    <x v="0"/>
    <n v="0"/>
    <n v="0"/>
    <n v="0"/>
    <n v="0"/>
    <n v="0"/>
    <x v="38"/>
    <n v="0"/>
    <x v="5"/>
    <n v="0"/>
  </r>
  <r>
    <x v="2"/>
    <x v="48"/>
    <n v="0"/>
    <n v="0"/>
    <x v="0"/>
    <n v="0"/>
    <n v="0"/>
    <n v="0"/>
    <n v="0"/>
    <n v="0"/>
    <x v="38"/>
    <n v="0"/>
    <x v="6"/>
    <n v="0"/>
  </r>
  <r>
    <x v="2"/>
    <x v="49"/>
    <n v="0"/>
    <n v="0"/>
    <x v="0"/>
    <n v="0"/>
    <n v="0"/>
    <n v="0"/>
    <n v="0"/>
    <n v="0"/>
    <x v="38"/>
    <n v="0"/>
    <x v="3"/>
    <n v="0"/>
  </r>
  <r>
    <x v="2"/>
    <x v="50"/>
    <n v="3.12"/>
    <n v="2.7"/>
    <x v="695"/>
    <n v="2.7"/>
    <n v="5.55"/>
    <n v="8.25"/>
    <n v="32.729999999999997"/>
    <n v="37.82"/>
    <x v="38"/>
    <n v="37.440000000000005"/>
    <x v="4"/>
    <n v="0.37818181818181817"/>
  </r>
  <r>
    <x v="0"/>
    <x v="0"/>
    <n v="0"/>
    <n v="0"/>
    <x v="0"/>
    <n v="0"/>
    <n v="0"/>
    <n v="0"/>
    <n v="0"/>
    <n v="0"/>
    <x v="39"/>
    <n v="0"/>
    <x v="0"/>
    <n v="0"/>
  </r>
  <r>
    <x v="0"/>
    <x v="1"/>
    <n v="0"/>
    <n v="0"/>
    <x v="0"/>
    <n v="0"/>
    <n v="0"/>
    <n v="0"/>
    <n v="0"/>
    <n v="0"/>
    <x v="39"/>
    <n v="0"/>
    <x v="0"/>
    <n v="0"/>
  </r>
  <r>
    <x v="0"/>
    <x v="2"/>
    <n v="0"/>
    <n v="0"/>
    <x v="0"/>
    <n v="0"/>
    <n v="0"/>
    <n v="0"/>
    <n v="0"/>
    <n v="0"/>
    <x v="39"/>
    <n v="0"/>
    <x v="0"/>
    <n v="0"/>
  </r>
  <r>
    <x v="0"/>
    <x v="3"/>
    <n v="0"/>
    <n v="0"/>
    <x v="0"/>
    <n v="0"/>
    <n v="0"/>
    <n v="0"/>
    <n v="0"/>
    <n v="0"/>
    <x v="39"/>
    <n v="0"/>
    <x v="0"/>
    <n v="0"/>
  </r>
  <r>
    <x v="0"/>
    <x v="4"/>
    <n v="0"/>
    <n v="0"/>
    <x v="0"/>
    <n v="0"/>
    <n v="0"/>
    <n v="0"/>
    <n v="0"/>
    <n v="0"/>
    <x v="39"/>
    <n v="0"/>
    <x v="0"/>
    <n v="0"/>
  </r>
  <r>
    <x v="0"/>
    <x v="5"/>
    <n v="0"/>
    <n v="0"/>
    <x v="0"/>
    <n v="0"/>
    <n v="0"/>
    <n v="0"/>
    <n v="0"/>
    <n v="0"/>
    <x v="39"/>
    <n v="0"/>
    <x v="0"/>
    <n v="0"/>
  </r>
  <r>
    <x v="0"/>
    <x v="6"/>
    <n v="0"/>
    <n v="0"/>
    <x v="0"/>
    <n v="0"/>
    <n v="0"/>
    <n v="0"/>
    <n v="0"/>
    <n v="0"/>
    <x v="39"/>
    <n v="0"/>
    <x v="0"/>
    <n v="0"/>
  </r>
  <r>
    <x v="0"/>
    <x v="7"/>
    <n v="0"/>
    <n v="0"/>
    <x v="0"/>
    <n v="0"/>
    <n v="0"/>
    <n v="0"/>
    <n v="0"/>
    <n v="0"/>
    <x v="39"/>
    <n v="0"/>
    <x v="0"/>
    <n v="0"/>
  </r>
  <r>
    <x v="0"/>
    <x v="8"/>
    <n v="0"/>
    <n v="0"/>
    <x v="0"/>
    <n v="0"/>
    <n v="0"/>
    <n v="0"/>
    <n v="0"/>
    <n v="0"/>
    <x v="39"/>
    <n v="0"/>
    <x v="0"/>
    <n v="0"/>
  </r>
  <r>
    <x v="1"/>
    <x v="9"/>
    <n v="0"/>
    <n v="0"/>
    <x v="0"/>
    <n v="0"/>
    <n v="0"/>
    <n v="0"/>
    <n v="0"/>
    <n v="0"/>
    <x v="39"/>
    <n v="0"/>
    <x v="1"/>
    <n v="0"/>
  </r>
  <r>
    <x v="1"/>
    <x v="10"/>
    <n v="0"/>
    <n v="0"/>
    <x v="0"/>
    <n v="0"/>
    <n v="0"/>
    <n v="0"/>
    <n v="0"/>
    <n v="0"/>
    <x v="39"/>
    <n v="0"/>
    <x v="1"/>
    <n v="0"/>
  </r>
  <r>
    <x v="1"/>
    <x v="11"/>
    <n v="0"/>
    <n v="0"/>
    <x v="0"/>
    <n v="0"/>
    <n v="0"/>
    <n v="0"/>
    <n v="0"/>
    <n v="0"/>
    <x v="39"/>
    <n v="0"/>
    <x v="1"/>
    <n v="0"/>
  </r>
  <r>
    <x v="1"/>
    <x v="12"/>
    <n v="0"/>
    <n v="0"/>
    <x v="0"/>
    <n v="0"/>
    <n v="0"/>
    <n v="0"/>
    <n v="0"/>
    <n v="0"/>
    <x v="39"/>
    <n v="0"/>
    <x v="1"/>
    <n v="0"/>
  </r>
  <r>
    <x v="1"/>
    <x v="13"/>
    <n v="0"/>
    <n v="0"/>
    <x v="0"/>
    <n v="0"/>
    <n v="0"/>
    <n v="0"/>
    <n v="0"/>
    <n v="0"/>
    <x v="39"/>
    <n v="0"/>
    <x v="1"/>
    <n v="0"/>
  </r>
  <r>
    <x v="2"/>
    <x v="14"/>
    <n v="0"/>
    <n v="0"/>
    <x v="0"/>
    <n v="0"/>
    <n v="0"/>
    <n v="0"/>
    <n v="0"/>
    <n v="0"/>
    <x v="39"/>
    <n v="0"/>
    <x v="2"/>
    <n v="0"/>
  </r>
  <r>
    <x v="2"/>
    <x v="15"/>
    <n v="0"/>
    <n v="0"/>
    <x v="0"/>
    <n v="0"/>
    <n v="0"/>
    <n v="0"/>
    <n v="0"/>
    <n v="0"/>
    <x v="39"/>
    <n v="0"/>
    <x v="3"/>
    <n v="0"/>
  </r>
  <r>
    <x v="2"/>
    <x v="16"/>
    <n v="0"/>
    <n v="0"/>
    <x v="0"/>
    <n v="0"/>
    <n v="0"/>
    <n v="0"/>
    <n v="0"/>
    <n v="0"/>
    <x v="39"/>
    <n v="0"/>
    <x v="4"/>
    <n v="0"/>
  </r>
  <r>
    <x v="2"/>
    <x v="17"/>
    <n v="0"/>
    <n v="0"/>
    <x v="0"/>
    <n v="0"/>
    <n v="0"/>
    <n v="0"/>
    <n v="0"/>
    <n v="0"/>
    <x v="39"/>
    <n v="0"/>
    <x v="3"/>
    <n v="0"/>
  </r>
  <r>
    <x v="2"/>
    <x v="18"/>
    <n v="0"/>
    <n v="0"/>
    <x v="0"/>
    <n v="0"/>
    <n v="0"/>
    <n v="0"/>
    <n v="0"/>
    <n v="0"/>
    <x v="39"/>
    <n v="0"/>
    <x v="3"/>
    <n v="0"/>
  </r>
  <r>
    <x v="2"/>
    <x v="19"/>
    <n v="0"/>
    <n v="0"/>
    <x v="0"/>
    <n v="0"/>
    <n v="0"/>
    <n v="0"/>
    <n v="0"/>
    <n v="0"/>
    <x v="39"/>
    <n v="0"/>
    <x v="2"/>
    <n v="0"/>
  </r>
  <r>
    <x v="2"/>
    <x v="20"/>
    <n v="0"/>
    <n v="0"/>
    <x v="0"/>
    <n v="0"/>
    <n v="0"/>
    <n v="0"/>
    <n v="0"/>
    <n v="0"/>
    <x v="39"/>
    <n v="0"/>
    <x v="5"/>
    <n v="0"/>
  </r>
  <r>
    <x v="2"/>
    <x v="21"/>
    <n v="0"/>
    <n v="0"/>
    <x v="0"/>
    <n v="0"/>
    <n v="0"/>
    <n v="0"/>
    <n v="0"/>
    <n v="0"/>
    <x v="39"/>
    <n v="0"/>
    <x v="2"/>
    <n v="0"/>
  </r>
  <r>
    <x v="2"/>
    <x v="22"/>
    <n v="0"/>
    <n v="0"/>
    <x v="0"/>
    <n v="0"/>
    <n v="0"/>
    <n v="0"/>
    <n v="0"/>
    <n v="0"/>
    <x v="39"/>
    <n v="0"/>
    <x v="4"/>
    <n v="0"/>
  </r>
  <r>
    <x v="2"/>
    <x v="23"/>
    <n v="0"/>
    <n v="0"/>
    <x v="0"/>
    <n v="0"/>
    <n v="0"/>
    <n v="0"/>
    <n v="0"/>
    <n v="0"/>
    <x v="39"/>
    <n v="0"/>
    <x v="3"/>
    <n v="0"/>
  </r>
  <r>
    <x v="2"/>
    <x v="24"/>
    <n v="0"/>
    <n v="0"/>
    <x v="0"/>
    <n v="0"/>
    <n v="0"/>
    <n v="0"/>
    <n v="0"/>
    <n v="0"/>
    <x v="39"/>
    <n v="0"/>
    <x v="5"/>
    <n v="0"/>
  </r>
  <r>
    <x v="2"/>
    <x v="25"/>
    <n v="0"/>
    <n v="0"/>
    <x v="0"/>
    <n v="0"/>
    <n v="0"/>
    <n v="0"/>
    <n v="0"/>
    <n v="0"/>
    <x v="39"/>
    <n v="0"/>
    <x v="2"/>
    <n v="0"/>
  </r>
  <r>
    <x v="2"/>
    <x v="26"/>
    <n v="0"/>
    <n v="0"/>
    <x v="0"/>
    <n v="0"/>
    <n v="0"/>
    <n v="0"/>
    <n v="0"/>
    <n v="0"/>
    <x v="39"/>
    <n v="0"/>
    <x v="3"/>
    <n v="0"/>
  </r>
  <r>
    <x v="2"/>
    <x v="27"/>
    <n v="0"/>
    <n v="0"/>
    <x v="0"/>
    <n v="0"/>
    <n v="0"/>
    <n v="0"/>
    <n v="0"/>
    <n v="0"/>
    <x v="39"/>
    <n v="0"/>
    <x v="5"/>
    <n v="0"/>
  </r>
  <r>
    <x v="2"/>
    <x v="29"/>
    <n v="0"/>
    <n v="0"/>
    <x v="0"/>
    <n v="0"/>
    <n v="0"/>
    <n v="0"/>
    <n v="0"/>
    <n v="0"/>
    <x v="39"/>
    <n v="0"/>
    <x v="5"/>
    <n v="0"/>
  </r>
  <r>
    <x v="2"/>
    <x v="30"/>
    <n v="0"/>
    <n v="0"/>
    <x v="0"/>
    <n v="0"/>
    <n v="0"/>
    <n v="0"/>
    <n v="0"/>
    <n v="0"/>
    <x v="39"/>
    <n v="0"/>
    <x v="5"/>
    <n v="0"/>
  </r>
  <r>
    <x v="2"/>
    <x v="31"/>
    <n v="0"/>
    <n v="0"/>
    <x v="0"/>
    <n v="0"/>
    <n v="0"/>
    <n v="0"/>
    <n v="0"/>
    <n v="0"/>
    <x v="39"/>
    <n v="0"/>
    <x v="2"/>
    <n v="0"/>
  </r>
  <r>
    <x v="2"/>
    <x v="32"/>
    <n v="0"/>
    <n v="0"/>
    <x v="0"/>
    <n v="0"/>
    <n v="0"/>
    <n v="0"/>
    <n v="0"/>
    <n v="0"/>
    <x v="39"/>
    <n v="0"/>
    <x v="3"/>
    <n v="0"/>
  </r>
  <r>
    <x v="2"/>
    <x v="33"/>
    <n v="0"/>
    <n v="0"/>
    <x v="0"/>
    <n v="0"/>
    <n v="0"/>
    <n v="0"/>
    <n v="0"/>
    <n v="0"/>
    <x v="39"/>
    <n v="0"/>
    <x v="3"/>
    <n v="0"/>
  </r>
  <r>
    <x v="2"/>
    <x v="34"/>
    <n v="0"/>
    <n v="0"/>
    <x v="0"/>
    <n v="0"/>
    <n v="0"/>
    <n v="0"/>
    <n v="0"/>
    <n v="0"/>
    <x v="39"/>
    <n v="0"/>
    <x v="4"/>
    <n v="0"/>
  </r>
  <r>
    <x v="2"/>
    <x v="35"/>
    <n v="0"/>
    <n v="0"/>
    <x v="0"/>
    <n v="0"/>
    <n v="0"/>
    <n v="0"/>
    <n v="0"/>
    <n v="0"/>
    <x v="39"/>
    <n v="0"/>
    <x v="2"/>
    <n v="0"/>
  </r>
  <r>
    <x v="2"/>
    <x v="36"/>
    <n v="0"/>
    <n v="0"/>
    <x v="0"/>
    <n v="0"/>
    <n v="0"/>
    <n v="0"/>
    <n v="0"/>
    <n v="0"/>
    <x v="39"/>
    <n v="0"/>
    <x v="4"/>
    <n v="0"/>
  </r>
  <r>
    <x v="2"/>
    <x v="37"/>
    <n v="0"/>
    <n v="0"/>
    <x v="0"/>
    <n v="0"/>
    <n v="0"/>
    <n v="0"/>
    <n v="0"/>
    <n v="0"/>
    <x v="39"/>
    <n v="0"/>
    <x v="4"/>
    <n v="0"/>
  </r>
  <r>
    <x v="2"/>
    <x v="38"/>
    <n v="0"/>
    <n v="0"/>
    <x v="0"/>
    <n v="0"/>
    <n v="0"/>
    <n v="0"/>
    <n v="0"/>
    <n v="0"/>
    <x v="39"/>
    <n v="0"/>
    <x v="2"/>
    <n v="0"/>
  </r>
  <r>
    <x v="2"/>
    <x v="39"/>
    <n v="0"/>
    <n v="0"/>
    <x v="0"/>
    <n v="0"/>
    <n v="0"/>
    <n v="0"/>
    <n v="0"/>
    <n v="0"/>
    <x v="39"/>
    <n v="0"/>
    <x v="2"/>
    <n v="0"/>
  </r>
  <r>
    <x v="2"/>
    <x v="40"/>
    <n v="0"/>
    <n v="0"/>
    <x v="0"/>
    <n v="0"/>
    <n v="0"/>
    <n v="0"/>
    <n v="0"/>
    <n v="0"/>
    <x v="39"/>
    <n v="0"/>
    <x v="3"/>
    <n v="0"/>
  </r>
  <r>
    <x v="2"/>
    <x v="41"/>
    <n v="0"/>
    <n v="0"/>
    <x v="0"/>
    <n v="0"/>
    <n v="0"/>
    <n v="0"/>
    <n v="0"/>
    <n v="0"/>
    <x v="39"/>
    <n v="0"/>
    <x v="5"/>
    <n v="0"/>
  </r>
  <r>
    <x v="2"/>
    <x v="42"/>
    <n v="0"/>
    <n v="0"/>
    <x v="0"/>
    <n v="0"/>
    <n v="0"/>
    <n v="0"/>
    <n v="0"/>
    <n v="0"/>
    <x v="39"/>
    <n v="0"/>
    <x v="2"/>
    <n v="0"/>
  </r>
  <r>
    <x v="2"/>
    <x v="43"/>
    <n v="0"/>
    <n v="0"/>
    <x v="0"/>
    <n v="0"/>
    <n v="0"/>
    <n v="0"/>
    <n v="0"/>
    <n v="0"/>
    <x v="39"/>
    <n v="0"/>
    <x v="3"/>
    <n v="0"/>
  </r>
  <r>
    <x v="2"/>
    <x v="44"/>
    <n v="0"/>
    <n v="0"/>
    <x v="0"/>
    <n v="0"/>
    <n v="0"/>
    <n v="0"/>
    <n v="0"/>
    <n v="0"/>
    <x v="39"/>
    <n v="0"/>
    <x v="3"/>
    <n v="0"/>
  </r>
  <r>
    <x v="2"/>
    <x v="45"/>
    <n v="0"/>
    <n v="0"/>
    <x v="0"/>
    <n v="0"/>
    <n v="0"/>
    <n v="0"/>
    <n v="0"/>
    <n v="0"/>
    <x v="39"/>
    <n v="0"/>
    <x v="4"/>
    <n v="0"/>
  </r>
  <r>
    <x v="2"/>
    <x v="46"/>
    <n v="0"/>
    <n v="0"/>
    <x v="0"/>
    <n v="0"/>
    <n v="0"/>
    <n v="0"/>
    <n v="0"/>
    <n v="0"/>
    <x v="39"/>
    <n v="0"/>
    <x v="4"/>
    <n v="0"/>
  </r>
  <r>
    <x v="2"/>
    <x v="47"/>
    <n v="0"/>
    <n v="0"/>
    <x v="0"/>
    <n v="0"/>
    <n v="0"/>
    <n v="0"/>
    <n v="0"/>
    <n v="0"/>
    <x v="39"/>
    <n v="0"/>
    <x v="5"/>
    <n v="0"/>
  </r>
  <r>
    <x v="2"/>
    <x v="48"/>
    <n v="0"/>
    <n v="0"/>
    <x v="0"/>
    <n v="0"/>
    <n v="0"/>
    <n v="0"/>
    <n v="0"/>
    <n v="0"/>
    <x v="39"/>
    <n v="0"/>
    <x v="6"/>
    <n v="0"/>
  </r>
  <r>
    <x v="2"/>
    <x v="49"/>
    <n v="0"/>
    <n v="0"/>
    <x v="0"/>
    <n v="0"/>
    <n v="0"/>
    <n v="0"/>
    <n v="0"/>
    <n v="0"/>
    <x v="39"/>
    <n v="0"/>
    <x v="3"/>
    <n v="0"/>
  </r>
  <r>
    <x v="2"/>
    <x v="50"/>
    <n v="0"/>
    <n v="0"/>
    <x v="0"/>
    <n v="0"/>
    <n v="0"/>
    <n v="0"/>
    <n v="0"/>
    <n v="0"/>
    <x v="39"/>
    <n v="0"/>
    <x v="4"/>
    <n v="0"/>
  </r>
  <r>
    <x v="0"/>
    <x v="0"/>
    <n v="0"/>
    <n v="0"/>
    <x v="0"/>
    <n v="0"/>
    <n v="0"/>
    <n v="0"/>
    <n v="0"/>
    <n v="0"/>
    <x v="40"/>
    <n v="0"/>
    <x v="0"/>
    <n v="0"/>
  </r>
  <r>
    <x v="0"/>
    <x v="1"/>
    <n v="0"/>
    <n v="0"/>
    <x v="0"/>
    <n v="0"/>
    <n v="0"/>
    <n v="0"/>
    <n v="0"/>
    <n v="0"/>
    <x v="40"/>
    <n v="0"/>
    <x v="0"/>
    <n v="0"/>
  </r>
  <r>
    <x v="0"/>
    <x v="2"/>
    <n v="0"/>
    <n v="0"/>
    <x v="0"/>
    <n v="0"/>
    <n v="0"/>
    <n v="0"/>
    <n v="0"/>
    <n v="0"/>
    <x v="40"/>
    <n v="0"/>
    <x v="0"/>
    <n v="0"/>
  </r>
  <r>
    <x v="0"/>
    <x v="3"/>
    <n v="0"/>
    <n v="0"/>
    <x v="0"/>
    <n v="0"/>
    <n v="0"/>
    <n v="0"/>
    <n v="0"/>
    <n v="0"/>
    <x v="40"/>
    <n v="0"/>
    <x v="0"/>
    <n v="0"/>
  </r>
  <r>
    <x v="0"/>
    <x v="4"/>
    <n v="0"/>
    <n v="0"/>
    <x v="0"/>
    <n v="0"/>
    <n v="0"/>
    <n v="0"/>
    <n v="0"/>
    <n v="0"/>
    <x v="40"/>
    <n v="0"/>
    <x v="0"/>
    <n v="0"/>
  </r>
  <r>
    <x v="0"/>
    <x v="5"/>
    <n v="0"/>
    <n v="0"/>
    <x v="0"/>
    <n v="0"/>
    <n v="0"/>
    <n v="0"/>
    <n v="0"/>
    <n v="0"/>
    <x v="40"/>
    <n v="0"/>
    <x v="0"/>
    <n v="0"/>
  </r>
  <r>
    <x v="0"/>
    <x v="6"/>
    <n v="0"/>
    <n v="0"/>
    <x v="0"/>
    <n v="0"/>
    <n v="0"/>
    <n v="0"/>
    <n v="0"/>
    <n v="0"/>
    <x v="40"/>
    <n v="0"/>
    <x v="0"/>
    <n v="0"/>
  </r>
  <r>
    <x v="0"/>
    <x v="7"/>
    <n v="0"/>
    <n v="0"/>
    <x v="0"/>
    <n v="0"/>
    <n v="0"/>
    <n v="0"/>
    <n v="0"/>
    <n v="0"/>
    <x v="40"/>
    <n v="0"/>
    <x v="0"/>
    <n v="0"/>
  </r>
  <r>
    <x v="0"/>
    <x v="8"/>
    <n v="0"/>
    <n v="0"/>
    <x v="0"/>
    <n v="0"/>
    <n v="0"/>
    <n v="0"/>
    <n v="0"/>
    <n v="0"/>
    <x v="40"/>
    <n v="0"/>
    <x v="0"/>
    <n v="0"/>
  </r>
  <r>
    <x v="1"/>
    <x v="9"/>
    <n v="0"/>
    <n v="0"/>
    <x v="0"/>
    <n v="0"/>
    <n v="0"/>
    <n v="0"/>
    <n v="0"/>
    <n v="0"/>
    <x v="40"/>
    <n v="0"/>
    <x v="1"/>
    <n v="0"/>
  </r>
  <r>
    <x v="1"/>
    <x v="10"/>
    <n v="0"/>
    <n v="0"/>
    <x v="0"/>
    <n v="0"/>
    <n v="0"/>
    <n v="0"/>
    <n v="0"/>
    <n v="0"/>
    <x v="40"/>
    <n v="0"/>
    <x v="1"/>
    <n v="0"/>
  </r>
  <r>
    <x v="1"/>
    <x v="11"/>
    <n v="0"/>
    <n v="0"/>
    <x v="0"/>
    <n v="0"/>
    <n v="0"/>
    <n v="0"/>
    <n v="0"/>
    <n v="0"/>
    <x v="40"/>
    <n v="0"/>
    <x v="1"/>
    <n v="0"/>
  </r>
  <r>
    <x v="1"/>
    <x v="12"/>
    <n v="0"/>
    <n v="0"/>
    <x v="0"/>
    <n v="0"/>
    <n v="0"/>
    <n v="0"/>
    <n v="0"/>
    <n v="0"/>
    <x v="40"/>
    <n v="0"/>
    <x v="1"/>
    <n v="0"/>
  </r>
  <r>
    <x v="1"/>
    <x v="13"/>
    <n v="0"/>
    <n v="0"/>
    <x v="0"/>
    <n v="0"/>
    <n v="0"/>
    <n v="0"/>
    <n v="0"/>
    <n v="0"/>
    <x v="40"/>
    <n v="0"/>
    <x v="1"/>
    <n v="0"/>
  </r>
  <r>
    <x v="2"/>
    <x v="14"/>
    <n v="0"/>
    <n v="0"/>
    <x v="0"/>
    <n v="0"/>
    <n v="0"/>
    <n v="0"/>
    <n v="0"/>
    <n v="0"/>
    <x v="40"/>
    <n v="0"/>
    <x v="2"/>
    <n v="0"/>
  </r>
  <r>
    <x v="2"/>
    <x v="15"/>
    <n v="0"/>
    <n v="0"/>
    <x v="0"/>
    <n v="0"/>
    <n v="0"/>
    <n v="0"/>
    <n v="0"/>
    <n v="0"/>
    <x v="40"/>
    <n v="0"/>
    <x v="3"/>
    <n v="0"/>
  </r>
  <r>
    <x v="2"/>
    <x v="16"/>
    <n v="0"/>
    <n v="0"/>
    <x v="0"/>
    <n v="0"/>
    <n v="0"/>
    <n v="0"/>
    <n v="0"/>
    <n v="0"/>
    <x v="40"/>
    <n v="0"/>
    <x v="4"/>
    <n v="0"/>
  </r>
  <r>
    <x v="2"/>
    <x v="17"/>
    <n v="0"/>
    <n v="0"/>
    <x v="0"/>
    <n v="0"/>
    <n v="0"/>
    <n v="0"/>
    <n v="0"/>
    <n v="0"/>
    <x v="40"/>
    <n v="0"/>
    <x v="3"/>
    <n v="0"/>
  </r>
  <r>
    <x v="2"/>
    <x v="18"/>
    <n v="0"/>
    <n v="0"/>
    <x v="0"/>
    <n v="0"/>
    <n v="0"/>
    <n v="0"/>
    <n v="0"/>
    <n v="0"/>
    <x v="40"/>
    <n v="0"/>
    <x v="3"/>
    <n v="0"/>
  </r>
  <r>
    <x v="2"/>
    <x v="19"/>
    <n v="0"/>
    <n v="0"/>
    <x v="0"/>
    <n v="0"/>
    <n v="0"/>
    <n v="0"/>
    <n v="0"/>
    <n v="0"/>
    <x v="40"/>
    <n v="0"/>
    <x v="2"/>
    <n v="0"/>
  </r>
  <r>
    <x v="2"/>
    <x v="20"/>
    <n v="0"/>
    <n v="0"/>
    <x v="0"/>
    <n v="0"/>
    <n v="0"/>
    <n v="0"/>
    <n v="0"/>
    <n v="0"/>
    <x v="40"/>
    <n v="0"/>
    <x v="5"/>
    <n v="0"/>
  </r>
  <r>
    <x v="2"/>
    <x v="21"/>
    <n v="0"/>
    <n v="0"/>
    <x v="0"/>
    <n v="0"/>
    <n v="0"/>
    <n v="0"/>
    <n v="0"/>
    <n v="0"/>
    <x v="40"/>
    <n v="0"/>
    <x v="2"/>
    <n v="0"/>
  </r>
  <r>
    <x v="2"/>
    <x v="22"/>
    <n v="0"/>
    <n v="0"/>
    <x v="0"/>
    <n v="0"/>
    <n v="0"/>
    <n v="0"/>
    <n v="0"/>
    <n v="0"/>
    <x v="40"/>
    <n v="0"/>
    <x v="4"/>
    <n v="0"/>
  </r>
  <r>
    <x v="2"/>
    <x v="23"/>
    <n v="0"/>
    <n v="0"/>
    <x v="0"/>
    <n v="0"/>
    <n v="0"/>
    <n v="0"/>
    <n v="0"/>
    <n v="0"/>
    <x v="40"/>
    <n v="0"/>
    <x v="3"/>
    <n v="0"/>
  </r>
  <r>
    <x v="2"/>
    <x v="24"/>
    <n v="0"/>
    <n v="0"/>
    <x v="0"/>
    <n v="0"/>
    <n v="0"/>
    <n v="0"/>
    <n v="0"/>
    <n v="0"/>
    <x v="40"/>
    <n v="0"/>
    <x v="5"/>
    <n v="0"/>
  </r>
  <r>
    <x v="2"/>
    <x v="25"/>
    <n v="0"/>
    <n v="0"/>
    <x v="0"/>
    <n v="0"/>
    <n v="0"/>
    <n v="0"/>
    <n v="0"/>
    <n v="0"/>
    <x v="40"/>
    <n v="0"/>
    <x v="2"/>
    <n v="0"/>
  </r>
  <r>
    <x v="2"/>
    <x v="26"/>
    <n v="0"/>
    <n v="0"/>
    <x v="0"/>
    <n v="0"/>
    <n v="0"/>
    <n v="0"/>
    <n v="0"/>
    <n v="0"/>
    <x v="40"/>
    <n v="0"/>
    <x v="3"/>
    <n v="0"/>
  </r>
  <r>
    <x v="2"/>
    <x v="27"/>
    <n v="0"/>
    <n v="0"/>
    <x v="0"/>
    <n v="0"/>
    <n v="0"/>
    <n v="0"/>
    <n v="0"/>
    <n v="0"/>
    <x v="40"/>
    <n v="0"/>
    <x v="5"/>
    <n v="0"/>
  </r>
  <r>
    <x v="2"/>
    <x v="29"/>
    <n v="0"/>
    <n v="0"/>
    <x v="0"/>
    <n v="0"/>
    <n v="0"/>
    <n v="0"/>
    <n v="0"/>
    <n v="0"/>
    <x v="40"/>
    <n v="0"/>
    <x v="5"/>
    <n v="0"/>
  </r>
  <r>
    <x v="2"/>
    <x v="30"/>
    <n v="0"/>
    <n v="0"/>
    <x v="0"/>
    <n v="0"/>
    <n v="0"/>
    <n v="0"/>
    <n v="0"/>
    <n v="0"/>
    <x v="40"/>
    <n v="0"/>
    <x v="5"/>
    <n v="0"/>
  </r>
  <r>
    <x v="2"/>
    <x v="31"/>
    <n v="0"/>
    <n v="0"/>
    <x v="0"/>
    <n v="0"/>
    <n v="0"/>
    <n v="0"/>
    <n v="0"/>
    <n v="0"/>
    <x v="40"/>
    <n v="0"/>
    <x v="2"/>
    <n v="0"/>
  </r>
  <r>
    <x v="2"/>
    <x v="32"/>
    <n v="0"/>
    <n v="0"/>
    <x v="0"/>
    <n v="0"/>
    <n v="0"/>
    <n v="0"/>
    <n v="0"/>
    <n v="0"/>
    <x v="40"/>
    <n v="0"/>
    <x v="3"/>
    <n v="0"/>
  </r>
  <r>
    <x v="2"/>
    <x v="33"/>
    <n v="0"/>
    <n v="0"/>
    <x v="0"/>
    <n v="0"/>
    <n v="0"/>
    <n v="0"/>
    <n v="0"/>
    <n v="0"/>
    <x v="40"/>
    <n v="0"/>
    <x v="3"/>
    <n v="0"/>
  </r>
  <r>
    <x v="2"/>
    <x v="34"/>
    <n v="0"/>
    <n v="0"/>
    <x v="0"/>
    <n v="0"/>
    <n v="0"/>
    <n v="0"/>
    <n v="0"/>
    <n v="0"/>
    <x v="40"/>
    <n v="0"/>
    <x v="4"/>
    <n v="0"/>
  </r>
  <r>
    <x v="2"/>
    <x v="35"/>
    <n v="0"/>
    <n v="0"/>
    <x v="0"/>
    <n v="0"/>
    <n v="0"/>
    <n v="0"/>
    <n v="0"/>
    <n v="0"/>
    <x v="40"/>
    <n v="0"/>
    <x v="2"/>
    <n v="0"/>
  </r>
  <r>
    <x v="2"/>
    <x v="36"/>
    <n v="0"/>
    <n v="0"/>
    <x v="0"/>
    <n v="0"/>
    <n v="0"/>
    <n v="0"/>
    <n v="0"/>
    <n v="0"/>
    <x v="40"/>
    <n v="0"/>
    <x v="4"/>
    <n v="0"/>
  </r>
  <r>
    <x v="2"/>
    <x v="37"/>
    <n v="0"/>
    <n v="0"/>
    <x v="0"/>
    <n v="0"/>
    <n v="0"/>
    <n v="0"/>
    <n v="0"/>
    <n v="0"/>
    <x v="40"/>
    <n v="0"/>
    <x v="4"/>
    <n v="0"/>
  </r>
  <r>
    <x v="2"/>
    <x v="38"/>
    <n v="0"/>
    <n v="0"/>
    <x v="0"/>
    <n v="0"/>
    <n v="0"/>
    <n v="0"/>
    <n v="0"/>
    <n v="0"/>
    <x v="40"/>
    <n v="0"/>
    <x v="2"/>
    <n v="0"/>
  </r>
  <r>
    <x v="2"/>
    <x v="39"/>
    <n v="0"/>
    <n v="0"/>
    <x v="0"/>
    <n v="0"/>
    <n v="0"/>
    <n v="0"/>
    <n v="0"/>
    <n v="0"/>
    <x v="40"/>
    <n v="0"/>
    <x v="2"/>
    <n v="0"/>
  </r>
  <r>
    <x v="2"/>
    <x v="40"/>
    <n v="0"/>
    <n v="0"/>
    <x v="0"/>
    <n v="0"/>
    <n v="0"/>
    <n v="0"/>
    <n v="0"/>
    <n v="0"/>
    <x v="40"/>
    <n v="0"/>
    <x v="3"/>
    <n v="0"/>
  </r>
  <r>
    <x v="2"/>
    <x v="41"/>
    <n v="0"/>
    <n v="0"/>
    <x v="0"/>
    <n v="0"/>
    <n v="0"/>
    <n v="0"/>
    <n v="0"/>
    <n v="0"/>
    <x v="40"/>
    <n v="0"/>
    <x v="5"/>
    <n v="0"/>
  </r>
  <r>
    <x v="2"/>
    <x v="42"/>
    <n v="0"/>
    <n v="0"/>
    <x v="0"/>
    <n v="0"/>
    <n v="0"/>
    <n v="0"/>
    <n v="0"/>
    <n v="0"/>
    <x v="40"/>
    <n v="0"/>
    <x v="2"/>
    <n v="0"/>
  </r>
  <r>
    <x v="2"/>
    <x v="43"/>
    <n v="0"/>
    <n v="0"/>
    <x v="0"/>
    <n v="0"/>
    <n v="0"/>
    <n v="0"/>
    <n v="0"/>
    <n v="0"/>
    <x v="40"/>
    <n v="0"/>
    <x v="3"/>
    <n v="0"/>
  </r>
  <r>
    <x v="2"/>
    <x v="44"/>
    <n v="0"/>
    <n v="0"/>
    <x v="0"/>
    <n v="0"/>
    <n v="0"/>
    <n v="0"/>
    <n v="0"/>
    <n v="0"/>
    <x v="40"/>
    <n v="0"/>
    <x v="3"/>
    <n v="0"/>
  </r>
  <r>
    <x v="2"/>
    <x v="45"/>
    <n v="0"/>
    <n v="0"/>
    <x v="0"/>
    <n v="0"/>
    <n v="0"/>
    <n v="0"/>
    <n v="0"/>
    <n v="0"/>
    <x v="40"/>
    <n v="0"/>
    <x v="4"/>
    <n v="0"/>
  </r>
  <r>
    <x v="2"/>
    <x v="46"/>
    <n v="0"/>
    <n v="0"/>
    <x v="0"/>
    <n v="0"/>
    <n v="0"/>
    <n v="0"/>
    <n v="0"/>
    <n v="0"/>
    <x v="40"/>
    <n v="0"/>
    <x v="4"/>
    <n v="0"/>
  </r>
  <r>
    <x v="2"/>
    <x v="47"/>
    <n v="0"/>
    <n v="0"/>
    <x v="0"/>
    <n v="0"/>
    <n v="0"/>
    <n v="0"/>
    <n v="0"/>
    <n v="0"/>
    <x v="40"/>
    <n v="0"/>
    <x v="5"/>
    <n v="0"/>
  </r>
  <r>
    <x v="2"/>
    <x v="48"/>
    <n v="0"/>
    <n v="0"/>
    <x v="0"/>
    <n v="0"/>
    <n v="0"/>
    <n v="0"/>
    <n v="0"/>
    <n v="0"/>
    <x v="40"/>
    <n v="0"/>
    <x v="6"/>
    <n v="0"/>
  </r>
  <r>
    <x v="2"/>
    <x v="49"/>
    <n v="0"/>
    <n v="0"/>
    <x v="0"/>
    <n v="0"/>
    <n v="0"/>
    <n v="0"/>
    <n v="0"/>
    <n v="0"/>
    <x v="40"/>
    <n v="0"/>
    <x v="3"/>
    <n v="0"/>
  </r>
  <r>
    <x v="2"/>
    <x v="50"/>
    <n v="0"/>
    <n v="0"/>
    <x v="0"/>
    <n v="0"/>
    <n v="0"/>
    <n v="0"/>
    <n v="0"/>
    <n v="0"/>
    <x v="40"/>
    <n v="0"/>
    <x v="4"/>
    <n v="0"/>
  </r>
  <r>
    <x v="0"/>
    <x v="0"/>
    <n v="0"/>
    <n v="0"/>
    <x v="0"/>
    <n v="0"/>
    <n v="0"/>
    <n v="0"/>
    <n v="0"/>
    <n v="0"/>
    <x v="41"/>
    <n v="0"/>
    <x v="0"/>
    <n v="0"/>
  </r>
  <r>
    <x v="0"/>
    <x v="1"/>
    <n v="0"/>
    <n v="0"/>
    <x v="0"/>
    <n v="0"/>
    <n v="0"/>
    <n v="0"/>
    <n v="0"/>
    <n v="0"/>
    <x v="41"/>
    <n v="0"/>
    <x v="0"/>
    <n v="0"/>
  </r>
  <r>
    <x v="0"/>
    <x v="2"/>
    <n v="0"/>
    <n v="0"/>
    <x v="0"/>
    <n v="0"/>
    <n v="0"/>
    <n v="0"/>
    <n v="0"/>
    <n v="0"/>
    <x v="41"/>
    <n v="0"/>
    <x v="0"/>
    <n v="0"/>
  </r>
  <r>
    <x v="0"/>
    <x v="3"/>
    <n v="0"/>
    <n v="0"/>
    <x v="0"/>
    <n v="0"/>
    <n v="0"/>
    <n v="0"/>
    <n v="0"/>
    <n v="0"/>
    <x v="41"/>
    <n v="0"/>
    <x v="0"/>
    <n v="0"/>
  </r>
  <r>
    <x v="0"/>
    <x v="4"/>
    <n v="0"/>
    <n v="0"/>
    <x v="0"/>
    <n v="0"/>
    <n v="0"/>
    <n v="0"/>
    <n v="0"/>
    <n v="0"/>
    <x v="41"/>
    <n v="0"/>
    <x v="0"/>
    <n v="0"/>
  </r>
  <r>
    <x v="0"/>
    <x v="5"/>
    <n v="0"/>
    <n v="0"/>
    <x v="0"/>
    <n v="0"/>
    <n v="0"/>
    <n v="0"/>
    <n v="0"/>
    <n v="0"/>
    <x v="41"/>
    <n v="0"/>
    <x v="0"/>
    <n v="0"/>
  </r>
  <r>
    <x v="0"/>
    <x v="6"/>
    <n v="0"/>
    <n v="0"/>
    <x v="0"/>
    <n v="0"/>
    <n v="0"/>
    <n v="0"/>
    <n v="0"/>
    <n v="0"/>
    <x v="41"/>
    <n v="0"/>
    <x v="0"/>
    <n v="0"/>
  </r>
  <r>
    <x v="0"/>
    <x v="7"/>
    <n v="0"/>
    <n v="0"/>
    <x v="0"/>
    <n v="0"/>
    <n v="0"/>
    <n v="0"/>
    <n v="0"/>
    <n v="0"/>
    <x v="41"/>
    <n v="0"/>
    <x v="0"/>
    <n v="0"/>
  </r>
  <r>
    <x v="0"/>
    <x v="8"/>
    <n v="0"/>
    <n v="0"/>
    <x v="0"/>
    <n v="0"/>
    <n v="0"/>
    <n v="0"/>
    <n v="0"/>
    <n v="0"/>
    <x v="41"/>
    <n v="0"/>
    <x v="0"/>
    <n v="0"/>
  </r>
  <r>
    <x v="1"/>
    <x v="9"/>
    <n v="0"/>
    <n v="0"/>
    <x v="0"/>
    <n v="0"/>
    <n v="0"/>
    <n v="0"/>
    <n v="0"/>
    <n v="0"/>
    <x v="41"/>
    <n v="0"/>
    <x v="1"/>
    <n v="0"/>
  </r>
  <r>
    <x v="1"/>
    <x v="10"/>
    <n v="0"/>
    <n v="0"/>
    <x v="0"/>
    <n v="0"/>
    <n v="0"/>
    <n v="0"/>
    <n v="0"/>
    <n v="0"/>
    <x v="41"/>
    <n v="0"/>
    <x v="1"/>
    <n v="0"/>
  </r>
  <r>
    <x v="1"/>
    <x v="11"/>
    <n v="0"/>
    <n v="0"/>
    <x v="0"/>
    <n v="0"/>
    <n v="0"/>
    <n v="0"/>
    <n v="0"/>
    <n v="0"/>
    <x v="41"/>
    <n v="0"/>
    <x v="1"/>
    <n v="0"/>
  </r>
  <r>
    <x v="1"/>
    <x v="12"/>
    <n v="0"/>
    <n v="0"/>
    <x v="0"/>
    <n v="0"/>
    <n v="0"/>
    <n v="0"/>
    <n v="0"/>
    <n v="0"/>
    <x v="41"/>
    <n v="0"/>
    <x v="1"/>
    <n v="0"/>
  </r>
  <r>
    <x v="1"/>
    <x v="13"/>
    <n v="0"/>
    <n v="0"/>
    <x v="0"/>
    <n v="0"/>
    <n v="0"/>
    <n v="0"/>
    <n v="0"/>
    <n v="0"/>
    <x v="41"/>
    <n v="0"/>
    <x v="1"/>
    <n v="0"/>
  </r>
  <r>
    <x v="2"/>
    <x v="14"/>
    <n v="0"/>
    <n v="0"/>
    <x v="0"/>
    <n v="0"/>
    <n v="0"/>
    <n v="0"/>
    <n v="0"/>
    <n v="0"/>
    <x v="41"/>
    <n v="0"/>
    <x v="2"/>
    <n v="0"/>
  </r>
  <r>
    <x v="2"/>
    <x v="15"/>
    <n v="0"/>
    <n v="0"/>
    <x v="0"/>
    <n v="0"/>
    <n v="0"/>
    <n v="0"/>
    <n v="0"/>
    <n v="0"/>
    <x v="41"/>
    <n v="0"/>
    <x v="3"/>
    <n v="0"/>
  </r>
  <r>
    <x v="2"/>
    <x v="16"/>
    <n v="0"/>
    <n v="0"/>
    <x v="0"/>
    <n v="0"/>
    <n v="0"/>
    <n v="0"/>
    <n v="0"/>
    <n v="0"/>
    <x v="41"/>
    <n v="0"/>
    <x v="4"/>
    <n v="0"/>
  </r>
  <r>
    <x v="2"/>
    <x v="17"/>
    <n v="0"/>
    <n v="0"/>
    <x v="0"/>
    <n v="0"/>
    <n v="0"/>
    <n v="0"/>
    <n v="0"/>
    <n v="0"/>
    <x v="41"/>
    <n v="0"/>
    <x v="3"/>
    <n v="0"/>
  </r>
  <r>
    <x v="2"/>
    <x v="18"/>
    <n v="0"/>
    <n v="0"/>
    <x v="0"/>
    <n v="0"/>
    <n v="0"/>
    <n v="0"/>
    <n v="0"/>
    <n v="0"/>
    <x v="41"/>
    <n v="0"/>
    <x v="3"/>
    <n v="0"/>
  </r>
  <r>
    <x v="2"/>
    <x v="19"/>
    <n v="0"/>
    <n v="0"/>
    <x v="0"/>
    <n v="0"/>
    <n v="0"/>
    <n v="0"/>
    <n v="0"/>
    <n v="0"/>
    <x v="41"/>
    <n v="0"/>
    <x v="2"/>
    <n v="0"/>
  </r>
  <r>
    <x v="2"/>
    <x v="20"/>
    <n v="0"/>
    <n v="0"/>
    <x v="0"/>
    <n v="0"/>
    <n v="0"/>
    <n v="0"/>
    <n v="0"/>
    <n v="0"/>
    <x v="41"/>
    <n v="0"/>
    <x v="5"/>
    <n v="0"/>
  </r>
  <r>
    <x v="2"/>
    <x v="21"/>
    <n v="0"/>
    <n v="0"/>
    <x v="0"/>
    <n v="0"/>
    <n v="0"/>
    <n v="0"/>
    <n v="0"/>
    <n v="0"/>
    <x v="41"/>
    <n v="0"/>
    <x v="2"/>
    <n v="0"/>
  </r>
  <r>
    <x v="2"/>
    <x v="22"/>
    <n v="0"/>
    <n v="0"/>
    <x v="0"/>
    <n v="0"/>
    <n v="0"/>
    <n v="0"/>
    <n v="0"/>
    <n v="0"/>
    <x v="41"/>
    <n v="0"/>
    <x v="4"/>
    <n v="0"/>
  </r>
  <r>
    <x v="2"/>
    <x v="23"/>
    <n v="0"/>
    <n v="0"/>
    <x v="0"/>
    <n v="0"/>
    <n v="0"/>
    <n v="0"/>
    <n v="0"/>
    <n v="0"/>
    <x v="41"/>
    <n v="0"/>
    <x v="3"/>
    <n v="0"/>
  </r>
  <r>
    <x v="2"/>
    <x v="24"/>
    <n v="0"/>
    <n v="0"/>
    <x v="0"/>
    <n v="0"/>
    <n v="0"/>
    <n v="0"/>
    <n v="0"/>
    <n v="0"/>
    <x v="41"/>
    <n v="0"/>
    <x v="5"/>
    <n v="0"/>
  </r>
  <r>
    <x v="2"/>
    <x v="25"/>
    <n v="0"/>
    <n v="0"/>
    <x v="0"/>
    <n v="0"/>
    <n v="0"/>
    <n v="0"/>
    <n v="0"/>
    <n v="0"/>
    <x v="41"/>
    <n v="0"/>
    <x v="2"/>
    <n v="0"/>
  </r>
  <r>
    <x v="2"/>
    <x v="26"/>
    <n v="0"/>
    <n v="0"/>
    <x v="0"/>
    <n v="0"/>
    <n v="0"/>
    <n v="0"/>
    <n v="0"/>
    <n v="0"/>
    <x v="41"/>
    <n v="0"/>
    <x v="3"/>
    <n v="0"/>
  </r>
  <r>
    <x v="2"/>
    <x v="27"/>
    <n v="0"/>
    <n v="0"/>
    <x v="0"/>
    <n v="0"/>
    <n v="0"/>
    <n v="0"/>
    <n v="0"/>
    <n v="0"/>
    <x v="41"/>
    <n v="0"/>
    <x v="5"/>
    <n v="0"/>
  </r>
  <r>
    <x v="2"/>
    <x v="29"/>
    <n v="0"/>
    <n v="0"/>
    <x v="0"/>
    <n v="0"/>
    <n v="0"/>
    <n v="0"/>
    <n v="0"/>
    <n v="0"/>
    <x v="41"/>
    <n v="0"/>
    <x v="5"/>
    <n v="0"/>
  </r>
  <r>
    <x v="2"/>
    <x v="30"/>
    <n v="0"/>
    <n v="0"/>
    <x v="0"/>
    <n v="0"/>
    <n v="0"/>
    <n v="0"/>
    <n v="0"/>
    <n v="0"/>
    <x v="41"/>
    <n v="0"/>
    <x v="5"/>
    <n v="0"/>
  </r>
  <r>
    <x v="2"/>
    <x v="31"/>
    <n v="0"/>
    <n v="0"/>
    <x v="0"/>
    <n v="0"/>
    <n v="0"/>
    <n v="0"/>
    <n v="0"/>
    <n v="0"/>
    <x v="41"/>
    <n v="0"/>
    <x v="2"/>
    <n v="0"/>
  </r>
  <r>
    <x v="2"/>
    <x v="32"/>
    <n v="0"/>
    <n v="0"/>
    <x v="0"/>
    <n v="0"/>
    <n v="0"/>
    <n v="0"/>
    <n v="0"/>
    <n v="0"/>
    <x v="41"/>
    <n v="0"/>
    <x v="3"/>
    <n v="0"/>
  </r>
  <r>
    <x v="2"/>
    <x v="33"/>
    <n v="0"/>
    <n v="0"/>
    <x v="0"/>
    <n v="0"/>
    <n v="0"/>
    <n v="0"/>
    <n v="0"/>
    <n v="0"/>
    <x v="41"/>
    <n v="0"/>
    <x v="3"/>
    <n v="0"/>
  </r>
  <r>
    <x v="2"/>
    <x v="34"/>
    <n v="0"/>
    <n v="0"/>
    <x v="0"/>
    <n v="0"/>
    <n v="0"/>
    <n v="0"/>
    <n v="0"/>
    <n v="0"/>
    <x v="41"/>
    <n v="0"/>
    <x v="4"/>
    <n v="0"/>
  </r>
  <r>
    <x v="2"/>
    <x v="35"/>
    <n v="0"/>
    <n v="0"/>
    <x v="0"/>
    <n v="0"/>
    <n v="0"/>
    <n v="0"/>
    <n v="0"/>
    <n v="0"/>
    <x v="41"/>
    <n v="0"/>
    <x v="2"/>
    <n v="0"/>
  </r>
  <r>
    <x v="2"/>
    <x v="36"/>
    <n v="0"/>
    <n v="0"/>
    <x v="0"/>
    <n v="0"/>
    <n v="0"/>
    <n v="0"/>
    <n v="0"/>
    <n v="0"/>
    <x v="41"/>
    <n v="0"/>
    <x v="4"/>
    <n v="0"/>
  </r>
  <r>
    <x v="2"/>
    <x v="37"/>
    <n v="0"/>
    <n v="0"/>
    <x v="0"/>
    <n v="0"/>
    <n v="0"/>
    <n v="0"/>
    <n v="0"/>
    <n v="0"/>
    <x v="41"/>
    <n v="0"/>
    <x v="4"/>
    <n v="0"/>
  </r>
  <r>
    <x v="2"/>
    <x v="38"/>
    <n v="0"/>
    <n v="0"/>
    <x v="0"/>
    <n v="0"/>
    <n v="0"/>
    <n v="0"/>
    <n v="0"/>
    <n v="0"/>
    <x v="41"/>
    <n v="0"/>
    <x v="2"/>
    <n v="0"/>
  </r>
  <r>
    <x v="2"/>
    <x v="39"/>
    <n v="0"/>
    <n v="0"/>
    <x v="0"/>
    <n v="0"/>
    <n v="0"/>
    <n v="0"/>
    <n v="0"/>
    <n v="0"/>
    <x v="41"/>
    <n v="0"/>
    <x v="2"/>
    <n v="0"/>
  </r>
  <r>
    <x v="2"/>
    <x v="40"/>
    <n v="0"/>
    <n v="0"/>
    <x v="0"/>
    <n v="0"/>
    <n v="0"/>
    <n v="0"/>
    <n v="0"/>
    <n v="0"/>
    <x v="41"/>
    <n v="0"/>
    <x v="3"/>
    <n v="0"/>
  </r>
  <r>
    <x v="2"/>
    <x v="41"/>
    <n v="0"/>
    <n v="0"/>
    <x v="0"/>
    <n v="0"/>
    <n v="0"/>
    <n v="0"/>
    <n v="0"/>
    <n v="0"/>
    <x v="41"/>
    <n v="0"/>
    <x v="5"/>
    <n v="0"/>
  </r>
  <r>
    <x v="2"/>
    <x v="42"/>
    <n v="0"/>
    <n v="0"/>
    <x v="0"/>
    <n v="0"/>
    <n v="0"/>
    <n v="0"/>
    <n v="0"/>
    <n v="0"/>
    <x v="41"/>
    <n v="0"/>
    <x v="2"/>
    <n v="0"/>
  </r>
  <r>
    <x v="2"/>
    <x v="43"/>
    <n v="0"/>
    <n v="0"/>
    <x v="0"/>
    <n v="0"/>
    <n v="0"/>
    <n v="0"/>
    <n v="0"/>
    <n v="0"/>
    <x v="41"/>
    <n v="0"/>
    <x v="3"/>
    <n v="0"/>
  </r>
  <r>
    <x v="2"/>
    <x v="44"/>
    <n v="0"/>
    <n v="0"/>
    <x v="0"/>
    <n v="0"/>
    <n v="0"/>
    <n v="0"/>
    <n v="0"/>
    <n v="0"/>
    <x v="41"/>
    <n v="0"/>
    <x v="3"/>
    <n v="0"/>
  </r>
  <r>
    <x v="2"/>
    <x v="45"/>
    <n v="0"/>
    <n v="0"/>
    <x v="0"/>
    <n v="0"/>
    <n v="0"/>
    <n v="0"/>
    <n v="0"/>
    <n v="0"/>
    <x v="41"/>
    <n v="0"/>
    <x v="4"/>
    <n v="0"/>
  </r>
  <r>
    <x v="2"/>
    <x v="46"/>
    <n v="0"/>
    <n v="0"/>
    <x v="0"/>
    <n v="0"/>
    <n v="0"/>
    <n v="0"/>
    <n v="0"/>
    <n v="0"/>
    <x v="41"/>
    <n v="0"/>
    <x v="4"/>
    <n v="0"/>
  </r>
  <r>
    <x v="2"/>
    <x v="47"/>
    <n v="0"/>
    <n v="0"/>
    <x v="0"/>
    <n v="0"/>
    <n v="0"/>
    <n v="0"/>
    <n v="0"/>
    <n v="0"/>
    <x v="41"/>
    <n v="0"/>
    <x v="5"/>
    <n v="0"/>
  </r>
  <r>
    <x v="2"/>
    <x v="48"/>
    <n v="0"/>
    <n v="0"/>
    <x v="0"/>
    <n v="0"/>
    <n v="0"/>
    <n v="0"/>
    <n v="0"/>
    <n v="0"/>
    <x v="41"/>
    <n v="0"/>
    <x v="6"/>
    <n v="0"/>
  </r>
  <r>
    <x v="2"/>
    <x v="49"/>
    <n v="0"/>
    <n v="0"/>
    <x v="0"/>
    <n v="0"/>
    <n v="0"/>
    <n v="0"/>
    <n v="0"/>
    <n v="0"/>
    <x v="41"/>
    <n v="0"/>
    <x v="3"/>
    <n v="0"/>
  </r>
  <r>
    <x v="2"/>
    <x v="50"/>
    <n v="0"/>
    <n v="0"/>
    <x v="0"/>
    <n v="0"/>
    <n v="0"/>
    <n v="0"/>
    <n v="0"/>
    <n v="0"/>
    <x v="41"/>
    <n v="0"/>
    <x v="4"/>
    <n v="0"/>
  </r>
  <r>
    <x v="0"/>
    <x v="0"/>
    <n v="0"/>
    <n v="0"/>
    <x v="0"/>
    <n v="0"/>
    <n v="0"/>
    <n v="0"/>
    <n v="0"/>
    <n v="0"/>
    <x v="42"/>
    <n v="0"/>
    <x v="0"/>
    <n v="0"/>
  </r>
  <r>
    <x v="0"/>
    <x v="1"/>
    <n v="0"/>
    <n v="0"/>
    <x v="0"/>
    <n v="0"/>
    <n v="0"/>
    <n v="0"/>
    <n v="0"/>
    <n v="0"/>
    <x v="42"/>
    <n v="0"/>
    <x v="0"/>
    <n v="0"/>
  </r>
  <r>
    <x v="0"/>
    <x v="2"/>
    <n v="0"/>
    <n v="0"/>
    <x v="0"/>
    <n v="0"/>
    <n v="0"/>
    <n v="0"/>
    <n v="0"/>
    <n v="0"/>
    <x v="42"/>
    <n v="0"/>
    <x v="0"/>
    <n v="0"/>
  </r>
  <r>
    <x v="0"/>
    <x v="3"/>
    <n v="0"/>
    <n v="0"/>
    <x v="0"/>
    <n v="0"/>
    <n v="0"/>
    <n v="0"/>
    <n v="0"/>
    <n v="0"/>
    <x v="42"/>
    <n v="0"/>
    <x v="0"/>
    <n v="0"/>
  </r>
  <r>
    <x v="0"/>
    <x v="4"/>
    <n v="0"/>
    <n v="0"/>
    <x v="0"/>
    <n v="0"/>
    <n v="0"/>
    <n v="0"/>
    <n v="0"/>
    <n v="0"/>
    <x v="42"/>
    <n v="0"/>
    <x v="0"/>
    <n v="0"/>
  </r>
  <r>
    <x v="0"/>
    <x v="5"/>
    <n v="0"/>
    <n v="0"/>
    <x v="0"/>
    <n v="0"/>
    <n v="0"/>
    <n v="0"/>
    <n v="0"/>
    <n v="0"/>
    <x v="42"/>
    <n v="0"/>
    <x v="0"/>
    <n v="0"/>
  </r>
  <r>
    <x v="0"/>
    <x v="6"/>
    <n v="0"/>
    <n v="0"/>
    <x v="0"/>
    <n v="0"/>
    <n v="0"/>
    <n v="0"/>
    <n v="0"/>
    <n v="0"/>
    <x v="42"/>
    <n v="0"/>
    <x v="0"/>
    <n v="0"/>
  </r>
  <r>
    <x v="0"/>
    <x v="7"/>
    <n v="0"/>
    <n v="0"/>
    <x v="0"/>
    <n v="0"/>
    <n v="0"/>
    <n v="0"/>
    <n v="0"/>
    <n v="0"/>
    <x v="42"/>
    <n v="0"/>
    <x v="0"/>
    <n v="0"/>
  </r>
  <r>
    <x v="0"/>
    <x v="8"/>
    <n v="0"/>
    <n v="0"/>
    <x v="0"/>
    <n v="0"/>
    <n v="0"/>
    <n v="0"/>
    <n v="0"/>
    <n v="0"/>
    <x v="42"/>
    <n v="0"/>
    <x v="0"/>
    <n v="0"/>
  </r>
  <r>
    <x v="1"/>
    <x v="9"/>
    <n v="0"/>
    <n v="0"/>
    <x v="0"/>
    <n v="0"/>
    <n v="0"/>
    <n v="0"/>
    <n v="0"/>
    <n v="0"/>
    <x v="42"/>
    <n v="0"/>
    <x v="1"/>
    <n v="0"/>
  </r>
  <r>
    <x v="1"/>
    <x v="10"/>
    <n v="0"/>
    <n v="0"/>
    <x v="0"/>
    <n v="0"/>
    <n v="0"/>
    <n v="0"/>
    <n v="0"/>
    <n v="0"/>
    <x v="42"/>
    <n v="0"/>
    <x v="1"/>
    <n v="0"/>
  </r>
  <r>
    <x v="1"/>
    <x v="11"/>
    <n v="0"/>
    <n v="0"/>
    <x v="0"/>
    <n v="0"/>
    <n v="0"/>
    <n v="0"/>
    <n v="0"/>
    <n v="0"/>
    <x v="42"/>
    <n v="0"/>
    <x v="1"/>
    <n v="0"/>
  </r>
  <r>
    <x v="1"/>
    <x v="12"/>
    <n v="0"/>
    <n v="0"/>
    <x v="0"/>
    <n v="0"/>
    <n v="0"/>
    <n v="0"/>
    <n v="0"/>
    <n v="0"/>
    <x v="42"/>
    <n v="0"/>
    <x v="1"/>
    <n v="0"/>
  </r>
  <r>
    <x v="1"/>
    <x v="13"/>
    <n v="0"/>
    <n v="0"/>
    <x v="0"/>
    <n v="0"/>
    <n v="0"/>
    <n v="0"/>
    <n v="0"/>
    <n v="0"/>
    <x v="42"/>
    <n v="0"/>
    <x v="1"/>
    <n v="0"/>
  </r>
  <r>
    <x v="2"/>
    <x v="14"/>
    <n v="0"/>
    <n v="0"/>
    <x v="0"/>
    <n v="0"/>
    <n v="0"/>
    <n v="0"/>
    <n v="0"/>
    <n v="0"/>
    <x v="42"/>
    <n v="0"/>
    <x v="2"/>
    <n v="0"/>
  </r>
  <r>
    <x v="2"/>
    <x v="15"/>
    <n v="0"/>
    <n v="0"/>
    <x v="0"/>
    <n v="0"/>
    <n v="0"/>
    <n v="0"/>
    <n v="0"/>
    <n v="0"/>
    <x v="42"/>
    <n v="0"/>
    <x v="3"/>
    <n v="0"/>
  </r>
  <r>
    <x v="2"/>
    <x v="16"/>
    <n v="0"/>
    <n v="0"/>
    <x v="0"/>
    <n v="0"/>
    <n v="0"/>
    <n v="0"/>
    <n v="0"/>
    <n v="0"/>
    <x v="42"/>
    <n v="0"/>
    <x v="4"/>
    <n v="0"/>
  </r>
  <r>
    <x v="2"/>
    <x v="17"/>
    <n v="0"/>
    <n v="0"/>
    <x v="0"/>
    <n v="0"/>
    <n v="0"/>
    <n v="0"/>
    <n v="0"/>
    <n v="0"/>
    <x v="42"/>
    <n v="0"/>
    <x v="3"/>
    <n v="0"/>
  </r>
  <r>
    <x v="2"/>
    <x v="18"/>
    <n v="0"/>
    <n v="0"/>
    <x v="0"/>
    <n v="0"/>
    <n v="0"/>
    <n v="0"/>
    <n v="0"/>
    <n v="0"/>
    <x v="42"/>
    <n v="0"/>
    <x v="3"/>
    <n v="0"/>
  </r>
  <r>
    <x v="2"/>
    <x v="19"/>
    <n v="0"/>
    <n v="0"/>
    <x v="0"/>
    <n v="0"/>
    <n v="0"/>
    <n v="0"/>
    <n v="0"/>
    <n v="0"/>
    <x v="42"/>
    <n v="0"/>
    <x v="2"/>
    <n v="0"/>
  </r>
  <r>
    <x v="2"/>
    <x v="20"/>
    <n v="0"/>
    <n v="0"/>
    <x v="0"/>
    <n v="0"/>
    <n v="0"/>
    <n v="0"/>
    <n v="0"/>
    <n v="0"/>
    <x v="42"/>
    <n v="0"/>
    <x v="5"/>
    <n v="0"/>
  </r>
  <r>
    <x v="2"/>
    <x v="21"/>
    <n v="0"/>
    <n v="0"/>
    <x v="0"/>
    <n v="0"/>
    <n v="0"/>
    <n v="0"/>
    <n v="0"/>
    <n v="0"/>
    <x v="42"/>
    <n v="0"/>
    <x v="2"/>
    <n v="0"/>
  </r>
  <r>
    <x v="2"/>
    <x v="22"/>
    <n v="0"/>
    <n v="0"/>
    <x v="0"/>
    <n v="0"/>
    <n v="0"/>
    <n v="0"/>
    <n v="0"/>
    <n v="0"/>
    <x v="42"/>
    <n v="0"/>
    <x v="4"/>
    <n v="0"/>
  </r>
  <r>
    <x v="2"/>
    <x v="23"/>
    <n v="0"/>
    <n v="0"/>
    <x v="0"/>
    <n v="0"/>
    <n v="0"/>
    <n v="0"/>
    <n v="0"/>
    <n v="0"/>
    <x v="42"/>
    <n v="0"/>
    <x v="3"/>
    <n v="0"/>
  </r>
  <r>
    <x v="2"/>
    <x v="24"/>
    <n v="0"/>
    <n v="0"/>
    <x v="0"/>
    <n v="0"/>
    <n v="0"/>
    <n v="0"/>
    <n v="0"/>
    <n v="0"/>
    <x v="42"/>
    <n v="0"/>
    <x v="5"/>
    <n v="0"/>
  </r>
  <r>
    <x v="2"/>
    <x v="25"/>
    <n v="0"/>
    <n v="0"/>
    <x v="0"/>
    <n v="0"/>
    <n v="0"/>
    <n v="0"/>
    <n v="0"/>
    <n v="0"/>
    <x v="42"/>
    <n v="0"/>
    <x v="2"/>
    <n v="0"/>
  </r>
  <r>
    <x v="2"/>
    <x v="26"/>
    <n v="0"/>
    <n v="0"/>
    <x v="0"/>
    <n v="0"/>
    <n v="0"/>
    <n v="0"/>
    <n v="0"/>
    <n v="0"/>
    <x v="42"/>
    <n v="0"/>
    <x v="3"/>
    <n v="0"/>
  </r>
  <r>
    <x v="2"/>
    <x v="27"/>
    <n v="0"/>
    <n v="0"/>
    <x v="0"/>
    <n v="0"/>
    <n v="0"/>
    <n v="0"/>
    <n v="0"/>
    <n v="0"/>
    <x v="42"/>
    <n v="0"/>
    <x v="5"/>
    <n v="0"/>
  </r>
  <r>
    <x v="2"/>
    <x v="29"/>
    <n v="0"/>
    <n v="0"/>
    <x v="0"/>
    <n v="0"/>
    <n v="0"/>
    <n v="0"/>
    <n v="0"/>
    <n v="0"/>
    <x v="42"/>
    <n v="0"/>
    <x v="5"/>
    <n v="0"/>
  </r>
  <r>
    <x v="2"/>
    <x v="30"/>
    <n v="0"/>
    <n v="0"/>
    <x v="0"/>
    <n v="0"/>
    <n v="0"/>
    <n v="0"/>
    <n v="0"/>
    <n v="0"/>
    <x v="42"/>
    <n v="0"/>
    <x v="5"/>
    <n v="0"/>
  </r>
  <r>
    <x v="2"/>
    <x v="31"/>
    <n v="0"/>
    <n v="0"/>
    <x v="0"/>
    <n v="0"/>
    <n v="0"/>
    <n v="0"/>
    <n v="0"/>
    <n v="0"/>
    <x v="42"/>
    <n v="0"/>
    <x v="2"/>
    <n v="0"/>
  </r>
  <r>
    <x v="2"/>
    <x v="32"/>
    <n v="0"/>
    <n v="0"/>
    <x v="0"/>
    <n v="0"/>
    <n v="0"/>
    <n v="0"/>
    <n v="0"/>
    <n v="0"/>
    <x v="42"/>
    <n v="0"/>
    <x v="3"/>
    <n v="0"/>
  </r>
  <r>
    <x v="2"/>
    <x v="33"/>
    <n v="0"/>
    <n v="0"/>
    <x v="0"/>
    <n v="0"/>
    <n v="0"/>
    <n v="0"/>
    <n v="0"/>
    <n v="0"/>
    <x v="42"/>
    <n v="0"/>
    <x v="3"/>
    <n v="0"/>
  </r>
  <r>
    <x v="2"/>
    <x v="34"/>
    <n v="0"/>
    <n v="0"/>
    <x v="0"/>
    <n v="0"/>
    <n v="0"/>
    <n v="0"/>
    <n v="0"/>
    <n v="0"/>
    <x v="42"/>
    <n v="0"/>
    <x v="4"/>
    <n v="0"/>
  </r>
  <r>
    <x v="2"/>
    <x v="35"/>
    <n v="0"/>
    <n v="0"/>
    <x v="0"/>
    <n v="0"/>
    <n v="0"/>
    <n v="0"/>
    <n v="0"/>
    <n v="0"/>
    <x v="42"/>
    <n v="0"/>
    <x v="2"/>
    <n v="0"/>
  </r>
  <r>
    <x v="2"/>
    <x v="36"/>
    <n v="0"/>
    <n v="0"/>
    <x v="0"/>
    <n v="0"/>
    <n v="0"/>
    <n v="0"/>
    <n v="0"/>
    <n v="0"/>
    <x v="42"/>
    <n v="0"/>
    <x v="4"/>
    <n v="0"/>
  </r>
  <r>
    <x v="2"/>
    <x v="37"/>
    <n v="0"/>
    <n v="0"/>
    <x v="0"/>
    <n v="0"/>
    <n v="0"/>
    <n v="0"/>
    <n v="0"/>
    <n v="0"/>
    <x v="42"/>
    <n v="0"/>
    <x v="4"/>
    <n v="0"/>
  </r>
  <r>
    <x v="2"/>
    <x v="38"/>
    <n v="0"/>
    <n v="0"/>
    <x v="0"/>
    <n v="0"/>
    <n v="0"/>
    <n v="0"/>
    <n v="0"/>
    <n v="0"/>
    <x v="42"/>
    <n v="0"/>
    <x v="2"/>
    <n v="0"/>
  </r>
  <r>
    <x v="2"/>
    <x v="39"/>
    <n v="0"/>
    <n v="0"/>
    <x v="0"/>
    <n v="0"/>
    <n v="0"/>
    <n v="0"/>
    <n v="0"/>
    <n v="0"/>
    <x v="42"/>
    <n v="0"/>
    <x v="2"/>
    <n v="0"/>
  </r>
  <r>
    <x v="2"/>
    <x v="40"/>
    <n v="0"/>
    <n v="0"/>
    <x v="0"/>
    <n v="0"/>
    <n v="0"/>
    <n v="0"/>
    <n v="0"/>
    <n v="0"/>
    <x v="42"/>
    <n v="0"/>
    <x v="3"/>
    <n v="0"/>
  </r>
  <r>
    <x v="2"/>
    <x v="41"/>
    <n v="0"/>
    <n v="0"/>
    <x v="0"/>
    <n v="0"/>
    <n v="0"/>
    <n v="0"/>
    <n v="0"/>
    <n v="0"/>
    <x v="42"/>
    <n v="0"/>
    <x v="5"/>
    <n v="0"/>
  </r>
  <r>
    <x v="2"/>
    <x v="42"/>
    <n v="0"/>
    <n v="0"/>
    <x v="0"/>
    <n v="0"/>
    <n v="0"/>
    <n v="0"/>
    <n v="0"/>
    <n v="0"/>
    <x v="42"/>
    <n v="0"/>
    <x v="2"/>
    <n v="0"/>
  </r>
  <r>
    <x v="2"/>
    <x v="43"/>
    <n v="0"/>
    <n v="0"/>
    <x v="0"/>
    <n v="0"/>
    <n v="0"/>
    <n v="0"/>
    <n v="0"/>
    <n v="0"/>
    <x v="42"/>
    <n v="0"/>
    <x v="3"/>
    <n v="0"/>
  </r>
  <r>
    <x v="2"/>
    <x v="44"/>
    <n v="0"/>
    <n v="0"/>
    <x v="0"/>
    <n v="0"/>
    <n v="0"/>
    <n v="0"/>
    <n v="0"/>
    <n v="0"/>
    <x v="42"/>
    <n v="0"/>
    <x v="3"/>
    <n v="0"/>
  </r>
  <r>
    <x v="2"/>
    <x v="45"/>
    <n v="0"/>
    <n v="0"/>
    <x v="0"/>
    <n v="0"/>
    <n v="0"/>
    <n v="0"/>
    <n v="0"/>
    <n v="0"/>
    <x v="42"/>
    <n v="0"/>
    <x v="4"/>
    <n v="0"/>
  </r>
  <r>
    <x v="2"/>
    <x v="46"/>
    <n v="0"/>
    <n v="0"/>
    <x v="0"/>
    <n v="0"/>
    <n v="0"/>
    <n v="0"/>
    <n v="0"/>
    <n v="0"/>
    <x v="42"/>
    <n v="0"/>
    <x v="4"/>
    <n v="0"/>
  </r>
  <r>
    <x v="2"/>
    <x v="47"/>
    <n v="0"/>
    <n v="0"/>
    <x v="0"/>
    <n v="0"/>
    <n v="0"/>
    <n v="0"/>
    <n v="0"/>
    <n v="0"/>
    <x v="42"/>
    <n v="0"/>
    <x v="5"/>
    <n v="0"/>
  </r>
  <r>
    <x v="2"/>
    <x v="48"/>
    <n v="0"/>
    <n v="0"/>
    <x v="0"/>
    <n v="0"/>
    <n v="0"/>
    <n v="0"/>
    <n v="0"/>
    <n v="0"/>
    <x v="42"/>
    <n v="0"/>
    <x v="6"/>
    <n v="0"/>
  </r>
  <r>
    <x v="2"/>
    <x v="49"/>
    <n v="0"/>
    <n v="0"/>
    <x v="0"/>
    <n v="0"/>
    <n v="0"/>
    <n v="0"/>
    <n v="0"/>
    <n v="0"/>
    <x v="42"/>
    <n v="0"/>
    <x v="3"/>
    <n v="0"/>
  </r>
  <r>
    <x v="2"/>
    <x v="50"/>
    <n v="0"/>
    <n v="0"/>
    <x v="0"/>
    <n v="0"/>
    <n v="0"/>
    <n v="0"/>
    <n v="0"/>
    <n v="0"/>
    <x v="42"/>
    <n v="0"/>
    <x v="4"/>
    <n v="0"/>
  </r>
  <r>
    <x v="0"/>
    <x v="0"/>
    <n v="0"/>
    <n v="0"/>
    <x v="0"/>
    <n v="0"/>
    <n v="0"/>
    <n v="0"/>
    <n v="0"/>
    <n v="0"/>
    <x v="43"/>
    <n v="0"/>
    <x v="0"/>
    <n v="0"/>
  </r>
  <r>
    <x v="0"/>
    <x v="1"/>
    <n v="0"/>
    <n v="0"/>
    <x v="0"/>
    <n v="0"/>
    <n v="0"/>
    <n v="0"/>
    <n v="0"/>
    <n v="0"/>
    <x v="43"/>
    <n v="0"/>
    <x v="0"/>
    <n v="0"/>
  </r>
  <r>
    <x v="0"/>
    <x v="2"/>
    <n v="0"/>
    <n v="0"/>
    <x v="0"/>
    <n v="0"/>
    <n v="0"/>
    <n v="0"/>
    <n v="0"/>
    <n v="0"/>
    <x v="43"/>
    <n v="0"/>
    <x v="0"/>
    <n v="0"/>
  </r>
  <r>
    <x v="0"/>
    <x v="3"/>
    <n v="0"/>
    <n v="0"/>
    <x v="0"/>
    <n v="0"/>
    <n v="0"/>
    <n v="0"/>
    <n v="0"/>
    <n v="0"/>
    <x v="43"/>
    <n v="0"/>
    <x v="0"/>
    <n v="0"/>
  </r>
  <r>
    <x v="0"/>
    <x v="4"/>
    <n v="0"/>
    <n v="0"/>
    <x v="0"/>
    <n v="0"/>
    <n v="0"/>
    <n v="0"/>
    <n v="0"/>
    <n v="0"/>
    <x v="43"/>
    <n v="0"/>
    <x v="0"/>
    <n v="0"/>
  </r>
  <r>
    <x v="0"/>
    <x v="5"/>
    <n v="0"/>
    <n v="0"/>
    <x v="0"/>
    <n v="0"/>
    <n v="0"/>
    <n v="0"/>
    <n v="0"/>
    <n v="0"/>
    <x v="43"/>
    <n v="0"/>
    <x v="0"/>
    <n v="0"/>
  </r>
  <r>
    <x v="0"/>
    <x v="6"/>
    <n v="0"/>
    <n v="0"/>
    <x v="0"/>
    <n v="0"/>
    <n v="0"/>
    <n v="0"/>
    <n v="0"/>
    <n v="0"/>
    <x v="43"/>
    <n v="0"/>
    <x v="0"/>
    <n v="0"/>
  </r>
  <r>
    <x v="0"/>
    <x v="7"/>
    <n v="0"/>
    <n v="0"/>
    <x v="0"/>
    <n v="0"/>
    <n v="0"/>
    <n v="0"/>
    <n v="0"/>
    <n v="0"/>
    <x v="43"/>
    <n v="0"/>
    <x v="0"/>
    <n v="0"/>
  </r>
  <r>
    <x v="0"/>
    <x v="8"/>
    <n v="0"/>
    <n v="0"/>
    <x v="0"/>
    <n v="0"/>
    <n v="0"/>
    <n v="0"/>
    <n v="0"/>
    <n v="0"/>
    <x v="43"/>
    <n v="0"/>
    <x v="0"/>
    <n v="0"/>
  </r>
  <r>
    <x v="1"/>
    <x v="9"/>
    <n v="0"/>
    <n v="0"/>
    <x v="0"/>
    <n v="0"/>
    <n v="0"/>
    <n v="0"/>
    <n v="0"/>
    <n v="0"/>
    <x v="43"/>
    <n v="0"/>
    <x v="1"/>
    <n v="0"/>
  </r>
  <r>
    <x v="1"/>
    <x v="10"/>
    <n v="0"/>
    <n v="0"/>
    <x v="0"/>
    <n v="0"/>
    <n v="0"/>
    <n v="0"/>
    <n v="0"/>
    <n v="0"/>
    <x v="43"/>
    <n v="0"/>
    <x v="1"/>
    <n v="0"/>
  </r>
  <r>
    <x v="1"/>
    <x v="11"/>
    <n v="0"/>
    <n v="0"/>
    <x v="0"/>
    <n v="0"/>
    <n v="0"/>
    <n v="0"/>
    <n v="0"/>
    <n v="0"/>
    <x v="43"/>
    <n v="0"/>
    <x v="1"/>
    <n v="0"/>
  </r>
  <r>
    <x v="1"/>
    <x v="12"/>
    <n v="0"/>
    <n v="0"/>
    <x v="0"/>
    <n v="0"/>
    <n v="0"/>
    <n v="0"/>
    <n v="0"/>
    <n v="0"/>
    <x v="43"/>
    <n v="0"/>
    <x v="1"/>
    <n v="0"/>
  </r>
  <r>
    <x v="1"/>
    <x v="13"/>
    <n v="0"/>
    <n v="0"/>
    <x v="0"/>
    <n v="0"/>
    <n v="0"/>
    <n v="0"/>
    <n v="0"/>
    <n v="0"/>
    <x v="43"/>
    <n v="0"/>
    <x v="1"/>
    <n v="0"/>
  </r>
  <r>
    <x v="2"/>
    <x v="14"/>
    <n v="0"/>
    <n v="0"/>
    <x v="0"/>
    <n v="0"/>
    <n v="0"/>
    <n v="0"/>
    <n v="0"/>
    <n v="0"/>
    <x v="43"/>
    <n v="0"/>
    <x v="2"/>
    <n v="0"/>
  </r>
  <r>
    <x v="2"/>
    <x v="15"/>
    <n v="0"/>
    <n v="0"/>
    <x v="0"/>
    <n v="0"/>
    <n v="0"/>
    <n v="0"/>
    <n v="0"/>
    <n v="0"/>
    <x v="43"/>
    <n v="0"/>
    <x v="3"/>
    <n v="0"/>
  </r>
  <r>
    <x v="2"/>
    <x v="16"/>
    <n v="0"/>
    <n v="0"/>
    <x v="0"/>
    <n v="0"/>
    <n v="0"/>
    <n v="0"/>
    <n v="0"/>
    <n v="0"/>
    <x v="43"/>
    <n v="0"/>
    <x v="4"/>
    <n v="0"/>
  </r>
  <r>
    <x v="2"/>
    <x v="17"/>
    <n v="0"/>
    <n v="0"/>
    <x v="0"/>
    <n v="0"/>
    <n v="0"/>
    <n v="0"/>
    <n v="0"/>
    <n v="0"/>
    <x v="43"/>
    <n v="0"/>
    <x v="3"/>
    <n v="0"/>
  </r>
  <r>
    <x v="2"/>
    <x v="18"/>
    <n v="0"/>
    <n v="0"/>
    <x v="0"/>
    <n v="0"/>
    <n v="0"/>
    <n v="0"/>
    <n v="0"/>
    <n v="0"/>
    <x v="43"/>
    <n v="0"/>
    <x v="3"/>
    <n v="0"/>
  </r>
  <r>
    <x v="2"/>
    <x v="19"/>
    <n v="0"/>
    <n v="0"/>
    <x v="0"/>
    <n v="0"/>
    <n v="0"/>
    <n v="0"/>
    <n v="0"/>
    <n v="0"/>
    <x v="43"/>
    <n v="0"/>
    <x v="2"/>
    <n v="0"/>
  </r>
  <r>
    <x v="2"/>
    <x v="20"/>
    <n v="0"/>
    <n v="0"/>
    <x v="0"/>
    <n v="0"/>
    <n v="0"/>
    <n v="0"/>
    <n v="0"/>
    <n v="0"/>
    <x v="43"/>
    <n v="0"/>
    <x v="5"/>
    <n v="0"/>
  </r>
  <r>
    <x v="2"/>
    <x v="21"/>
    <n v="0"/>
    <n v="0"/>
    <x v="0"/>
    <n v="0"/>
    <n v="0"/>
    <n v="0"/>
    <n v="0"/>
    <n v="0"/>
    <x v="43"/>
    <n v="0"/>
    <x v="2"/>
    <n v="0"/>
  </r>
  <r>
    <x v="2"/>
    <x v="22"/>
    <n v="0"/>
    <n v="0"/>
    <x v="0"/>
    <n v="0"/>
    <n v="0"/>
    <n v="0"/>
    <n v="0"/>
    <n v="0"/>
    <x v="43"/>
    <n v="0"/>
    <x v="4"/>
    <n v="0"/>
  </r>
  <r>
    <x v="2"/>
    <x v="23"/>
    <n v="0"/>
    <n v="0"/>
    <x v="0"/>
    <n v="0"/>
    <n v="0"/>
    <n v="0"/>
    <n v="0"/>
    <n v="0"/>
    <x v="43"/>
    <n v="0"/>
    <x v="3"/>
    <n v="0"/>
  </r>
  <r>
    <x v="2"/>
    <x v="24"/>
    <n v="0"/>
    <n v="0"/>
    <x v="0"/>
    <n v="0"/>
    <n v="0"/>
    <n v="0"/>
    <n v="0"/>
    <n v="0"/>
    <x v="43"/>
    <n v="0"/>
    <x v="5"/>
    <n v="0"/>
  </r>
  <r>
    <x v="2"/>
    <x v="25"/>
    <n v="0"/>
    <n v="0"/>
    <x v="0"/>
    <n v="0"/>
    <n v="0"/>
    <n v="0"/>
    <n v="0"/>
    <n v="0"/>
    <x v="43"/>
    <n v="0"/>
    <x v="2"/>
    <n v="0"/>
  </r>
  <r>
    <x v="2"/>
    <x v="26"/>
    <n v="0"/>
    <n v="0"/>
    <x v="0"/>
    <n v="0"/>
    <n v="0"/>
    <n v="0"/>
    <n v="0"/>
    <n v="0"/>
    <x v="43"/>
    <n v="0"/>
    <x v="3"/>
    <n v="0"/>
  </r>
  <r>
    <x v="2"/>
    <x v="27"/>
    <n v="0"/>
    <n v="0"/>
    <x v="0"/>
    <n v="0"/>
    <n v="0"/>
    <n v="0"/>
    <n v="0"/>
    <n v="0"/>
    <x v="43"/>
    <n v="0"/>
    <x v="5"/>
    <n v="0"/>
  </r>
  <r>
    <x v="2"/>
    <x v="29"/>
    <n v="0"/>
    <n v="0"/>
    <x v="0"/>
    <n v="0"/>
    <n v="0"/>
    <n v="0"/>
    <n v="0"/>
    <n v="0"/>
    <x v="43"/>
    <n v="0"/>
    <x v="5"/>
    <n v="0"/>
  </r>
  <r>
    <x v="2"/>
    <x v="30"/>
    <n v="0"/>
    <n v="0"/>
    <x v="0"/>
    <n v="0"/>
    <n v="0"/>
    <n v="0"/>
    <n v="0"/>
    <n v="0"/>
    <x v="43"/>
    <n v="0"/>
    <x v="5"/>
    <n v="0"/>
  </r>
  <r>
    <x v="2"/>
    <x v="31"/>
    <n v="0"/>
    <n v="0"/>
    <x v="0"/>
    <n v="0"/>
    <n v="0"/>
    <n v="0"/>
    <n v="0"/>
    <n v="0"/>
    <x v="43"/>
    <n v="0"/>
    <x v="2"/>
    <n v="0"/>
  </r>
  <r>
    <x v="2"/>
    <x v="32"/>
    <n v="0"/>
    <n v="0"/>
    <x v="0"/>
    <n v="0"/>
    <n v="0"/>
    <n v="0"/>
    <n v="0"/>
    <n v="0"/>
    <x v="43"/>
    <n v="0"/>
    <x v="3"/>
    <n v="0"/>
  </r>
  <r>
    <x v="2"/>
    <x v="33"/>
    <n v="0"/>
    <n v="0"/>
    <x v="0"/>
    <n v="0"/>
    <n v="0"/>
    <n v="0"/>
    <n v="0"/>
    <n v="0"/>
    <x v="43"/>
    <n v="0"/>
    <x v="3"/>
    <n v="0"/>
  </r>
  <r>
    <x v="2"/>
    <x v="34"/>
    <n v="0"/>
    <n v="0"/>
    <x v="0"/>
    <n v="0"/>
    <n v="0"/>
    <n v="0"/>
    <n v="0"/>
    <n v="0"/>
    <x v="43"/>
    <n v="0"/>
    <x v="4"/>
    <n v="0"/>
  </r>
  <r>
    <x v="2"/>
    <x v="35"/>
    <n v="0"/>
    <n v="0"/>
    <x v="0"/>
    <n v="0"/>
    <n v="0"/>
    <n v="0"/>
    <n v="0"/>
    <n v="0"/>
    <x v="43"/>
    <n v="0"/>
    <x v="2"/>
    <n v="0"/>
  </r>
  <r>
    <x v="2"/>
    <x v="36"/>
    <n v="0"/>
    <n v="0"/>
    <x v="0"/>
    <n v="0"/>
    <n v="0"/>
    <n v="0"/>
    <n v="0"/>
    <n v="0"/>
    <x v="43"/>
    <n v="0"/>
    <x v="4"/>
    <n v="0"/>
  </r>
  <r>
    <x v="2"/>
    <x v="37"/>
    <n v="0"/>
    <n v="0"/>
    <x v="0"/>
    <n v="0"/>
    <n v="0"/>
    <n v="0"/>
    <n v="0"/>
    <n v="0"/>
    <x v="43"/>
    <n v="0"/>
    <x v="4"/>
    <n v="0"/>
  </r>
  <r>
    <x v="2"/>
    <x v="38"/>
    <n v="0"/>
    <n v="0"/>
    <x v="0"/>
    <n v="0"/>
    <n v="0"/>
    <n v="0"/>
    <n v="0"/>
    <n v="0"/>
    <x v="43"/>
    <n v="0"/>
    <x v="2"/>
    <n v="0"/>
  </r>
  <r>
    <x v="2"/>
    <x v="39"/>
    <n v="0"/>
    <n v="0"/>
    <x v="0"/>
    <n v="0"/>
    <n v="0"/>
    <n v="0"/>
    <n v="0"/>
    <n v="0"/>
    <x v="43"/>
    <n v="0"/>
    <x v="2"/>
    <n v="0"/>
  </r>
  <r>
    <x v="2"/>
    <x v="40"/>
    <n v="0"/>
    <n v="0"/>
    <x v="0"/>
    <n v="0"/>
    <n v="0"/>
    <n v="0"/>
    <n v="0"/>
    <n v="0"/>
    <x v="43"/>
    <n v="0"/>
    <x v="3"/>
    <n v="0"/>
  </r>
  <r>
    <x v="2"/>
    <x v="41"/>
    <n v="0"/>
    <n v="0"/>
    <x v="0"/>
    <n v="0"/>
    <n v="0"/>
    <n v="0"/>
    <n v="0"/>
    <n v="0"/>
    <x v="43"/>
    <n v="0"/>
    <x v="5"/>
    <n v="0"/>
  </r>
  <r>
    <x v="2"/>
    <x v="42"/>
    <n v="0"/>
    <n v="0"/>
    <x v="0"/>
    <n v="0"/>
    <n v="0"/>
    <n v="0"/>
    <n v="0"/>
    <n v="0"/>
    <x v="43"/>
    <n v="0"/>
    <x v="2"/>
    <n v="0"/>
  </r>
  <r>
    <x v="2"/>
    <x v="43"/>
    <n v="0"/>
    <n v="0"/>
    <x v="0"/>
    <n v="0"/>
    <n v="0"/>
    <n v="0"/>
    <n v="0"/>
    <n v="0"/>
    <x v="43"/>
    <n v="0"/>
    <x v="3"/>
    <n v="0"/>
  </r>
  <r>
    <x v="2"/>
    <x v="44"/>
    <n v="0"/>
    <n v="0"/>
    <x v="0"/>
    <n v="0"/>
    <n v="0"/>
    <n v="0"/>
    <n v="0"/>
    <n v="0"/>
    <x v="43"/>
    <n v="0"/>
    <x v="3"/>
    <n v="0"/>
  </r>
  <r>
    <x v="2"/>
    <x v="45"/>
    <n v="0"/>
    <n v="0"/>
    <x v="0"/>
    <n v="0"/>
    <n v="0"/>
    <n v="0"/>
    <n v="0"/>
    <n v="0"/>
    <x v="43"/>
    <n v="0"/>
    <x v="4"/>
    <n v="0"/>
  </r>
  <r>
    <x v="2"/>
    <x v="46"/>
    <n v="0"/>
    <n v="0"/>
    <x v="0"/>
    <n v="0"/>
    <n v="0"/>
    <n v="0"/>
    <n v="0"/>
    <n v="0"/>
    <x v="43"/>
    <n v="0"/>
    <x v="4"/>
    <n v="0"/>
  </r>
  <r>
    <x v="2"/>
    <x v="47"/>
    <n v="0"/>
    <n v="0"/>
    <x v="0"/>
    <n v="0"/>
    <n v="0"/>
    <n v="0"/>
    <n v="0"/>
    <n v="0"/>
    <x v="43"/>
    <n v="0"/>
    <x v="5"/>
    <n v="0"/>
  </r>
  <r>
    <x v="2"/>
    <x v="48"/>
    <n v="0"/>
    <n v="0"/>
    <x v="0"/>
    <n v="0"/>
    <n v="0"/>
    <n v="0"/>
    <n v="0"/>
    <n v="0"/>
    <x v="43"/>
    <n v="0"/>
    <x v="6"/>
    <n v="0"/>
  </r>
  <r>
    <x v="2"/>
    <x v="49"/>
    <n v="0"/>
    <n v="0"/>
    <x v="0"/>
    <n v="0"/>
    <n v="0"/>
    <n v="0"/>
    <n v="0"/>
    <n v="0"/>
    <x v="43"/>
    <n v="0"/>
    <x v="3"/>
    <n v="0"/>
  </r>
  <r>
    <x v="2"/>
    <x v="50"/>
    <n v="0"/>
    <n v="0"/>
    <x v="0"/>
    <n v="0"/>
    <n v="0"/>
    <n v="0"/>
    <n v="0"/>
    <n v="0"/>
    <x v="43"/>
    <n v="0"/>
    <x v="4"/>
    <n v="0"/>
  </r>
  <r>
    <x v="0"/>
    <x v="0"/>
    <n v="0"/>
    <n v="0"/>
    <x v="0"/>
    <n v="0"/>
    <n v="0"/>
    <n v="0"/>
    <n v="0"/>
    <n v="0"/>
    <x v="44"/>
    <n v="0"/>
    <x v="0"/>
    <n v="0"/>
  </r>
  <r>
    <x v="0"/>
    <x v="1"/>
    <n v="0"/>
    <n v="0"/>
    <x v="0"/>
    <n v="0"/>
    <n v="0"/>
    <n v="0"/>
    <n v="0"/>
    <n v="0"/>
    <x v="44"/>
    <n v="0"/>
    <x v="0"/>
    <n v="0"/>
  </r>
  <r>
    <x v="0"/>
    <x v="2"/>
    <n v="0"/>
    <n v="0"/>
    <x v="0"/>
    <n v="0"/>
    <n v="0"/>
    <n v="0"/>
    <n v="0"/>
    <n v="0"/>
    <x v="44"/>
    <n v="0"/>
    <x v="0"/>
    <n v="0"/>
  </r>
  <r>
    <x v="0"/>
    <x v="3"/>
    <n v="0"/>
    <n v="0"/>
    <x v="0"/>
    <n v="0"/>
    <n v="0"/>
    <n v="0"/>
    <n v="0"/>
    <n v="0"/>
    <x v="44"/>
    <n v="0"/>
    <x v="0"/>
    <n v="0"/>
  </r>
  <r>
    <x v="0"/>
    <x v="4"/>
    <n v="0"/>
    <n v="0"/>
    <x v="0"/>
    <n v="0"/>
    <n v="0"/>
    <n v="0"/>
    <n v="0"/>
    <n v="0"/>
    <x v="44"/>
    <n v="0"/>
    <x v="0"/>
    <n v="0"/>
  </r>
  <r>
    <x v="0"/>
    <x v="5"/>
    <n v="0"/>
    <n v="0"/>
    <x v="0"/>
    <n v="0"/>
    <n v="0"/>
    <n v="0"/>
    <n v="0"/>
    <n v="0"/>
    <x v="44"/>
    <n v="0"/>
    <x v="0"/>
    <n v="0"/>
  </r>
  <r>
    <x v="0"/>
    <x v="6"/>
    <n v="0"/>
    <n v="0"/>
    <x v="0"/>
    <n v="0"/>
    <n v="0"/>
    <n v="0"/>
    <n v="0"/>
    <n v="0"/>
    <x v="44"/>
    <n v="0"/>
    <x v="0"/>
    <n v="0"/>
  </r>
  <r>
    <x v="0"/>
    <x v="7"/>
    <n v="0"/>
    <n v="0"/>
    <x v="0"/>
    <n v="0"/>
    <n v="0"/>
    <n v="0"/>
    <n v="0"/>
    <n v="0"/>
    <x v="44"/>
    <n v="0"/>
    <x v="0"/>
    <n v="0"/>
  </r>
  <r>
    <x v="0"/>
    <x v="8"/>
    <n v="0"/>
    <n v="0"/>
    <x v="0"/>
    <n v="0"/>
    <n v="0"/>
    <n v="0"/>
    <n v="0"/>
    <n v="0"/>
    <x v="44"/>
    <n v="0"/>
    <x v="0"/>
    <n v="0"/>
  </r>
  <r>
    <x v="1"/>
    <x v="9"/>
    <n v="0"/>
    <n v="0"/>
    <x v="0"/>
    <n v="0"/>
    <n v="0"/>
    <n v="0"/>
    <n v="0"/>
    <n v="0"/>
    <x v="44"/>
    <n v="0"/>
    <x v="1"/>
    <n v="0"/>
  </r>
  <r>
    <x v="1"/>
    <x v="10"/>
    <n v="0"/>
    <n v="0"/>
    <x v="0"/>
    <n v="0"/>
    <n v="0"/>
    <n v="0"/>
    <n v="0"/>
    <n v="0"/>
    <x v="44"/>
    <n v="0"/>
    <x v="1"/>
    <n v="0"/>
  </r>
  <r>
    <x v="1"/>
    <x v="11"/>
    <n v="0"/>
    <n v="0"/>
    <x v="0"/>
    <n v="0"/>
    <n v="0"/>
    <n v="0"/>
    <n v="0"/>
    <n v="0"/>
    <x v="44"/>
    <n v="0"/>
    <x v="1"/>
    <n v="0"/>
  </r>
  <r>
    <x v="1"/>
    <x v="12"/>
    <n v="0"/>
    <n v="0"/>
    <x v="0"/>
    <n v="0"/>
    <n v="0"/>
    <n v="0"/>
    <n v="0"/>
    <n v="0"/>
    <x v="44"/>
    <n v="0"/>
    <x v="1"/>
    <n v="0"/>
  </r>
  <r>
    <x v="1"/>
    <x v="13"/>
    <n v="0"/>
    <n v="0"/>
    <x v="0"/>
    <n v="0"/>
    <n v="0"/>
    <n v="0"/>
    <n v="0"/>
    <n v="0"/>
    <x v="44"/>
    <n v="0"/>
    <x v="1"/>
    <n v="0"/>
  </r>
  <r>
    <x v="2"/>
    <x v="14"/>
    <n v="0"/>
    <n v="0"/>
    <x v="0"/>
    <n v="0"/>
    <n v="0"/>
    <n v="0"/>
    <n v="0"/>
    <n v="0"/>
    <x v="44"/>
    <n v="0"/>
    <x v="2"/>
    <n v="0"/>
  </r>
  <r>
    <x v="2"/>
    <x v="15"/>
    <n v="0"/>
    <n v="0"/>
    <x v="0"/>
    <n v="0"/>
    <n v="0"/>
    <n v="0"/>
    <n v="0"/>
    <n v="0"/>
    <x v="44"/>
    <n v="0"/>
    <x v="3"/>
    <n v="0"/>
  </r>
  <r>
    <x v="2"/>
    <x v="16"/>
    <n v="0"/>
    <n v="0"/>
    <x v="0"/>
    <n v="0"/>
    <n v="0"/>
    <n v="0"/>
    <n v="0"/>
    <n v="0"/>
    <x v="44"/>
    <n v="0"/>
    <x v="4"/>
    <n v="0"/>
  </r>
  <r>
    <x v="2"/>
    <x v="17"/>
    <n v="0"/>
    <n v="0"/>
    <x v="0"/>
    <n v="0"/>
    <n v="0"/>
    <n v="0"/>
    <n v="0"/>
    <n v="0"/>
    <x v="44"/>
    <n v="0"/>
    <x v="3"/>
    <n v="0"/>
  </r>
  <r>
    <x v="2"/>
    <x v="18"/>
    <n v="0"/>
    <n v="0"/>
    <x v="0"/>
    <n v="0"/>
    <n v="0"/>
    <n v="0"/>
    <n v="0"/>
    <n v="0"/>
    <x v="44"/>
    <n v="0"/>
    <x v="3"/>
    <n v="0"/>
  </r>
  <r>
    <x v="2"/>
    <x v="19"/>
    <n v="0"/>
    <n v="0"/>
    <x v="0"/>
    <n v="0"/>
    <n v="0"/>
    <n v="0"/>
    <n v="0"/>
    <n v="0"/>
    <x v="44"/>
    <n v="0"/>
    <x v="2"/>
    <n v="0"/>
  </r>
  <r>
    <x v="2"/>
    <x v="20"/>
    <n v="0"/>
    <n v="0"/>
    <x v="0"/>
    <n v="0"/>
    <n v="0"/>
    <n v="0"/>
    <n v="0"/>
    <n v="0"/>
    <x v="44"/>
    <n v="0"/>
    <x v="5"/>
    <n v="0"/>
  </r>
  <r>
    <x v="2"/>
    <x v="21"/>
    <n v="0"/>
    <n v="0"/>
    <x v="0"/>
    <n v="0"/>
    <n v="0"/>
    <n v="0"/>
    <n v="0"/>
    <n v="0"/>
    <x v="44"/>
    <n v="0"/>
    <x v="2"/>
    <n v="0"/>
  </r>
  <r>
    <x v="2"/>
    <x v="22"/>
    <n v="0"/>
    <n v="0"/>
    <x v="0"/>
    <n v="0"/>
    <n v="0"/>
    <n v="0"/>
    <n v="0"/>
    <n v="0"/>
    <x v="44"/>
    <n v="0"/>
    <x v="4"/>
    <n v="0"/>
  </r>
  <r>
    <x v="2"/>
    <x v="23"/>
    <n v="0"/>
    <n v="0"/>
    <x v="0"/>
    <n v="0"/>
    <n v="0"/>
    <n v="0"/>
    <n v="0"/>
    <n v="0"/>
    <x v="44"/>
    <n v="0"/>
    <x v="3"/>
    <n v="0"/>
  </r>
  <r>
    <x v="2"/>
    <x v="24"/>
    <n v="0"/>
    <n v="0"/>
    <x v="0"/>
    <n v="0"/>
    <n v="0"/>
    <n v="0"/>
    <n v="0"/>
    <n v="0"/>
    <x v="44"/>
    <n v="0"/>
    <x v="5"/>
    <n v="0"/>
  </r>
  <r>
    <x v="2"/>
    <x v="25"/>
    <n v="0"/>
    <n v="0"/>
    <x v="0"/>
    <n v="0"/>
    <n v="0"/>
    <n v="0"/>
    <n v="0"/>
    <n v="0"/>
    <x v="44"/>
    <n v="0"/>
    <x v="2"/>
    <n v="0"/>
  </r>
  <r>
    <x v="2"/>
    <x v="26"/>
    <n v="0"/>
    <n v="0"/>
    <x v="0"/>
    <n v="0"/>
    <n v="0"/>
    <n v="0"/>
    <n v="0"/>
    <n v="0"/>
    <x v="44"/>
    <n v="0"/>
    <x v="3"/>
    <n v="0"/>
  </r>
  <r>
    <x v="2"/>
    <x v="27"/>
    <n v="0"/>
    <n v="0"/>
    <x v="0"/>
    <n v="0"/>
    <n v="0"/>
    <n v="0"/>
    <n v="0"/>
    <n v="0"/>
    <x v="44"/>
    <n v="0"/>
    <x v="5"/>
    <n v="0"/>
  </r>
  <r>
    <x v="2"/>
    <x v="29"/>
    <n v="0"/>
    <n v="0"/>
    <x v="0"/>
    <n v="0"/>
    <n v="0"/>
    <n v="0"/>
    <n v="0"/>
    <n v="0"/>
    <x v="44"/>
    <n v="0"/>
    <x v="5"/>
    <n v="0"/>
  </r>
  <r>
    <x v="2"/>
    <x v="30"/>
    <n v="0"/>
    <n v="0"/>
    <x v="0"/>
    <n v="0"/>
    <n v="0"/>
    <n v="0"/>
    <n v="0"/>
    <n v="0"/>
    <x v="44"/>
    <n v="0"/>
    <x v="5"/>
    <n v="0"/>
  </r>
  <r>
    <x v="2"/>
    <x v="31"/>
    <n v="0"/>
    <n v="0"/>
    <x v="0"/>
    <n v="0"/>
    <n v="0"/>
    <n v="0"/>
    <n v="0"/>
    <n v="0"/>
    <x v="44"/>
    <n v="0"/>
    <x v="2"/>
    <n v="0"/>
  </r>
  <r>
    <x v="2"/>
    <x v="32"/>
    <n v="0"/>
    <n v="0"/>
    <x v="0"/>
    <n v="0"/>
    <n v="0"/>
    <n v="0"/>
    <n v="0"/>
    <n v="0"/>
    <x v="44"/>
    <n v="0"/>
    <x v="3"/>
    <n v="0"/>
  </r>
  <r>
    <x v="2"/>
    <x v="33"/>
    <n v="0"/>
    <n v="0"/>
    <x v="0"/>
    <n v="0"/>
    <n v="0"/>
    <n v="0"/>
    <n v="0"/>
    <n v="0"/>
    <x v="44"/>
    <n v="0"/>
    <x v="3"/>
    <n v="0"/>
  </r>
  <r>
    <x v="2"/>
    <x v="34"/>
    <n v="0"/>
    <n v="0"/>
    <x v="0"/>
    <n v="0"/>
    <n v="0"/>
    <n v="0"/>
    <n v="0"/>
    <n v="0"/>
    <x v="44"/>
    <n v="0"/>
    <x v="4"/>
    <n v="0"/>
  </r>
  <r>
    <x v="2"/>
    <x v="35"/>
    <n v="0"/>
    <n v="0"/>
    <x v="0"/>
    <n v="0"/>
    <n v="0"/>
    <n v="0"/>
    <n v="0"/>
    <n v="0"/>
    <x v="44"/>
    <n v="0"/>
    <x v="2"/>
    <n v="0"/>
  </r>
  <r>
    <x v="2"/>
    <x v="36"/>
    <n v="0"/>
    <n v="0"/>
    <x v="0"/>
    <n v="0"/>
    <n v="0"/>
    <n v="0"/>
    <n v="0"/>
    <n v="0"/>
    <x v="44"/>
    <n v="0"/>
    <x v="4"/>
    <n v="0"/>
  </r>
  <r>
    <x v="2"/>
    <x v="37"/>
    <n v="0"/>
    <n v="0"/>
    <x v="0"/>
    <n v="0"/>
    <n v="0"/>
    <n v="0"/>
    <n v="0"/>
    <n v="0"/>
    <x v="44"/>
    <n v="0"/>
    <x v="4"/>
    <n v="0"/>
  </r>
  <r>
    <x v="2"/>
    <x v="38"/>
    <n v="0"/>
    <n v="0"/>
    <x v="0"/>
    <n v="0"/>
    <n v="0"/>
    <n v="0"/>
    <n v="0"/>
    <n v="0"/>
    <x v="44"/>
    <n v="0"/>
    <x v="2"/>
    <n v="0"/>
  </r>
  <r>
    <x v="2"/>
    <x v="39"/>
    <n v="0"/>
    <n v="0"/>
    <x v="0"/>
    <n v="0"/>
    <n v="0"/>
    <n v="0"/>
    <n v="0"/>
    <n v="0"/>
    <x v="44"/>
    <n v="0"/>
    <x v="2"/>
    <n v="0"/>
  </r>
  <r>
    <x v="2"/>
    <x v="40"/>
    <n v="0"/>
    <n v="0"/>
    <x v="0"/>
    <n v="0"/>
    <n v="0"/>
    <n v="0"/>
    <n v="0"/>
    <n v="0"/>
    <x v="44"/>
    <n v="0"/>
    <x v="3"/>
    <n v="0"/>
  </r>
  <r>
    <x v="2"/>
    <x v="41"/>
    <n v="0"/>
    <n v="0"/>
    <x v="0"/>
    <n v="0"/>
    <n v="0"/>
    <n v="0"/>
    <n v="0"/>
    <n v="0"/>
    <x v="44"/>
    <n v="0"/>
    <x v="5"/>
    <n v="0"/>
  </r>
  <r>
    <x v="2"/>
    <x v="42"/>
    <n v="0"/>
    <n v="0"/>
    <x v="0"/>
    <n v="0"/>
    <n v="0"/>
    <n v="0"/>
    <n v="0"/>
    <n v="0"/>
    <x v="44"/>
    <n v="0"/>
    <x v="2"/>
    <n v="0"/>
  </r>
  <r>
    <x v="2"/>
    <x v="43"/>
    <n v="0"/>
    <n v="0"/>
    <x v="0"/>
    <n v="0"/>
    <n v="0"/>
    <n v="0"/>
    <n v="0"/>
    <n v="0"/>
    <x v="44"/>
    <n v="0"/>
    <x v="3"/>
    <n v="0"/>
  </r>
  <r>
    <x v="2"/>
    <x v="44"/>
    <n v="0"/>
    <n v="0"/>
    <x v="0"/>
    <n v="0"/>
    <n v="0"/>
    <n v="0"/>
    <n v="0"/>
    <n v="0"/>
    <x v="44"/>
    <n v="0"/>
    <x v="3"/>
    <n v="0"/>
  </r>
  <r>
    <x v="2"/>
    <x v="45"/>
    <n v="0"/>
    <n v="0"/>
    <x v="0"/>
    <n v="0"/>
    <n v="0"/>
    <n v="0"/>
    <n v="0"/>
    <n v="0"/>
    <x v="44"/>
    <n v="0"/>
    <x v="4"/>
    <n v="0"/>
  </r>
  <r>
    <x v="2"/>
    <x v="46"/>
    <n v="0"/>
    <n v="0"/>
    <x v="0"/>
    <n v="0"/>
    <n v="0"/>
    <n v="0"/>
    <n v="0"/>
    <n v="0"/>
    <x v="44"/>
    <n v="0"/>
    <x v="4"/>
    <n v="0"/>
  </r>
  <r>
    <x v="2"/>
    <x v="47"/>
    <n v="0"/>
    <n v="0"/>
    <x v="0"/>
    <n v="0"/>
    <n v="0"/>
    <n v="0"/>
    <n v="0"/>
    <n v="0"/>
    <x v="44"/>
    <n v="0"/>
    <x v="5"/>
    <n v="0"/>
  </r>
  <r>
    <x v="2"/>
    <x v="48"/>
    <n v="0"/>
    <n v="0"/>
    <x v="0"/>
    <n v="0"/>
    <n v="0"/>
    <n v="0"/>
    <n v="0"/>
    <n v="0"/>
    <x v="44"/>
    <n v="0"/>
    <x v="6"/>
    <n v="0"/>
  </r>
  <r>
    <x v="2"/>
    <x v="49"/>
    <n v="0"/>
    <n v="0"/>
    <x v="0"/>
    <n v="0"/>
    <n v="0"/>
    <n v="0"/>
    <n v="0"/>
    <n v="0"/>
    <x v="44"/>
    <n v="0"/>
    <x v="3"/>
    <n v="0"/>
  </r>
  <r>
    <x v="2"/>
    <x v="50"/>
    <n v="0"/>
    <n v="0"/>
    <x v="0"/>
    <n v="0"/>
    <n v="0"/>
    <n v="0"/>
    <n v="0"/>
    <n v="0"/>
    <x v="44"/>
    <n v="0"/>
    <x v="4"/>
    <n v="0"/>
  </r>
  <r>
    <x v="0"/>
    <x v="1"/>
    <n v="0"/>
    <n v="0"/>
    <x v="0"/>
    <n v="0"/>
    <n v="7.86"/>
    <n v="7.86"/>
    <n v="0"/>
    <n v="0"/>
    <x v="45"/>
    <n v="0"/>
    <x v="0"/>
    <n v="0"/>
  </r>
  <r>
    <x v="0"/>
    <x v="2"/>
    <n v="0"/>
    <n v="0"/>
    <x v="0"/>
    <n v="0"/>
    <n v="7.86"/>
    <n v="7.86"/>
    <n v="0"/>
    <n v="0"/>
    <x v="45"/>
    <n v="0"/>
    <x v="0"/>
    <n v="0"/>
  </r>
  <r>
    <x v="0"/>
    <x v="4"/>
    <n v="0"/>
    <n v="0"/>
    <x v="0"/>
    <n v="0"/>
    <n v="7.86"/>
    <n v="7.86"/>
    <n v="0"/>
    <n v="0"/>
    <x v="45"/>
    <n v="0"/>
    <x v="0"/>
    <n v="0"/>
  </r>
  <r>
    <x v="0"/>
    <x v="5"/>
    <n v="0"/>
    <n v="0"/>
    <x v="0"/>
    <n v="0"/>
    <n v="7.86"/>
    <n v="7.86"/>
    <n v="0"/>
    <n v="0"/>
    <x v="45"/>
    <n v="0"/>
    <x v="0"/>
    <n v="0"/>
  </r>
  <r>
    <x v="0"/>
    <x v="8"/>
    <n v="2.27"/>
    <n v="3.47"/>
    <x v="696"/>
    <n v="0"/>
    <n v="8.0500000000000007"/>
    <n v="8.0500000000000007"/>
    <n v="0"/>
    <n v="28.2"/>
    <x v="45"/>
    <n v="27.24"/>
    <x v="0"/>
    <n v="0.28198757763975152"/>
  </r>
  <r>
    <x v="1"/>
    <x v="9"/>
    <n v="7.1666666670000003"/>
    <n v="3.05"/>
    <x v="697"/>
    <n v="0"/>
    <n v="7.95"/>
    <n v="7.95"/>
    <n v="0"/>
    <n v="90.15"/>
    <x v="45"/>
    <n v="86.000000004"/>
    <x v="1"/>
    <n v="0.90146750528301889"/>
  </r>
  <r>
    <x v="1"/>
    <x v="10"/>
    <n v="3.5833333330000001"/>
    <n v="0.28000000000000003"/>
    <x v="698"/>
    <n v="1.75"/>
    <n v="6.22"/>
    <n v="7.97"/>
    <n v="21.96"/>
    <n v="44.96"/>
    <x v="45"/>
    <n v="42.999999996"/>
    <x v="1"/>
    <n v="0.44960267666248432"/>
  </r>
  <r>
    <x v="1"/>
    <x v="12"/>
    <n v="14.46"/>
    <n v="4.0999999999999996"/>
    <x v="699"/>
    <n v="3.93"/>
    <n v="4.04"/>
    <n v="7.97"/>
    <n v="49.31"/>
    <n v="181.43"/>
    <x v="45"/>
    <n v="173.52"/>
    <x v="1"/>
    <n v="1.8143036386449185"/>
  </r>
  <r>
    <x v="2"/>
    <x v="14"/>
    <n v="4.556666667"/>
    <n v="4.67"/>
    <x v="700"/>
    <n v="7"/>
    <n v="0.94"/>
    <n v="7.94"/>
    <n v="88.16"/>
    <n v="57.39"/>
    <x v="45"/>
    <n v="54.680000004"/>
    <x v="2"/>
    <n v="0.57388748954659952"/>
  </r>
  <r>
    <x v="2"/>
    <x v="15"/>
    <n v="3.0833333330000001"/>
    <n v="5.08"/>
    <x v="701"/>
    <n v="7.9"/>
    <n v="0.17"/>
    <n v="8.07"/>
    <n v="97.89"/>
    <n v="38.21"/>
    <x v="45"/>
    <n v="36.999999996"/>
    <x v="3"/>
    <n v="0.38207352329615862"/>
  </r>
  <r>
    <x v="2"/>
    <x v="17"/>
    <n v="0"/>
    <n v="0"/>
    <x v="0"/>
    <n v="4.67"/>
    <n v="5.31"/>
    <n v="9.98"/>
    <n v="46.79"/>
    <n v="0"/>
    <x v="45"/>
    <n v="0"/>
    <x v="3"/>
    <n v="0"/>
  </r>
  <r>
    <x v="2"/>
    <x v="18"/>
    <n v="0"/>
    <n v="0"/>
    <x v="0"/>
    <n v="6.01"/>
    <n v="2.72"/>
    <n v="8.73"/>
    <n v="68.84"/>
    <n v="0"/>
    <x v="45"/>
    <n v="0"/>
    <x v="3"/>
    <n v="0"/>
  </r>
  <r>
    <x v="2"/>
    <x v="19"/>
    <n v="6.75"/>
    <n v="6.13"/>
    <x v="702"/>
    <n v="6.13"/>
    <n v="1.78"/>
    <n v="7.91"/>
    <n v="77.5"/>
    <n v="85.34"/>
    <x v="45"/>
    <n v="81"/>
    <x v="2"/>
    <n v="0.8533501896333755"/>
  </r>
  <r>
    <x v="2"/>
    <x v="20"/>
    <n v="1.1666666670000001"/>
    <n v="0.92"/>
    <x v="703"/>
    <n v="6.91"/>
    <n v="0.82"/>
    <n v="7.73"/>
    <n v="89.39"/>
    <n v="15.09"/>
    <x v="45"/>
    <n v="14.000000004"/>
    <x v="5"/>
    <n v="0.15092712380336351"/>
  </r>
  <r>
    <x v="2"/>
    <x v="21"/>
    <n v="8.61"/>
    <n v="7.06"/>
    <x v="704"/>
    <n v="6.89"/>
    <n v="1.05"/>
    <n v="7.94"/>
    <n v="86.78"/>
    <n v="108.44"/>
    <x v="45"/>
    <n v="103.31999999999998"/>
    <x v="2"/>
    <n v="1.0843828715365238"/>
  </r>
  <r>
    <x v="2"/>
    <x v="22"/>
    <n v="2.25"/>
    <n v="4.83"/>
    <x v="705"/>
    <n v="6.76"/>
    <n v="1.27"/>
    <n v="8.0299999999999994"/>
    <n v="84.18"/>
    <n v="28.02"/>
    <x v="45"/>
    <n v="27"/>
    <x v="4"/>
    <n v="0.28019925280199254"/>
  </r>
  <r>
    <x v="2"/>
    <x v="23"/>
    <n v="0"/>
    <n v="0"/>
    <x v="0"/>
    <n v="4.78"/>
    <n v="4.24"/>
    <n v="9.02"/>
    <n v="52.99"/>
    <n v="0"/>
    <x v="45"/>
    <n v="0"/>
    <x v="3"/>
    <n v="0"/>
  </r>
  <r>
    <x v="2"/>
    <x v="24"/>
    <n v="2.1666666669999999"/>
    <n v="1.53"/>
    <x v="706"/>
    <n v="5.39"/>
    <n v="2.35"/>
    <n v="7.74"/>
    <n v="69.64"/>
    <n v="27.99"/>
    <x v="45"/>
    <n v="26.000000003999997"/>
    <x v="5"/>
    <n v="0.27993109392764853"/>
  </r>
  <r>
    <x v="2"/>
    <x v="25"/>
    <n v="7.3433333330000004"/>
    <n v="5.36"/>
    <x v="707"/>
    <n v="5.36"/>
    <n v="2.57"/>
    <n v="7.93"/>
    <n v="67.59"/>
    <n v="92.6"/>
    <x v="45"/>
    <n v="88.119999996000004"/>
    <x v="2"/>
    <n v="0.92601933581336704"/>
  </r>
  <r>
    <x v="2"/>
    <x v="26"/>
    <n v="0"/>
    <n v="0"/>
    <x v="0"/>
    <n v="5.38"/>
    <n v="2.7"/>
    <n v="8.08"/>
    <n v="66.58"/>
    <n v="0"/>
    <x v="45"/>
    <n v="0"/>
    <x v="3"/>
    <n v="0"/>
  </r>
  <r>
    <x v="2"/>
    <x v="27"/>
    <n v="0"/>
    <n v="0"/>
    <x v="0"/>
    <n v="0"/>
    <n v="0"/>
    <n v="0"/>
    <n v="0"/>
    <n v="0"/>
    <x v="45"/>
    <n v="0"/>
    <x v="5"/>
    <n v="0"/>
  </r>
  <r>
    <x v="2"/>
    <x v="29"/>
    <n v="0"/>
    <n v="0"/>
    <x v="0"/>
    <n v="7.02"/>
    <n v="0.71"/>
    <n v="7.73"/>
    <n v="90.82"/>
    <n v="0"/>
    <x v="45"/>
    <n v="0"/>
    <x v="5"/>
    <n v="0"/>
  </r>
  <r>
    <x v="2"/>
    <x v="30"/>
    <n v="0"/>
    <n v="0"/>
    <x v="0"/>
    <n v="0"/>
    <n v="0"/>
    <n v="0"/>
    <n v="0"/>
    <n v="0"/>
    <x v="45"/>
    <n v="0"/>
    <x v="5"/>
    <n v="0"/>
  </r>
  <r>
    <x v="2"/>
    <x v="31"/>
    <n v="4.5"/>
    <n v="1.75"/>
    <x v="708"/>
    <n v="5.85"/>
    <n v="2.0699999999999998"/>
    <n v="7.92"/>
    <n v="73.86"/>
    <n v="56.82"/>
    <x v="45"/>
    <n v="54"/>
    <x v="2"/>
    <n v="0.56818181818181823"/>
  </r>
  <r>
    <x v="2"/>
    <x v="32"/>
    <n v="2.39"/>
    <n v="3.9"/>
    <x v="709"/>
    <n v="7.64"/>
    <n v="1.37"/>
    <n v="9.01"/>
    <n v="84.79"/>
    <n v="26.53"/>
    <x v="45"/>
    <n v="28.68"/>
    <x v="3"/>
    <n v="0.26526082130965595"/>
  </r>
  <r>
    <x v="2"/>
    <x v="33"/>
    <n v="1.78"/>
    <n v="2.1"/>
    <x v="710"/>
    <n v="9.34"/>
    <n v="0.28000000000000003"/>
    <n v="9.6199999999999992"/>
    <n v="97.09"/>
    <n v="18.5"/>
    <x v="45"/>
    <n v="21.36"/>
    <x v="3"/>
    <n v="0.18503118503118504"/>
  </r>
  <r>
    <x v="2"/>
    <x v="34"/>
    <n v="1"/>
    <n v="0.67"/>
    <x v="711"/>
    <n v="5.29"/>
    <n v="2.4300000000000002"/>
    <n v="7.72"/>
    <n v="68.52"/>
    <n v="12.95"/>
    <x v="45"/>
    <n v="12"/>
    <x v="4"/>
    <n v="0.1295336787564767"/>
  </r>
  <r>
    <x v="2"/>
    <x v="35"/>
    <n v="8"/>
    <n v="4.07"/>
    <x v="712"/>
    <n v="5.32"/>
    <n v="2.58"/>
    <n v="7.9"/>
    <n v="67.34"/>
    <n v="101.27"/>
    <x v="45"/>
    <n v="96"/>
    <x v="2"/>
    <n v="1.0126582278481011"/>
  </r>
  <r>
    <x v="2"/>
    <x v="36"/>
    <n v="0.5"/>
    <n v="0.01"/>
    <x v="192"/>
    <n v="5.03"/>
    <n v="3"/>
    <n v="8.0299999999999994"/>
    <n v="62.64"/>
    <n v="6.23"/>
    <x v="45"/>
    <n v="6"/>
    <x v="4"/>
    <n v="6.2266500622665012E-2"/>
  </r>
  <r>
    <x v="2"/>
    <x v="37"/>
    <n v="0"/>
    <n v="0"/>
    <x v="0"/>
    <n v="7.47"/>
    <n v="0.56999999999999995"/>
    <n v="8.0399999999999991"/>
    <n v="92.91"/>
    <n v="0"/>
    <x v="45"/>
    <n v="0"/>
    <x v="4"/>
    <n v="0"/>
  </r>
  <r>
    <x v="2"/>
    <x v="38"/>
    <n v="8.0833333330000006"/>
    <n v="5.19"/>
    <x v="713"/>
    <n v="6.76"/>
    <n v="1.1399999999999999"/>
    <n v="7.9"/>
    <n v="85.57"/>
    <n v="102.32"/>
    <x v="45"/>
    <n v="96.999999996000014"/>
    <x v="2"/>
    <n v="1.0232067510126583"/>
  </r>
  <r>
    <x v="2"/>
    <x v="39"/>
    <n v="3.9166666669999999"/>
    <n v="1.72"/>
    <x v="714"/>
    <n v="5.9"/>
    <n v="3.92"/>
    <n v="9.82"/>
    <n v="60.08"/>
    <n v="39.880000000000003"/>
    <x v="45"/>
    <n v="47.000000004"/>
    <x v="2"/>
    <n v="0.39884589276985744"/>
  </r>
  <r>
    <x v="2"/>
    <x v="40"/>
    <n v="2.35"/>
    <n v="3.37"/>
    <x v="715"/>
    <n v="9.58"/>
    <n v="0.33"/>
    <n v="9.91"/>
    <n v="96.67"/>
    <n v="23.71"/>
    <x v="45"/>
    <n v="28.2"/>
    <x v="3"/>
    <n v="0.23713420787083755"/>
  </r>
  <r>
    <x v="2"/>
    <x v="41"/>
    <n v="4.0833333329999997"/>
    <n v="5.23"/>
    <x v="716"/>
    <n v="7.45"/>
    <n v="0.32"/>
    <n v="7.77"/>
    <n v="95.88"/>
    <n v="52.55"/>
    <x v="45"/>
    <n v="48.999999996"/>
    <x v="5"/>
    <n v="0.52552552548262543"/>
  </r>
  <r>
    <x v="2"/>
    <x v="42"/>
    <n v="9.9166666669999994"/>
    <n v="4.4000000000000004"/>
    <x v="717"/>
    <n v="4.78"/>
    <n v="3.12"/>
    <n v="7.9"/>
    <n v="60.51"/>
    <n v="125.53"/>
    <x v="45"/>
    <n v="119.000000004"/>
    <x v="2"/>
    <n v="1.2552742616455694"/>
  </r>
  <r>
    <x v="2"/>
    <x v="43"/>
    <n v="0"/>
    <n v="0"/>
    <x v="0"/>
    <n v="5.13"/>
    <n v="2.9"/>
    <n v="8.0299999999999994"/>
    <n v="63.89"/>
    <n v="0"/>
    <x v="45"/>
    <n v="0"/>
    <x v="3"/>
    <n v="0"/>
  </r>
  <r>
    <x v="2"/>
    <x v="44"/>
    <n v="2"/>
    <n v="1.27"/>
    <x v="718"/>
    <n v="3.87"/>
    <n v="4.17"/>
    <n v="8.0399999999999991"/>
    <n v="48.13"/>
    <n v="24.88"/>
    <x v="45"/>
    <n v="24"/>
    <x v="3"/>
    <n v="0.24875621890547267"/>
  </r>
  <r>
    <x v="2"/>
    <x v="45"/>
    <n v="0"/>
    <n v="0"/>
    <x v="0"/>
    <n v="6.93"/>
    <n v="1.1399999999999999"/>
    <n v="8.07"/>
    <n v="85.87"/>
    <n v="0"/>
    <x v="45"/>
    <n v="0"/>
    <x v="4"/>
    <n v="0"/>
  </r>
  <r>
    <x v="2"/>
    <x v="47"/>
    <n v="5.84"/>
    <n v="5.92"/>
    <x v="719"/>
    <n v="7.46"/>
    <n v="0.31"/>
    <n v="7.77"/>
    <n v="96.01"/>
    <n v="75.16"/>
    <x v="45"/>
    <n v="70.08"/>
    <x v="5"/>
    <n v="0.75160875160875162"/>
  </r>
  <r>
    <x v="2"/>
    <x v="48"/>
    <n v="0"/>
    <n v="0"/>
    <x v="0"/>
    <n v="0"/>
    <n v="0"/>
    <n v="0"/>
    <n v="0"/>
    <n v="0"/>
    <x v="45"/>
    <n v="0"/>
    <x v="6"/>
    <n v="0"/>
  </r>
  <r>
    <x v="2"/>
    <x v="49"/>
    <n v="0.5"/>
    <n v="1.84"/>
    <x v="720"/>
    <n v="6.78"/>
    <n v="1.22"/>
    <n v="8"/>
    <n v="84.75"/>
    <n v="6.25"/>
    <x v="45"/>
    <n v="6"/>
    <x v="3"/>
    <n v="6.25E-2"/>
  </r>
  <r>
    <x v="2"/>
    <x v="50"/>
    <n v="3.3333333330000001"/>
    <n v="6.24"/>
    <x v="721"/>
    <n v="9.23"/>
    <n v="0.21"/>
    <n v="9.44"/>
    <n v="97.78"/>
    <n v="35.31"/>
    <x v="45"/>
    <n v="39.999999996"/>
    <x v="4"/>
    <n v="0.35310734459745768"/>
  </r>
  <r>
    <x v="0"/>
    <x v="0"/>
    <n v="0"/>
    <n v="0"/>
    <x v="0"/>
    <n v="7.08"/>
    <n v="1"/>
    <n v="8.08"/>
    <n v="87.62"/>
    <n v="0"/>
    <x v="46"/>
    <n v="0"/>
    <x v="0"/>
    <n v="0"/>
  </r>
  <r>
    <x v="0"/>
    <x v="1"/>
    <n v="1.57"/>
    <n v="7.95"/>
    <x v="722"/>
    <n v="7.82"/>
    <n v="0.2"/>
    <n v="8.02"/>
    <n v="97.51"/>
    <n v="19.579999999999998"/>
    <x v="46"/>
    <n v="18.84"/>
    <x v="0"/>
    <n v="0.19576059850374067"/>
  </r>
  <r>
    <x v="0"/>
    <x v="2"/>
    <n v="1.57"/>
    <n v="7.95"/>
    <x v="722"/>
    <n v="7.82"/>
    <n v="0.2"/>
    <n v="8.02"/>
    <n v="97.51"/>
    <n v="19.579999999999998"/>
    <x v="46"/>
    <n v="18.84"/>
    <x v="0"/>
    <n v="0.19576059850374067"/>
  </r>
  <r>
    <x v="0"/>
    <x v="3"/>
    <n v="0"/>
    <n v="0"/>
    <x v="0"/>
    <n v="7.1"/>
    <n v="0.98"/>
    <n v="8.08"/>
    <n v="87.87"/>
    <n v="0"/>
    <x v="46"/>
    <n v="0"/>
    <x v="0"/>
    <n v="0"/>
  </r>
  <r>
    <x v="0"/>
    <x v="5"/>
    <n v="2.94"/>
    <n v="7.95"/>
    <x v="723"/>
    <n v="7.8"/>
    <n v="0.2"/>
    <n v="8"/>
    <n v="97.5"/>
    <n v="36.75"/>
    <x v="46"/>
    <n v="35.28"/>
    <x v="0"/>
    <n v="0.36749999999999999"/>
  </r>
  <r>
    <x v="0"/>
    <x v="7"/>
    <n v="0"/>
    <n v="0"/>
    <x v="0"/>
    <n v="7.08"/>
    <n v="0.98"/>
    <n v="8.06"/>
    <n v="87.84"/>
    <n v="0"/>
    <x v="46"/>
    <n v="0"/>
    <x v="0"/>
    <n v="0"/>
  </r>
  <r>
    <x v="0"/>
    <x v="8"/>
    <n v="0"/>
    <n v="0"/>
    <x v="0"/>
    <n v="7.05"/>
    <n v="1"/>
    <n v="8.0500000000000007"/>
    <n v="87.58"/>
    <n v="0"/>
    <x v="46"/>
    <n v="0"/>
    <x v="0"/>
    <n v="0"/>
  </r>
  <r>
    <x v="1"/>
    <x v="10"/>
    <n v="0"/>
    <n v="0"/>
    <x v="0"/>
    <n v="4.51"/>
    <n v="3.56"/>
    <n v="8.07"/>
    <n v="55.89"/>
    <n v="0"/>
    <x v="46"/>
    <n v="0"/>
    <x v="1"/>
    <n v="0"/>
  </r>
  <r>
    <x v="1"/>
    <x v="12"/>
    <n v="8.59"/>
    <n v="7.79"/>
    <x v="724"/>
    <n v="6.42"/>
    <n v="1.67"/>
    <n v="8.09"/>
    <n v="79.36"/>
    <n v="106.18"/>
    <x v="46"/>
    <n v="103.08"/>
    <x v="1"/>
    <n v="1.0618046971569839"/>
  </r>
  <r>
    <x v="1"/>
    <x v="13"/>
    <n v="8.61"/>
    <n v="7.81"/>
    <x v="725"/>
    <n v="6.43"/>
    <n v="1.66"/>
    <n v="8.09"/>
    <n v="79.48"/>
    <n v="106.43"/>
    <x v="46"/>
    <n v="103.31999999999998"/>
    <x v="1"/>
    <n v="1.0642768850432633"/>
  </r>
  <r>
    <x v="2"/>
    <x v="14"/>
    <n v="9.85"/>
    <n v="7.19"/>
    <x v="726"/>
    <n v="5.61"/>
    <n v="2.6"/>
    <n v="8.2100000000000009"/>
    <n v="68.33"/>
    <n v="119.98"/>
    <x v="46"/>
    <n v="118.2"/>
    <x v="2"/>
    <n v="1.199756394640682"/>
  </r>
  <r>
    <x v="2"/>
    <x v="15"/>
    <n v="0"/>
    <n v="0"/>
    <x v="0"/>
    <n v="7.25"/>
    <n v="0.89"/>
    <n v="8.14"/>
    <n v="89.07"/>
    <n v="0"/>
    <x v="46"/>
    <n v="0"/>
    <x v="3"/>
    <n v="0"/>
  </r>
  <r>
    <x v="2"/>
    <x v="16"/>
    <n v="0.49"/>
    <n v="0.32"/>
    <x v="727"/>
    <n v="3.62"/>
    <n v="0.34"/>
    <n v="3.96"/>
    <n v="91.41"/>
    <n v="12.37"/>
    <x v="46"/>
    <n v="5.88"/>
    <x v="4"/>
    <n v="0.12373737373737374"/>
  </r>
  <r>
    <x v="2"/>
    <x v="17"/>
    <n v="0.33333333300000001"/>
    <n v="0.67"/>
    <x v="471"/>
    <n v="0"/>
    <n v="8.2100000000000009"/>
    <n v="8.2100000000000009"/>
    <n v="0"/>
    <n v="4.0599999999999996"/>
    <x v="46"/>
    <n v="3.9999999960000006"/>
    <x v="3"/>
    <n v="4.0600893179049934E-2"/>
  </r>
  <r>
    <x v="2"/>
    <x v="19"/>
    <n v="8.25"/>
    <n v="5.15"/>
    <x v="728"/>
    <n v="6.55"/>
    <n v="1.64"/>
    <n v="8.19"/>
    <n v="79.98"/>
    <n v="100.73"/>
    <x v="46"/>
    <n v="99"/>
    <x v="2"/>
    <n v="1.0073260073260073"/>
  </r>
  <r>
    <x v="2"/>
    <x v="20"/>
    <n v="13.98666667"/>
    <n v="6.57"/>
    <x v="729"/>
    <n v="7.09"/>
    <n v="0.86"/>
    <n v="7.95"/>
    <n v="89.18"/>
    <n v="175.93"/>
    <x v="46"/>
    <n v="167.84000004000001"/>
    <x v="5"/>
    <n v="1.7593291408805032"/>
  </r>
  <r>
    <x v="2"/>
    <x v="21"/>
    <n v="9.5666666669999998"/>
    <n v="6.25"/>
    <x v="730"/>
    <n v="7.95"/>
    <n v="1.92"/>
    <n v="9.8699999999999992"/>
    <n v="80.55"/>
    <n v="96.93"/>
    <x v="46"/>
    <n v="114.800000004"/>
    <x v="2"/>
    <n v="0.96926713951367782"/>
  </r>
  <r>
    <x v="2"/>
    <x v="22"/>
    <n v="1.25"/>
    <n v="1.68"/>
    <x v="731"/>
    <n v="8.82"/>
    <n v="0.88"/>
    <n v="9.6999999999999993"/>
    <n v="90.93"/>
    <n v="12.89"/>
    <x v="46"/>
    <n v="15"/>
    <x v="4"/>
    <n v="0.12886597938144331"/>
  </r>
  <r>
    <x v="2"/>
    <x v="23"/>
    <n v="3.5"/>
    <n v="2.06"/>
    <x v="732"/>
    <n v="3.41"/>
    <n v="4.8"/>
    <n v="8.2100000000000009"/>
    <n v="41.53"/>
    <n v="42.63"/>
    <x v="46"/>
    <n v="42"/>
    <x v="3"/>
    <n v="0.42630937880633368"/>
  </r>
  <r>
    <x v="2"/>
    <x v="25"/>
    <n v="6.75"/>
    <n v="6.05"/>
    <x v="733"/>
    <n v="6.92"/>
    <n v="1.39"/>
    <n v="8.31"/>
    <n v="83.27"/>
    <n v="81.23"/>
    <x v="46"/>
    <n v="81"/>
    <x v="2"/>
    <n v="0.81227436823104693"/>
  </r>
  <r>
    <x v="2"/>
    <x v="26"/>
    <n v="0"/>
    <n v="0"/>
    <x v="0"/>
    <n v="5.08"/>
    <n v="2.98"/>
    <n v="8.06"/>
    <n v="63.03"/>
    <n v="0"/>
    <x v="46"/>
    <n v="0"/>
    <x v="3"/>
    <n v="0"/>
  </r>
  <r>
    <x v="2"/>
    <x v="29"/>
    <n v="6.4066666669999996"/>
    <n v="3.99"/>
    <x v="734"/>
    <n v="7.2"/>
    <n v="0.79"/>
    <n v="7.99"/>
    <n v="90.11"/>
    <n v="80.180000000000007"/>
    <x v="46"/>
    <n v="76.880000003999996"/>
    <x v="5"/>
    <n v="0.80183562790988727"/>
  </r>
  <r>
    <x v="2"/>
    <x v="30"/>
    <n v="0"/>
    <n v="0"/>
    <x v="0"/>
    <n v="0"/>
    <n v="0"/>
    <n v="0"/>
    <n v="0"/>
    <n v="0"/>
    <x v="46"/>
    <n v="0"/>
    <x v="5"/>
    <n v="0"/>
  </r>
  <r>
    <x v="2"/>
    <x v="31"/>
    <n v="7.1666666670000003"/>
    <n v="4.87"/>
    <x v="735"/>
    <n v="7.49"/>
    <n v="0.66"/>
    <n v="8.15"/>
    <n v="91.9"/>
    <n v="87.93"/>
    <x v="46"/>
    <n v="86.000000004"/>
    <x v="2"/>
    <n v="0.87934560331288347"/>
  </r>
  <r>
    <x v="2"/>
    <x v="32"/>
    <n v="2.1666666669999999"/>
    <n v="2.87"/>
    <x v="736"/>
    <n v="6.4"/>
    <n v="1.83"/>
    <n v="8.23"/>
    <n v="77.760000000000005"/>
    <n v="26.33"/>
    <x v="46"/>
    <n v="26.000000003999997"/>
    <x v="3"/>
    <n v="0.26326447958687726"/>
  </r>
  <r>
    <x v="2"/>
    <x v="35"/>
    <n v="12.08333333"/>
    <n v="6.8"/>
    <x v="737"/>
    <n v="8.9700000000000006"/>
    <n v="0.91"/>
    <n v="9.8800000000000008"/>
    <n v="90.79"/>
    <n v="122.3"/>
    <x v="46"/>
    <n v="144.99999996000003"/>
    <x v="2"/>
    <n v="1.2230094463562753"/>
  </r>
  <r>
    <x v="2"/>
    <x v="37"/>
    <n v="6.8333333329999997"/>
    <n v="7.06"/>
    <x v="738"/>
    <n v="6.54"/>
    <n v="1.85"/>
    <n v="8.39"/>
    <n v="77.95"/>
    <n v="81.45"/>
    <x v="46"/>
    <n v="81.999999996"/>
    <x v="4"/>
    <n v="0.81446166066746117"/>
  </r>
  <r>
    <x v="2"/>
    <x v="38"/>
    <n v="12.75"/>
    <n v="8.43"/>
    <x v="739"/>
    <n v="9.31"/>
    <n v="0.56999999999999995"/>
    <n v="9.8800000000000008"/>
    <n v="94.23"/>
    <n v="129.05000000000001"/>
    <x v="46"/>
    <n v="153"/>
    <x v="2"/>
    <n v="1.2904858299595141"/>
  </r>
  <r>
    <x v="2"/>
    <x v="40"/>
    <n v="0"/>
    <n v="0"/>
    <x v="0"/>
    <n v="7.09"/>
    <n v="0.99"/>
    <n v="8.08"/>
    <n v="87.75"/>
    <n v="0"/>
    <x v="46"/>
    <n v="0"/>
    <x v="3"/>
    <n v="0"/>
  </r>
  <r>
    <x v="2"/>
    <x v="41"/>
    <n v="5.28"/>
    <n v="5.91"/>
    <x v="740"/>
    <n v="7.53"/>
    <n v="0.45"/>
    <n v="7.98"/>
    <n v="94.36"/>
    <n v="66.17"/>
    <x v="46"/>
    <n v="63.36"/>
    <x v="5"/>
    <n v="0.66165413533834583"/>
  </r>
  <r>
    <x v="2"/>
    <x v="42"/>
    <n v="9.1666666669999994"/>
    <n v="5.36"/>
    <x v="741"/>
    <n v="7.24"/>
    <n v="0.99"/>
    <n v="8.23"/>
    <n v="87.97"/>
    <n v="111.38"/>
    <x v="46"/>
    <n v="110.000000004"/>
    <x v="2"/>
    <n v="1.1138112596597811"/>
  </r>
  <r>
    <x v="2"/>
    <x v="43"/>
    <n v="2.8333333330000001"/>
    <n v="3.73"/>
    <x v="742"/>
    <n v="5.8"/>
    <n v="2.25"/>
    <n v="8.0500000000000007"/>
    <n v="72.05"/>
    <n v="35.200000000000003"/>
    <x v="46"/>
    <n v="33.999999996"/>
    <x v="3"/>
    <n v="0.35196687366459628"/>
  </r>
  <r>
    <x v="2"/>
    <x v="44"/>
    <n v="0.91666666699999999"/>
    <n v="1.65"/>
    <x v="557"/>
    <n v="6.32"/>
    <n v="1.72"/>
    <n v="8.0399999999999991"/>
    <n v="78.61"/>
    <n v="11.4"/>
    <x v="46"/>
    <n v="11.000000004"/>
    <x v="3"/>
    <n v="0.11401326703980101"/>
  </r>
  <r>
    <x v="2"/>
    <x v="45"/>
    <n v="4.6666666670000003"/>
    <n v="5.13"/>
    <x v="743"/>
    <n v="6.31"/>
    <n v="1.77"/>
    <n v="8.08"/>
    <n v="78.09"/>
    <n v="57.76"/>
    <x v="46"/>
    <n v="56.000000004"/>
    <x v="4"/>
    <n v="0.57755775581683166"/>
  </r>
  <r>
    <x v="2"/>
    <x v="46"/>
    <n v="2.6766666670000001"/>
    <n v="2.0299999999999998"/>
    <x v="744"/>
    <n v="7.54"/>
    <n v="0.41"/>
    <n v="7.95"/>
    <n v="94.84"/>
    <n v="33.67"/>
    <x v="46"/>
    <n v="32.120000004000005"/>
    <x v="4"/>
    <n v="0.33668763106918237"/>
  </r>
  <r>
    <x v="2"/>
    <x v="47"/>
    <n v="5.0533333330000003"/>
    <n v="5.87"/>
    <x v="745"/>
    <n v="7.55"/>
    <n v="0.36"/>
    <n v="7.91"/>
    <n v="95.45"/>
    <n v="63.89"/>
    <x v="46"/>
    <n v="60.639999996000007"/>
    <x v="5"/>
    <n v="0.63885377155499368"/>
  </r>
  <r>
    <x v="2"/>
    <x v="48"/>
    <n v="0"/>
    <n v="0"/>
    <x v="0"/>
    <n v="0"/>
    <n v="0"/>
    <n v="0"/>
    <n v="0"/>
    <n v="0"/>
    <x v="46"/>
    <n v="0"/>
    <x v="6"/>
    <n v="0"/>
  </r>
  <r>
    <x v="2"/>
    <x v="49"/>
    <n v="0"/>
    <n v="0"/>
    <x v="0"/>
    <n v="9.6999999999999993"/>
    <n v="0.36"/>
    <n v="10.06"/>
    <n v="96.42"/>
    <n v="0"/>
    <x v="46"/>
    <n v="0"/>
    <x v="3"/>
    <n v="0"/>
  </r>
  <r>
    <x v="2"/>
    <x v="50"/>
    <n v="4.6666666670000003"/>
    <n v="3.75"/>
    <x v="746"/>
    <n v="9.7200000000000006"/>
    <n v="0.21"/>
    <n v="9.93"/>
    <n v="97.89"/>
    <n v="47"/>
    <x v="46"/>
    <n v="56.000000004"/>
    <x v="4"/>
    <n v="0.46995636122860024"/>
  </r>
  <r>
    <x v="0"/>
    <x v="0"/>
    <n v="0"/>
    <n v="0"/>
    <x v="0"/>
    <n v="6.77"/>
    <n v="1.25"/>
    <n v="8.02"/>
    <n v="84.41"/>
    <n v="0"/>
    <x v="47"/>
    <n v="0"/>
    <x v="0"/>
    <n v="0"/>
  </r>
  <r>
    <x v="0"/>
    <x v="1"/>
    <n v="0.78"/>
    <n v="3.77"/>
    <x v="747"/>
    <n v="6.8"/>
    <n v="1.21"/>
    <n v="8.01"/>
    <n v="84.89"/>
    <n v="9.74"/>
    <x v="47"/>
    <n v="9.3600000000000012"/>
    <x v="0"/>
    <n v="9.7378277153558054E-2"/>
  </r>
  <r>
    <x v="0"/>
    <x v="3"/>
    <n v="0"/>
    <n v="0"/>
    <x v="0"/>
    <n v="6.49"/>
    <n v="1.62"/>
    <n v="8.11"/>
    <n v="80.02"/>
    <n v="0"/>
    <x v="47"/>
    <n v="0"/>
    <x v="0"/>
    <n v="0"/>
  </r>
  <r>
    <x v="0"/>
    <x v="4"/>
    <n v="0"/>
    <n v="0"/>
    <x v="0"/>
    <n v="7.82"/>
    <n v="0.2"/>
    <n v="8.02"/>
    <n v="97.51"/>
    <n v="0"/>
    <x v="47"/>
    <n v="0"/>
    <x v="0"/>
    <n v="0"/>
  </r>
  <r>
    <x v="0"/>
    <x v="5"/>
    <n v="0.78"/>
    <n v="3.77"/>
    <x v="747"/>
    <n v="6.82"/>
    <n v="1.21"/>
    <n v="8.0299999999999994"/>
    <n v="84.93"/>
    <n v="9.7100000000000009"/>
    <x v="47"/>
    <n v="9.3600000000000012"/>
    <x v="0"/>
    <n v="9.7135740971357423E-2"/>
  </r>
  <r>
    <x v="0"/>
    <x v="6"/>
    <n v="0"/>
    <n v="0"/>
    <x v="0"/>
    <n v="7.85"/>
    <n v="0.2"/>
    <n v="8.0500000000000007"/>
    <n v="97.52"/>
    <n v="0"/>
    <x v="47"/>
    <n v="0"/>
    <x v="0"/>
    <n v="0"/>
  </r>
  <r>
    <x v="0"/>
    <x v="7"/>
    <n v="0"/>
    <n v="0"/>
    <x v="0"/>
    <n v="6.75"/>
    <n v="1.37"/>
    <n v="8.1199999999999992"/>
    <n v="83.13"/>
    <n v="0"/>
    <x v="47"/>
    <n v="0"/>
    <x v="0"/>
    <n v="0"/>
  </r>
  <r>
    <x v="0"/>
    <x v="8"/>
    <n v="0"/>
    <n v="0"/>
    <x v="0"/>
    <n v="6.79"/>
    <n v="1.26"/>
    <n v="8.0500000000000007"/>
    <n v="84.35"/>
    <n v="0"/>
    <x v="47"/>
    <n v="0"/>
    <x v="0"/>
    <n v="0"/>
  </r>
  <r>
    <x v="1"/>
    <x v="9"/>
    <n v="0"/>
    <n v="0"/>
    <x v="0"/>
    <n v="6.49"/>
    <n v="1.63"/>
    <n v="8.1199999999999992"/>
    <n v="79.930000000000007"/>
    <n v="0"/>
    <x v="47"/>
    <n v="0"/>
    <x v="1"/>
    <n v="0"/>
  </r>
  <r>
    <x v="1"/>
    <x v="10"/>
    <n v="3"/>
    <n v="0.28000000000000003"/>
    <x v="748"/>
    <n v="5.62"/>
    <n v="2.4700000000000002"/>
    <n v="8.09"/>
    <n v="69.47"/>
    <n v="37.08"/>
    <x v="47"/>
    <n v="36"/>
    <x v="1"/>
    <n v="0.37082818294190362"/>
  </r>
  <r>
    <x v="1"/>
    <x v="11"/>
    <n v="0"/>
    <n v="0"/>
    <x v="0"/>
    <n v="0"/>
    <n v="0"/>
    <n v="0"/>
    <n v="0"/>
    <n v="0"/>
    <x v="47"/>
    <n v="0"/>
    <x v="1"/>
    <n v="0"/>
  </r>
  <r>
    <x v="1"/>
    <x v="12"/>
    <n v="0"/>
    <n v="0"/>
    <x v="0"/>
    <n v="5.97"/>
    <n v="2.13"/>
    <n v="8.1"/>
    <n v="73.7"/>
    <n v="0"/>
    <x v="47"/>
    <n v="0"/>
    <x v="1"/>
    <n v="0"/>
  </r>
  <r>
    <x v="1"/>
    <x v="13"/>
    <n v="2.0833333330000001"/>
    <n v="0.88"/>
    <x v="749"/>
    <n v="4.33"/>
    <n v="3.77"/>
    <n v="8.1"/>
    <n v="53.46"/>
    <n v="25.72"/>
    <x v="47"/>
    <n v="24.999999996000003"/>
    <x v="1"/>
    <n v="0.25720164604938273"/>
  </r>
  <r>
    <x v="2"/>
    <x v="14"/>
    <n v="9.39"/>
    <n v="5.85"/>
    <x v="750"/>
    <n v="6.62"/>
    <n v="2.42"/>
    <n v="9.0399999999999991"/>
    <n v="73.23"/>
    <n v="103.87"/>
    <x v="47"/>
    <n v="112.68000000000002"/>
    <x v="2"/>
    <n v="1.0387168141592922"/>
  </r>
  <r>
    <x v="2"/>
    <x v="15"/>
    <n v="5.4166666670000003"/>
    <n v="7.1"/>
    <x v="751"/>
    <n v="7.15"/>
    <n v="1.84"/>
    <n v="8.99"/>
    <n v="79.53"/>
    <n v="60.25"/>
    <x v="47"/>
    <n v="65.000000004"/>
    <x v="3"/>
    <n v="0.60252132002224701"/>
  </r>
  <r>
    <x v="2"/>
    <x v="16"/>
    <n v="2.91"/>
    <n v="3.11"/>
    <x v="752"/>
    <n v="7.63"/>
    <n v="0.38"/>
    <n v="8.01"/>
    <n v="95.26"/>
    <n v="36.33"/>
    <x v="47"/>
    <n v="34.92"/>
    <x v="4"/>
    <n v="0.36329588014981279"/>
  </r>
  <r>
    <x v="2"/>
    <x v="17"/>
    <n v="2.4166666669999999"/>
    <n v="2.21"/>
    <x v="498"/>
    <n v="1.45"/>
    <n v="7.52"/>
    <n v="8.9700000000000006"/>
    <n v="16.16"/>
    <n v="26.94"/>
    <x v="47"/>
    <n v="29.000000003999997"/>
    <x v="3"/>
    <n v="0.2694165738015607"/>
  </r>
  <r>
    <x v="2"/>
    <x v="18"/>
    <n v="3.75"/>
    <n v="3.66"/>
    <x v="673"/>
    <n v="5.19"/>
    <n v="3.79"/>
    <n v="8.98"/>
    <n v="57.8"/>
    <n v="41.76"/>
    <x v="47"/>
    <n v="45"/>
    <x v="3"/>
    <n v="0.41759465478841867"/>
  </r>
  <r>
    <x v="2"/>
    <x v="19"/>
    <n v="11.24333333"/>
    <n v="6.38"/>
    <x v="753"/>
    <n v="6.43"/>
    <n v="1.23"/>
    <n v="7.66"/>
    <n v="83.94"/>
    <n v="146.78"/>
    <x v="47"/>
    <n v="134.91999995999998"/>
    <x v="2"/>
    <n v="1.467798084856397"/>
  </r>
  <r>
    <x v="2"/>
    <x v="20"/>
    <n v="10.48"/>
    <n v="5.32"/>
    <x v="754"/>
    <n v="7.28"/>
    <n v="0.84"/>
    <n v="8.1199999999999992"/>
    <n v="89.66"/>
    <n v="129.06"/>
    <x v="47"/>
    <n v="125.76000000000002"/>
    <x v="5"/>
    <n v="1.2906403940886702"/>
  </r>
  <r>
    <x v="2"/>
    <x v="22"/>
    <n v="0.5"/>
    <n v="0.01"/>
    <x v="192"/>
    <n v="7.5"/>
    <n v="1.47"/>
    <n v="8.9700000000000006"/>
    <n v="83.61"/>
    <n v="5.57"/>
    <x v="47"/>
    <n v="6"/>
    <x v="4"/>
    <n v="5.5741360089186169E-2"/>
  </r>
  <r>
    <x v="2"/>
    <x v="23"/>
    <n v="0.5"/>
    <n v="0.01"/>
    <x v="192"/>
    <n v="0"/>
    <n v="8.9700000000000006"/>
    <n v="8.9700000000000006"/>
    <n v="0"/>
    <n v="5.57"/>
    <x v="47"/>
    <n v="6"/>
    <x v="3"/>
    <n v="5.5741360089186169E-2"/>
  </r>
  <r>
    <x v="2"/>
    <x v="24"/>
    <n v="11.78333333"/>
    <n v="7.5"/>
    <x v="755"/>
    <n v="6.77"/>
    <n v="1.35"/>
    <n v="8.1199999999999992"/>
    <n v="83.37"/>
    <n v="145.11000000000001"/>
    <x v="47"/>
    <n v="141.39999996"/>
    <x v="5"/>
    <n v="1.4511494248768473"/>
  </r>
  <r>
    <x v="2"/>
    <x v="25"/>
    <n v="4.8333333329999997"/>
    <n v="4.7699999999999996"/>
    <x v="756"/>
    <n v="7.42"/>
    <n v="0.62"/>
    <n v="8.0399999999999991"/>
    <n v="92.29"/>
    <n v="60.12"/>
    <x v="47"/>
    <n v="57.999999996"/>
    <x v="2"/>
    <n v="0.60116086231343291"/>
  </r>
  <r>
    <x v="2"/>
    <x v="26"/>
    <n v="2"/>
    <n v="1.29"/>
    <x v="757"/>
    <n v="6.34"/>
    <n v="2.6"/>
    <n v="8.94"/>
    <n v="70.92"/>
    <n v="22.37"/>
    <x v="47"/>
    <n v="24"/>
    <x v="3"/>
    <n v="0.2237136465324385"/>
  </r>
  <r>
    <x v="2"/>
    <x v="27"/>
    <n v="0"/>
    <n v="0"/>
    <x v="0"/>
    <n v="0"/>
    <n v="0"/>
    <n v="0"/>
    <n v="0"/>
    <n v="0"/>
    <x v="47"/>
    <n v="0"/>
    <x v="5"/>
    <n v="0"/>
  </r>
  <r>
    <x v="2"/>
    <x v="29"/>
    <n v="11.926666669999999"/>
    <n v="5.63"/>
    <x v="758"/>
    <n v="5.72"/>
    <n v="2.21"/>
    <n v="7.93"/>
    <n v="72.13"/>
    <n v="150.4"/>
    <x v="47"/>
    <n v="143.12000003999998"/>
    <x v="5"/>
    <n v="1.5039932749054223"/>
  </r>
  <r>
    <x v="2"/>
    <x v="30"/>
    <n v="0"/>
    <n v="0"/>
    <x v="0"/>
    <n v="0"/>
    <n v="0"/>
    <n v="0"/>
    <n v="0"/>
    <n v="0"/>
    <x v="47"/>
    <n v="0"/>
    <x v="5"/>
    <n v="0"/>
  </r>
  <r>
    <x v="2"/>
    <x v="31"/>
    <n v="12.096666669999999"/>
    <n v="8.0299999999999994"/>
    <x v="759"/>
    <n v="6.52"/>
    <n v="1.51"/>
    <n v="8.0299999999999994"/>
    <n v="81.2"/>
    <n v="150.63999999999999"/>
    <x v="47"/>
    <n v="145.16000004"/>
    <x v="2"/>
    <n v="1.5064342054794522"/>
  </r>
  <r>
    <x v="2"/>
    <x v="32"/>
    <n v="2.06"/>
    <n v="1.89"/>
    <x v="760"/>
    <n v="8.4700000000000006"/>
    <n v="0.51"/>
    <n v="8.98"/>
    <n v="94.32"/>
    <n v="22.94"/>
    <x v="47"/>
    <n v="24.720000000000002"/>
    <x v="3"/>
    <n v="0.22939866369710468"/>
  </r>
  <r>
    <x v="2"/>
    <x v="33"/>
    <n v="3.06"/>
    <n v="2.0299999999999998"/>
    <x v="761"/>
    <n v="1.57"/>
    <n v="7.38"/>
    <n v="8.9499999999999993"/>
    <n v="17.54"/>
    <n v="34.19"/>
    <x v="47"/>
    <n v="36.72"/>
    <x v="3"/>
    <n v="0.34189944134078215"/>
  </r>
  <r>
    <x v="2"/>
    <x v="34"/>
    <n v="3"/>
    <n v="1.31"/>
    <x v="762"/>
    <n v="5"/>
    <n v="2.98"/>
    <n v="7.98"/>
    <n v="62.66"/>
    <n v="37.590000000000003"/>
    <x v="47"/>
    <n v="36"/>
    <x v="4"/>
    <n v="0.37593984962406013"/>
  </r>
  <r>
    <x v="2"/>
    <x v="35"/>
    <n v="17.666666670000001"/>
    <n v="6.8"/>
    <x v="763"/>
    <n v="6.73"/>
    <n v="0.96"/>
    <n v="7.69"/>
    <n v="87.52"/>
    <n v="229.74"/>
    <x v="47"/>
    <n v="212.00000004000003"/>
    <x v="2"/>
    <n v="2.2973558738621587"/>
  </r>
  <r>
    <x v="2"/>
    <x v="36"/>
    <n v="3.6666666669999999"/>
    <n v="1.27"/>
    <x v="764"/>
    <n v="5.84"/>
    <n v="2.5099999999999998"/>
    <n v="8.35"/>
    <n v="69.94"/>
    <n v="43.91"/>
    <x v="47"/>
    <n v="44.000000004"/>
    <x v="4"/>
    <n v="0.43912175652694613"/>
  </r>
  <r>
    <x v="2"/>
    <x v="37"/>
    <n v="0.83333333300000001"/>
    <n v="0.56999999999999995"/>
    <x v="765"/>
    <n v="8.27"/>
    <n v="0.21"/>
    <n v="8.48"/>
    <n v="97.52"/>
    <n v="9.83"/>
    <x v="47"/>
    <n v="9.9999999959999997"/>
    <x v="4"/>
    <n v="9.8270440212264151E-2"/>
  </r>
  <r>
    <x v="2"/>
    <x v="38"/>
    <n v="13.91666667"/>
    <n v="6.09"/>
    <x v="766"/>
    <n v="7.62"/>
    <n v="0.75"/>
    <n v="8.3699999999999992"/>
    <n v="91.04"/>
    <n v="166.27"/>
    <x v="47"/>
    <n v="167.00000003999997"/>
    <x v="2"/>
    <n v="1.6626841899641578"/>
  </r>
  <r>
    <x v="2"/>
    <x v="39"/>
    <n v="8.4233333330000004"/>
    <n v="4.8600000000000003"/>
    <x v="767"/>
    <n v="4.8600000000000003"/>
    <n v="2.72"/>
    <n v="7.58"/>
    <n v="64.12"/>
    <n v="111.13"/>
    <x v="47"/>
    <n v="101.079999996"/>
    <x v="2"/>
    <n v="1.1112576956464379"/>
  </r>
  <r>
    <x v="2"/>
    <x v="40"/>
    <n v="1.37"/>
    <n v="0.98"/>
    <x v="768"/>
    <n v="3.82"/>
    <n v="5.16"/>
    <n v="8.98"/>
    <n v="42.54"/>
    <n v="15.26"/>
    <x v="47"/>
    <n v="16.440000000000001"/>
    <x v="3"/>
    <n v="0.15256124721603564"/>
  </r>
  <r>
    <x v="2"/>
    <x v="41"/>
    <n v="5.96"/>
    <n v="6.98"/>
    <x v="769"/>
    <n v="7.51"/>
    <n v="1.48"/>
    <n v="8.99"/>
    <n v="83.54"/>
    <n v="66.3"/>
    <x v="47"/>
    <n v="71.52000000000001"/>
    <x v="5"/>
    <n v="0.66295884315906561"/>
  </r>
  <r>
    <x v="2"/>
    <x v="42"/>
    <n v="12.98666667"/>
    <n v="7.45"/>
    <x v="770"/>
    <n v="6.37"/>
    <n v="1.66"/>
    <n v="8.0299999999999994"/>
    <n v="79.33"/>
    <n v="161.72999999999999"/>
    <x v="47"/>
    <n v="155.84000004000001"/>
    <x v="2"/>
    <n v="1.6172685765877959"/>
  </r>
  <r>
    <x v="2"/>
    <x v="43"/>
    <n v="3.8333333330000001"/>
    <n v="5.73"/>
    <x v="771"/>
    <n v="7.2"/>
    <n v="2.5499999999999998"/>
    <n v="9.75"/>
    <n v="73.849999999999994"/>
    <n v="39.32"/>
    <x v="47"/>
    <n v="45.999999996"/>
    <x v="3"/>
    <n v="0.39316239312820517"/>
  </r>
  <r>
    <x v="2"/>
    <x v="44"/>
    <n v="5.75"/>
    <n v="7.23"/>
    <x v="772"/>
    <n v="5.95"/>
    <n v="3"/>
    <n v="8.9499999999999993"/>
    <n v="66.48"/>
    <n v="64.25"/>
    <x v="47"/>
    <n v="69"/>
    <x v="3"/>
    <n v="0.64245810055865926"/>
  </r>
  <r>
    <x v="2"/>
    <x v="45"/>
    <n v="0.5"/>
    <n v="0.01"/>
    <x v="192"/>
    <n v="6.17"/>
    <n v="1.89"/>
    <n v="8.06"/>
    <n v="76.55"/>
    <n v="6.2"/>
    <x v="47"/>
    <n v="6"/>
    <x v="4"/>
    <n v="6.2034739454094288E-2"/>
  </r>
  <r>
    <x v="2"/>
    <x v="46"/>
    <n v="3.42"/>
    <n v="3.12"/>
    <x v="773"/>
    <n v="7.62"/>
    <n v="0.39"/>
    <n v="8.01"/>
    <n v="95.13"/>
    <n v="42.7"/>
    <x v="47"/>
    <n v="41.04"/>
    <x v="4"/>
    <n v="0.42696629213483145"/>
  </r>
  <r>
    <x v="2"/>
    <x v="47"/>
    <n v="10.07"/>
    <n v="6.82"/>
    <x v="774"/>
    <n v="7.8"/>
    <n v="1.1599999999999999"/>
    <n v="8.9600000000000009"/>
    <n v="87.05"/>
    <n v="112.39"/>
    <x v="47"/>
    <n v="120.84"/>
    <x v="5"/>
    <n v="1.1238839285714286"/>
  </r>
  <r>
    <x v="2"/>
    <x v="48"/>
    <n v="0"/>
    <n v="0"/>
    <x v="0"/>
    <n v="0"/>
    <n v="0"/>
    <n v="0"/>
    <n v="0"/>
    <n v="0"/>
    <x v="47"/>
    <n v="0"/>
    <x v="6"/>
    <n v="0"/>
  </r>
  <r>
    <x v="2"/>
    <x v="49"/>
    <n v="0.5"/>
    <n v="0.01"/>
    <x v="192"/>
    <n v="7.28"/>
    <n v="1.68"/>
    <n v="8.9600000000000009"/>
    <n v="81.25"/>
    <n v="5.58"/>
    <x v="47"/>
    <n v="6"/>
    <x v="3"/>
    <n v="5.5803571428571425E-2"/>
  </r>
  <r>
    <x v="0"/>
    <x v="0"/>
    <n v="0"/>
    <n v="0"/>
    <x v="0"/>
    <n v="0"/>
    <n v="0"/>
    <n v="0"/>
    <n v="0"/>
    <n v="0"/>
    <x v="48"/>
    <n v="0"/>
    <x v="0"/>
    <n v="0"/>
  </r>
  <r>
    <x v="0"/>
    <x v="1"/>
    <n v="0"/>
    <n v="0"/>
    <x v="0"/>
    <n v="0"/>
    <n v="0"/>
    <n v="0"/>
    <n v="0"/>
    <n v="0"/>
    <x v="48"/>
    <n v="0"/>
    <x v="0"/>
    <n v="0"/>
  </r>
  <r>
    <x v="0"/>
    <x v="2"/>
    <n v="0"/>
    <n v="0"/>
    <x v="0"/>
    <n v="0"/>
    <n v="0"/>
    <n v="0"/>
    <n v="0"/>
    <n v="0"/>
    <x v="48"/>
    <n v="0"/>
    <x v="0"/>
    <n v="0"/>
  </r>
  <r>
    <x v="0"/>
    <x v="3"/>
    <n v="0"/>
    <n v="0"/>
    <x v="0"/>
    <n v="0"/>
    <n v="0"/>
    <n v="0"/>
    <n v="0"/>
    <n v="0"/>
    <x v="48"/>
    <n v="0"/>
    <x v="0"/>
    <n v="0"/>
  </r>
  <r>
    <x v="0"/>
    <x v="4"/>
    <n v="0"/>
    <n v="0"/>
    <x v="0"/>
    <n v="0"/>
    <n v="0"/>
    <n v="0"/>
    <n v="0"/>
    <n v="0"/>
    <x v="48"/>
    <n v="0"/>
    <x v="0"/>
    <n v="0"/>
  </r>
  <r>
    <x v="0"/>
    <x v="5"/>
    <n v="0"/>
    <n v="0"/>
    <x v="0"/>
    <n v="0"/>
    <n v="0"/>
    <n v="0"/>
    <n v="0"/>
    <n v="0"/>
    <x v="48"/>
    <n v="0"/>
    <x v="0"/>
    <n v="0"/>
  </r>
  <r>
    <x v="0"/>
    <x v="6"/>
    <n v="0"/>
    <n v="0"/>
    <x v="0"/>
    <n v="0"/>
    <n v="0"/>
    <n v="0"/>
    <n v="0"/>
    <n v="0"/>
    <x v="48"/>
    <n v="0"/>
    <x v="0"/>
    <n v="0"/>
  </r>
  <r>
    <x v="0"/>
    <x v="7"/>
    <n v="0"/>
    <n v="0"/>
    <x v="0"/>
    <n v="0"/>
    <n v="0"/>
    <n v="0"/>
    <n v="0"/>
    <n v="0"/>
    <x v="48"/>
    <n v="0"/>
    <x v="0"/>
    <n v="0"/>
  </r>
  <r>
    <x v="0"/>
    <x v="8"/>
    <n v="0"/>
    <n v="0"/>
    <x v="0"/>
    <n v="0"/>
    <n v="0"/>
    <n v="0"/>
    <n v="0"/>
    <n v="0"/>
    <x v="48"/>
    <n v="0"/>
    <x v="0"/>
    <n v="0"/>
  </r>
  <r>
    <x v="1"/>
    <x v="9"/>
    <n v="0"/>
    <n v="0"/>
    <x v="0"/>
    <n v="0"/>
    <n v="0"/>
    <n v="0"/>
    <n v="0"/>
    <n v="0"/>
    <x v="48"/>
    <n v="0"/>
    <x v="1"/>
    <n v="0"/>
  </r>
  <r>
    <x v="1"/>
    <x v="10"/>
    <n v="0"/>
    <n v="0"/>
    <x v="0"/>
    <n v="0"/>
    <n v="0"/>
    <n v="0"/>
    <n v="0"/>
    <n v="0"/>
    <x v="48"/>
    <n v="0"/>
    <x v="1"/>
    <n v="0"/>
  </r>
  <r>
    <x v="1"/>
    <x v="11"/>
    <n v="0"/>
    <n v="0"/>
    <x v="0"/>
    <n v="0"/>
    <n v="0"/>
    <n v="0"/>
    <n v="0"/>
    <n v="0"/>
    <x v="48"/>
    <n v="0"/>
    <x v="1"/>
    <n v="0"/>
  </r>
  <r>
    <x v="1"/>
    <x v="12"/>
    <n v="0"/>
    <n v="0"/>
    <x v="0"/>
    <n v="0"/>
    <n v="0"/>
    <n v="0"/>
    <n v="0"/>
    <n v="0"/>
    <x v="48"/>
    <n v="0"/>
    <x v="1"/>
    <n v="0"/>
  </r>
  <r>
    <x v="1"/>
    <x v="13"/>
    <n v="0"/>
    <n v="0"/>
    <x v="0"/>
    <n v="0"/>
    <n v="0"/>
    <n v="0"/>
    <n v="0"/>
    <n v="0"/>
    <x v="48"/>
    <n v="0"/>
    <x v="1"/>
    <n v="0"/>
  </r>
  <r>
    <x v="2"/>
    <x v="14"/>
    <n v="0"/>
    <n v="0"/>
    <x v="0"/>
    <n v="0"/>
    <n v="0"/>
    <n v="0"/>
    <n v="0"/>
    <n v="0"/>
    <x v="48"/>
    <n v="0"/>
    <x v="2"/>
    <n v="0"/>
  </r>
  <r>
    <x v="2"/>
    <x v="15"/>
    <n v="0"/>
    <n v="0"/>
    <x v="0"/>
    <n v="0"/>
    <n v="0"/>
    <n v="0"/>
    <n v="0"/>
    <n v="0"/>
    <x v="48"/>
    <n v="0"/>
    <x v="3"/>
    <n v="0"/>
  </r>
  <r>
    <x v="2"/>
    <x v="16"/>
    <n v="0"/>
    <n v="0"/>
    <x v="0"/>
    <n v="0"/>
    <n v="0"/>
    <n v="0"/>
    <n v="0"/>
    <n v="0"/>
    <x v="48"/>
    <n v="0"/>
    <x v="4"/>
    <n v="0"/>
  </r>
  <r>
    <x v="2"/>
    <x v="17"/>
    <n v="0"/>
    <n v="0"/>
    <x v="0"/>
    <n v="0"/>
    <n v="0"/>
    <n v="0"/>
    <n v="0"/>
    <n v="0"/>
    <x v="48"/>
    <n v="0"/>
    <x v="3"/>
    <n v="0"/>
  </r>
  <r>
    <x v="2"/>
    <x v="18"/>
    <n v="0"/>
    <n v="0"/>
    <x v="0"/>
    <n v="0"/>
    <n v="0"/>
    <n v="0"/>
    <n v="0"/>
    <n v="0"/>
    <x v="48"/>
    <n v="0"/>
    <x v="3"/>
    <n v="0"/>
  </r>
  <r>
    <x v="2"/>
    <x v="19"/>
    <n v="0"/>
    <n v="0"/>
    <x v="0"/>
    <n v="0"/>
    <n v="0"/>
    <n v="0"/>
    <n v="0"/>
    <n v="0"/>
    <x v="48"/>
    <n v="0"/>
    <x v="2"/>
    <n v="0"/>
  </r>
  <r>
    <x v="2"/>
    <x v="20"/>
    <n v="0"/>
    <n v="0"/>
    <x v="0"/>
    <n v="0"/>
    <n v="0"/>
    <n v="0"/>
    <n v="0"/>
    <n v="0"/>
    <x v="48"/>
    <n v="0"/>
    <x v="5"/>
    <n v="0"/>
  </r>
  <r>
    <x v="2"/>
    <x v="21"/>
    <n v="0"/>
    <n v="0"/>
    <x v="0"/>
    <n v="0"/>
    <n v="0"/>
    <n v="0"/>
    <n v="0"/>
    <n v="0"/>
    <x v="48"/>
    <n v="0"/>
    <x v="2"/>
    <n v="0"/>
  </r>
  <r>
    <x v="2"/>
    <x v="22"/>
    <n v="0"/>
    <n v="0"/>
    <x v="0"/>
    <n v="0"/>
    <n v="0"/>
    <n v="0"/>
    <n v="0"/>
    <n v="0"/>
    <x v="48"/>
    <n v="0"/>
    <x v="4"/>
    <n v="0"/>
  </r>
  <r>
    <x v="2"/>
    <x v="23"/>
    <n v="0"/>
    <n v="0"/>
    <x v="0"/>
    <n v="0"/>
    <n v="0"/>
    <n v="0"/>
    <n v="0"/>
    <n v="0"/>
    <x v="48"/>
    <n v="0"/>
    <x v="3"/>
    <n v="0"/>
  </r>
  <r>
    <x v="2"/>
    <x v="24"/>
    <n v="0"/>
    <n v="0"/>
    <x v="0"/>
    <n v="0"/>
    <n v="0"/>
    <n v="0"/>
    <n v="0"/>
    <n v="0"/>
    <x v="48"/>
    <n v="0"/>
    <x v="5"/>
    <n v="0"/>
  </r>
  <r>
    <x v="2"/>
    <x v="25"/>
    <n v="0"/>
    <n v="0"/>
    <x v="0"/>
    <n v="0"/>
    <n v="0"/>
    <n v="0"/>
    <n v="0"/>
    <n v="0"/>
    <x v="48"/>
    <n v="0"/>
    <x v="2"/>
    <n v="0"/>
  </r>
  <r>
    <x v="2"/>
    <x v="26"/>
    <n v="0"/>
    <n v="0"/>
    <x v="0"/>
    <n v="0"/>
    <n v="0"/>
    <n v="0"/>
    <n v="0"/>
    <n v="0"/>
    <x v="48"/>
    <n v="0"/>
    <x v="3"/>
    <n v="0"/>
  </r>
  <r>
    <x v="2"/>
    <x v="27"/>
    <n v="0"/>
    <n v="0"/>
    <x v="0"/>
    <n v="0"/>
    <n v="0"/>
    <n v="0"/>
    <n v="0"/>
    <n v="0"/>
    <x v="48"/>
    <n v="0"/>
    <x v="5"/>
    <n v="0"/>
  </r>
  <r>
    <x v="2"/>
    <x v="29"/>
    <n v="0"/>
    <n v="0"/>
    <x v="0"/>
    <n v="0"/>
    <n v="0"/>
    <n v="0"/>
    <n v="0"/>
    <n v="0"/>
    <x v="48"/>
    <n v="0"/>
    <x v="5"/>
    <n v="0"/>
  </r>
  <r>
    <x v="2"/>
    <x v="30"/>
    <n v="0"/>
    <n v="0"/>
    <x v="0"/>
    <n v="0"/>
    <n v="0"/>
    <n v="0"/>
    <n v="0"/>
    <n v="0"/>
    <x v="48"/>
    <n v="0"/>
    <x v="5"/>
    <n v="0"/>
  </r>
  <r>
    <x v="2"/>
    <x v="31"/>
    <n v="0"/>
    <n v="0"/>
    <x v="0"/>
    <n v="0"/>
    <n v="0"/>
    <n v="0"/>
    <n v="0"/>
    <n v="0"/>
    <x v="48"/>
    <n v="0"/>
    <x v="2"/>
    <n v="0"/>
  </r>
  <r>
    <x v="2"/>
    <x v="32"/>
    <n v="0"/>
    <n v="0"/>
    <x v="0"/>
    <n v="0"/>
    <n v="0"/>
    <n v="0"/>
    <n v="0"/>
    <n v="0"/>
    <x v="48"/>
    <n v="0"/>
    <x v="3"/>
    <n v="0"/>
  </r>
  <r>
    <x v="2"/>
    <x v="33"/>
    <n v="0"/>
    <n v="0"/>
    <x v="0"/>
    <n v="0"/>
    <n v="0"/>
    <n v="0"/>
    <n v="0"/>
    <n v="0"/>
    <x v="48"/>
    <n v="0"/>
    <x v="3"/>
    <n v="0"/>
  </r>
  <r>
    <x v="2"/>
    <x v="34"/>
    <n v="0"/>
    <n v="0"/>
    <x v="0"/>
    <n v="0"/>
    <n v="0"/>
    <n v="0"/>
    <n v="0"/>
    <n v="0"/>
    <x v="48"/>
    <n v="0"/>
    <x v="4"/>
    <n v="0"/>
  </r>
  <r>
    <x v="2"/>
    <x v="35"/>
    <n v="0"/>
    <n v="0"/>
    <x v="0"/>
    <n v="0"/>
    <n v="0"/>
    <n v="0"/>
    <n v="0"/>
    <n v="0"/>
    <x v="48"/>
    <n v="0"/>
    <x v="2"/>
    <n v="0"/>
  </r>
  <r>
    <x v="2"/>
    <x v="36"/>
    <n v="0"/>
    <n v="0"/>
    <x v="0"/>
    <n v="0"/>
    <n v="0"/>
    <n v="0"/>
    <n v="0"/>
    <n v="0"/>
    <x v="48"/>
    <n v="0"/>
    <x v="4"/>
    <n v="0"/>
  </r>
  <r>
    <x v="2"/>
    <x v="37"/>
    <n v="0"/>
    <n v="0"/>
    <x v="0"/>
    <n v="0"/>
    <n v="0"/>
    <n v="0"/>
    <n v="0"/>
    <n v="0"/>
    <x v="48"/>
    <n v="0"/>
    <x v="4"/>
    <n v="0"/>
  </r>
  <r>
    <x v="2"/>
    <x v="38"/>
    <n v="0"/>
    <n v="0"/>
    <x v="0"/>
    <n v="0"/>
    <n v="0"/>
    <n v="0"/>
    <n v="0"/>
    <n v="0"/>
    <x v="48"/>
    <n v="0"/>
    <x v="2"/>
    <n v="0"/>
  </r>
  <r>
    <x v="2"/>
    <x v="39"/>
    <n v="0"/>
    <n v="0"/>
    <x v="0"/>
    <n v="0"/>
    <n v="0"/>
    <n v="0"/>
    <n v="0"/>
    <n v="0"/>
    <x v="48"/>
    <n v="0"/>
    <x v="2"/>
    <n v="0"/>
  </r>
  <r>
    <x v="2"/>
    <x v="40"/>
    <n v="0"/>
    <n v="0"/>
    <x v="0"/>
    <n v="0"/>
    <n v="0"/>
    <n v="0"/>
    <n v="0"/>
    <n v="0"/>
    <x v="48"/>
    <n v="0"/>
    <x v="3"/>
    <n v="0"/>
  </r>
  <r>
    <x v="2"/>
    <x v="41"/>
    <n v="0"/>
    <n v="0"/>
    <x v="0"/>
    <n v="0"/>
    <n v="0"/>
    <n v="0"/>
    <n v="0"/>
    <n v="0"/>
    <x v="48"/>
    <n v="0"/>
    <x v="5"/>
    <n v="0"/>
  </r>
  <r>
    <x v="2"/>
    <x v="42"/>
    <n v="0"/>
    <n v="0"/>
    <x v="0"/>
    <n v="0"/>
    <n v="0"/>
    <n v="0"/>
    <n v="0"/>
    <n v="0"/>
    <x v="48"/>
    <n v="0"/>
    <x v="2"/>
    <n v="0"/>
  </r>
  <r>
    <x v="2"/>
    <x v="43"/>
    <n v="0"/>
    <n v="0"/>
    <x v="0"/>
    <n v="0"/>
    <n v="0"/>
    <n v="0"/>
    <n v="0"/>
    <n v="0"/>
    <x v="48"/>
    <n v="0"/>
    <x v="3"/>
    <n v="0"/>
  </r>
  <r>
    <x v="2"/>
    <x v="44"/>
    <n v="0"/>
    <n v="0"/>
    <x v="0"/>
    <n v="0"/>
    <n v="0"/>
    <n v="0"/>
    <n v="0"/>
    <n v="0"/>
    <x v="48"/>
    <n v="0"/>
    <x v="3"/>
    <n v="0"/>
  </r>
  <r>
    <x v="2"/>
    <x v="45"/>
    <n v="0"/>
    <n v="0"/>
    <x v="0"/>
    <n v="0"/>
    <n v="0"/>
    <n v="0"/>
    <n v="0"/>
    <n v="0"/>
    <x v="48"/>
    <n v="0"/>
    <x v="4"/>
    <n v="0"/>
  </r>
  <r>
    <x v="2"/>
    <x v="46"/>
    <n v="0"/>
    <n v="0"/>
    <x v="0"/>
    <n v="0"/>
    <n v="0"/>
    <n v="0"/>
    <n v="0"/>
    <n v="0"/>
    <x v="48"/>
    <n v="0"/>
    <x v="4"/>
    <n v="0"/>
  </r>
  <r>
    <x v="2"/>
    <x v="47"/>
    <n v="0"/>
    <n v="0"/>
    <x v="0"/>
    <n v="0"/>
    <n v="0"/>
    <n v="0"/>
    <n v="0"/>
    <n v="0"/>
    <x v="48"/>
    <n v="0"/>
    <x v="5"/>
    <n v="0"/>
  </r>
  <r>
    <x v="2"/>
    <x v="48"/>
    <n v="0"/>
    <n v="0"/>
    <x v="0"/>
    <n v="0"/>
    <n v="0"/>
    <n v="0"/>
    <n v="0"/>
    <n v="0"/>
    <x v="48"/>
    <n v="0"/>
    <x v="6"/>
    <n v="0"/>
  </r>
  <r>
    <x v="2"/>
    <x v="49"/>
    <n v="0"/>
    <n v="0"/>
    <x v="0"/>
    <n v="0"/>
    <n v="0"/>
    <n v="0"/>
    <n v="0"/>
    <n v="0"/>
    <x v="48"/>
    <n v="0"/>
    <x v="3"/>
    <n v="0"/>
  </r>
  <r>
    <x v="2"/>
    <x v="50"/>
    <n v="0"/>
    <n v="0"/>
    <x v="0"/>
    <n v="0"/>
    <n v="0"/>
    <n v="0"/>
    <n v="0"/>
    <n v="0"/>
    <x v="48"/>
    <n v="0"/>
    <x v="4"/>
    <n v="0"/>
  </r>
  <r>
    <x v="0"/>
    <x v="0"/>
    <n v="0"/>
    <n v="0"/>
    <x v="0"/>
    <n v="6.45"/>
    <n v="1.03"/>
    <n v="7.48"/>
    <n v="86.23"/>
    <n v="0"/>
    <x v="49"/>
    <n v="0"/>
    <x v="0"/>
    <n v="0"/>
  </r>
  <r>
    <x v="0"/>
    <x v="1"/>
    <n v="1.28"/>
    <n v="3.97"/>
    <x v="775"/>
    <n v="4.67"/>
    <n v="2.89"/>
    <n v="7.56"/>
    <n v="61.77"/>
    <n v="16.93"/>
    <x v="49"/>
    <n v="15.36"/>
    <x v="0"/>
    <n v="0.16931216931216933"/>
  </r>
  <r>
    <x v="0"/>
    <x v="2"/>
    <n v="1.28"/>
    <n v="3.97"/>
    <x v="775"/>
    <n v="4.67"/>
    <n v="2.89"/>
    <n v="7.56"/>
    <n v="61.77"/>
    <n v="16.93"/>
    <x v="49"/>
    <n v="15.36"/>
    <x v="0"/>
    <n v="0.16931216931216933"/>
  </r>
  <r>
    <x v="0"/>
    <x v="3"/>
    <n v="0"/>
    <n v="0"/>
    <x v="0"/>
    <n v="6.51"/>
    <n v="1.01"/>
    <n v="7.52"/>
    <n v="86.57"/>
    <n v="0"/>
    <x v="49"/>
    <n v="0"/>
    <x v="0"/>
    <n v="0"/>
  </r>
  <r>
    <x v="0"/>
    <x v="4"/>
    <n v="0"/>
    <n v="0"/>
    <x v="0"/>
    <n v="7.31"/>
    <n v="0.34"/>
    <n v="7.65"/>
    <n v="95.56"/>
    <n v="0"/>
    <x v="49"/>
    <n v="0"/>
    <x v="0"/>
    <n v="0"/>
  </r>
  <r>
    <x v="0"/>
    <x v="5"/>
    <n v="1.28"/>
    <n v="3.97"/>
    <x v="775"/>
    <n v="4.67"/>
    <n v="2.89"/>
    <n v="7.56"/>
    <n v="61.77"/>
    <n v="16.93"/>
    <x v="49"/>
    <n v="15.36"/>
    <x v="0"/>
    <n v="0.16931216931216933"/>
  </r>
  <r>
    <x v="0"/>
    <x v="6"/>
    <n v="0"/>
    <n v="0"/>
    <x v="0"/>
    <n v="7.3"/>
    <n v="0.36"/>
    <n v="7.66"/>
    <n v="95.3"/>
    <n v="0"/>
    <x v="49"/>
    <n v="0"/>
    <x v="0"/>
    <n v="0"/>
  </r>
  <r>
    <x v="0"/>
    <x v="7"/>
    <n v="0"/>
    <n v="0"/>
    <x v="0"/>
    <n v="6.51"/>
    <n v="1.01"/>
    <n v="7.52"/>
    <n v="86.57"/>
    <n v="0"/>
    <x v="49"/>
    <n v="0"/>
    <x v="0"/>
    <n v="0"/>
  </r>
  <r>
    <x v="0"/>
    <x v="8"/>
    <n v="1.5"/>
    <n v="0.78"/>
    <x v="776"/>
    <n v="6.46"/>
    <n v="1.03"/>
    <n v="7.49"/>
    <n v="86.25"/>
    <n v="20.03"/>
    <x v="49"/>
    <n v="18"/>
    <x v="0"/>
    <n v="0.20026702269692923"/>
  </r>
  <r>
    <x v="1"/>
    <x v="9"/>
    <n v="0"/>
    <n v="0"/>
    <x v="0"/>
    <n v="3.15"/>
    <n v="4.3499999999999996"/>
    <n v="7.5"/>
    <n v="42"/>
    <n v="0"/>
    <x v="49"/>
    <n v="0"/>
    <x v="1"/>
    <n v="0"/>
  </r>
  <r>
    <x v="1"/>
    <x v="10"/>
    <n v="1.25"/>
    <n v="0.8"/>
    <x v="21"/>
    <n v="5.14"/>
    <n v="2.36"/>
    <n v="7.5"/>
    <n v="68.53"/>
    <n v="16.670000000000002"/>
    <x v="49"/>
    <n v="15"/>
    <x v="1"/>
    <n v="0.16666666666666666"/>
  </r>
  <r>
    <x v="1"/>
    <x v="11"/>
    <n v="0"/>
    <n v="0"/>
    <x v="0"/>
    <n v="3.25"/>
    <n v="4.25"/>
    <n v="7.5"/>
    <n v="43.33"/>
    <n v="0"/>
    <x v="49"/>
    <n v="0"/>
    <x v="1"/>
    <n v="0"/>
  </r>
  <r>
    <x v="1"/>
    <x v="12"/>
    <n v="2.5833333330000001"/>
    <n v="2.4700000000000002"/>
    <x v="777"/>
    <n v="2.0299999999999998"/>
    <n v="5.48"/>
    <n v="7.51"/>
    <n v="27.03"/>
    <n v="34.4"/>
    <x v="49"/>
    <n v="30.999999996000003"/>
    <x v="1"/>
    <n v="0.34398579667110524"/>
  </r>
  <r>
    <x v="1"/>
    <x v="13"/>
    <n v="0"/>
    <n v="0"/>
    <x v="0"/>
    <n v="2.0299999999999998"/>
    <n v="5.46"/>
    <n v="7.49"/>
    <n v="27.1"/>
    <n v="0"/>
    <x v="49"/>
    <n v="0"/>
    <x v="1"/>
    <n v="0"/>
  </r>
  <r>
    <x v="2"/>
    <x v="14"/>
    <n v="17.25"/>
    <n v="6.76"/>
    <x v="778"/>
    <n v="6.76"/>
    <n v="0.64"/>
    <n v="7.4"/>
    <n v="91.35"/>
    <n v="233.11"/>
    <x v="49"/>
    <n v="207"/>
    <x v="2"/>
    <n v="2.3310810810810811"/>
  </r>
  <r>
    <x v="2"/>
    <x v="17"/>
    <n v="0.01"/>
    <n v="7.0000000000000007E-2"/>
    <x v="779"/>
    <n v="4.46"/>
    <n v="2.92"/>
    <n v="7.38"/>
    <n v="60.43"/>
    <n v="0.14000000000000001"/>
    <x v="49"/>
    <n v="0.12"/>
    <x v="3"/>
    <n v="1.3550135501355014E-3"/>
  </r>
  <r>
    <x v="2"/>
    <x v="18"/>
    <n v="0"/>
    <n v="0"/>
    <x v="0"/>
    <n v="5.05"/>
    <n v="2.36"/>
    <n v="7.41"/>
    <n v="68.150000000000006"/>
    <n v="0"/>
    <x v="49"/>
    <n v="0"/>
    <x v="3"/>
    <n v="0"/>
  </r>
  <r>
    <x v="2"/>
    <x v="19"/>
    <n v="11"/>
    <n v="6.15"/>
    <x v="780"/>
    <n v="6.3"/>
    <n v="1.04"/>
    <n v="7.34"/>
    <n v="85.83"/>
    <n v="149.86000000000001"/>
    <x v="49"/>
    <n v="132"/>
    <x v="2"/>
    <n v="1.4986376021798364"/>
  </r>
  <r>
    <x v="2"/>
    <x v="20"/>
    <n v="6.096666667"/>
    <n v="7.35"/>
    <x v="781"/>
    <n v="6.26"/>
    <n v="1.23"/>
    <n v="7.49"/>
    <n v="83.58"/>
    <n v="81.400000000000006"/>
    <x v="49"/>
    <n v="73.160000004000011"/>
    <x v="5"/>
    <n v="0.81397418785046727"/>
  </r>
  <r>
    <x v="2"/>
    <x v="21"/>
    <n v="9.5"/>
    <n v="6.71"/>
    <x v="782"/>
    <n v="6.71"/>
    <n v="0.62"/>
    <n v="7.33"/>
    <n v="91.54"/>
    <n v="129.6"/>
    <x v="49"/>
    <n v="114"/>
    <x v="2"/>
    <n v="1.2960436562073669"/>
  </r>
  <r>
    <x v="2"/>
    <x v="23"/>
    <n v="9.3333333000000004E-2"/>
    <n v="0.56000000000000005"/>
    <x v="783"/>
    <n v="0.93"/>
    <n v="6.43"/>
    <n v="7.36"/>
    <n v="12.64"/>
    <n v="1.27"/>
    <x v="49"/>
    <n v="1.1199999960000002"/>
    <x v="3"/>
    <n v="1.2681159375000001E-2"/>
  </r>
  <r>
    <x v="2"/>
    <x v="24"/>
    <n v="3.29"/>
    <n v="4.3"/>
    <x v="784"/>
    <n v="6.62"/>
    <n v="0.92"/>
    <n v="7.54"/>
    <n v="87.8"/>
    <n v="43.63"/>
    <x v="49"/>
    <n v="39.480000000000004"/>
    <x v="5"/>
    <n v="0.43633952254641911"/>
  </r>
  <r>
    <x v="2"/>
    <x v="26"/>
    <n v="4.25"/>
    <n v="3.52"/>
    <x v="785"/>
    <n v="6.68"/>
    <n v="0.72"/>
    <n v="7.4"/>
    <n v="90.27"/>
    <n v="57.43"/>
    <x v="49"/>
    <n v="51"/>
    <x v="3"/>
    <n v="0.57432432432432434"/>
  </r>
  <r>
    <x v="2"/>
    <x v="27"/>
    <n v="2.35"/>
    <n v="1.98"/>
    <x v="786"/>
    <n v="6.62"/>
    <n v="0.89"/>
    <n v="7.51"/>
    <n v="88.15"/>
    <n v="31.29"/>
    <x v="49"/>
    <n v="28.2"/>
    <x v="5"/>
    <n v="0.31291611185086554"/>
  </r>
  <r>
    <x v="2"/>
    <x v="30"/>
    <n v="0"/>
    <n v="0"/>
    <x v="0"/>
    <n v="0"/>
    <n v="0"/>
    <n v="0"/>
    <n v="0"/>
    <n v="0"/>
    <x v="49"/>
    <n v="0"/>
    <x v="5"/>
    <n v="0"/>
  </r>
  <r>
    <x v="2"/>
    <x v="33"/>
    <n v="0.5"/>
    <n v="0.6"/>
    <x v="787"/>
    <n v="5.53"/>
    <n v="1.94"/>
    <n v="7.47"/>
    <n v="74.03"/>
    <n v="6.69"/>
    <x v="49"/>
    <n v="6"/>
    <x v="3"/>
    <n v="6.6934404283801874E-2"/>
  </r>
  <r>
    <x v="2"/>
    <x v="34"/>
    <n v="3.5866666669999998"/>
    <n v="7.26"/>
    <x v="788"/>
    <n v="4.55"/>
    <n v="3.03"/>
    <n v="7.58"/>
    <n v="60.03"/>
    <n v="47.32"/>
    <x v="49"/>
    <n v="43.040000003999992"/>
    <x v="4"/>
    <n v="0.47317502203166223"/>
  </r>
  <r>
    <x v="2"/>
    <x v="35"/>
    <n v="0"/>
    <n v="0"/>
    <x v="0"/>
    <n v="0"/>
    <n v="0"/>
    <n v="0"/>
    <n v="0"/>
    <n v="0"/>
    <x v="49"/>
    <n v="0"/>
    <x v="2"/>
    <n v="0"/>
  </r>
  <r>
    <x v="2"/>
    <x v="36"/>
    <n v="1.1666666670000001"/>
    <n v="0.96"/>
    <x v="789"/>
    <n v="5"/>
    <n v="2.63"/>
    <n v="7.63"/>
    <n v="65.53"/>
    <n v="15.29"/>
    <x v="49"/>
    <n v="14.000000004"/>
    <x v="4"/>
    <n v="0.15290519882044562"/>
  </r>
  <r>
    <x v="2"/>
    <x v="38"/>
    <n v="7.8333333329999997"/>
    <n v="4.8"/>
    <x v="790"/>
    <n v="6.73"/>
    <n v="0.65"/>
    <n v="7.38"/>
    <n v="91.19"/>
    <n v="106.14"/>
    <x v="49"/>
    <n v="93.999999996"/>
    <x v="2"/>
    <n v="1.0614272808943088"/>
  </r>
  <r>
    <x v="2"/>
    <x v="39"/>
    <n v="6.0833333329999997"/>
    <n v="3.35"/>
    <x v="791"/>
    <n v="5.54"/>
    <n v="1.76"/>
    <n v="7.3"/>
    <n v="75.89"/>
    <n v="83.33"/>
    <x v="49"/>
    <n v="72.999999996"/>
    <x v="2"/>
    <n v="0.83333333328767123"/>
  </r>
  <r>
    <x v="2"/>
    <x v="40"/>
    <n v="1.51"/>
    <n v="2.46"/>
    <x v="792"/>
    <n v="5.21"/>
    <n v="2.2400000000000002"/>
    <n v="7.45"/>
    <n v="69.930000000000007"/>
    <n v="20.27"/>
    <x v="49"/>
    <n v="18.119999999999997"/>
    <x v="3"/>
    <n v="0.20268456375838925"/>
  </r>
  <r>
    <x v="2"/>
    <x v="41"/>
    <n v="3.73"/>
    <n v="4.28"/>
    <x v="793"/>
    <n v="7.1"/>
    <n v="0.49"/>
    <n v="7.59"/>
    <n v="93.54"/>
    <n v="49.14"/>
    <x v="49"/>
    <n v="44.760000000000005"/>
    <x v="5"/>
    <n v="0.49143610013175232"/>
  </r>
  <r>
    <x v="2"/>
    <x v="42"/>
    <n v="4.5"/>
    <n v="2.4"/>
    <x v="794"/>
    <n v="6.91"/>
    <n v="0.49"/>
    <n v="7.4"/>
    <n v="93.38"/>
    <n v="60.81"/>
    <x v="49"/>
    <n v="54"/>
    <x v="2"/>
    <n v="0.60810810810810811"/>
  </r>
  <r>
    <x v="2"/>
    <x v="43"/>
    <n v="0"/>
    <n v="0"/>
    <x v="0"/>
    <n v="5.23"/>
    <n v="2.15"/>
    <n v="7.38"/>
    <n v="70.87"/>
    <n v="0"/>
    <x v="49"/>
    <n v="0"/>
    <x v="3"/>
    <n v="0"/>
  </r>
  <r>
    <x v="2"/>
    <x v="45"/>
    <n v="0"/>
    <n v="0"/>
    <x v="0"/>
    <n v="6.38"/>
    <n v="1.26"/>
    <n v="7.64"/>
    <n v="83.51"/>
    <n v="0"/>
    <x v="49"/>
    <n v="0"/>
    <x v="4"/>
    <n v="0"/>
  </r>
  <r>
    <x v="2"/>
    <x v="47"/>
    <n v="3.35"/>
    <n v="3.97"/>
    <x v="795"/>
    <n v="7.25"/>
    <n v="0.34"/>
    <n v="7.59"/>
    <n v="95.52"/>
    <n v="44.14"/>
    <x v="49"/>
    <n v="40.200000000000003"/>
    <x v="5"/>
    <n v="0.44137022397891967"/>
  </r>
  <r>
    <x v="2"/>
    <x v="48"/>
    <n v="0"/>
    <n v="0"/>
    <x v="0"/>
    <n v="0"/>
    <n v="0"/>
    <n v="0"/>
    <n v="0"/>
    <n v="0"/>
    <x v="49"/>
    <n v="0"/>
    <x v="6"/>
    <n v="0"/>
  </r>
  <r>
    <x v="2"/>
    <x v="49"/>
    <n v="0"/>
    <n v="0"/>
    <x v="0"/>
    <n v="5.99"/>
    <n v="1.4"/>
    <n v="7.39"/>
    <n v="81.06"/>
    <n v="0"/>
    <x v="49"/>
    <n v="0"/>
    <x v="3"/>
    <n v="0"/>
  </r>
  <r>
    <x v="2"/>
    <x v="50"/>
    <n v="4.3333333329999997"/>
    <n v="5.41"/>
    <x v="796"/>
    <n v="6.57"/>
    <n v="1.01"/>
    <n v="7.58"/>
    <n v="86.68"/>
    <n v="57.17"/>
    <x v="49"/>
    <n v="51.999999996"/>
    <x v="4"/>
    <n v="0.57167985923482845"/>
  </r>
  <r>
    <x v="0"/>
    <x v="0"/>
    <n v="0"/>
    <n v="0"/>
    <x v="0"/>
    <n v="7.33"/>
    <n v="0.74"/>
    <n v="8.07"/>
    <n v="90.83"/>
    <n v="0"/>
    <x v="50"/>
    <n v="0"/>
    <x v="0"/>
    <n v="0"/>
  </r>
  <r>
    <x v="0"/>
    <x v="1"/>
    <n v="0"/>
    <n v="0"/>
    <x v="0"/>
    <n v="7.85"/>
    <n v="0.17"/>
    <n v="8.02"/>
    <n v="97.88"/>
    <n v="0"/>
    <x v="50"/>
    <n v="0"/>
    <x v="0"/>
    <n v="0"/>
  </r>
  <r>
    <x v="0"/>
    <x v="2"/>
    <n v="0"/>
    <n v="0"/>
    <x v="0"/>
    <n v="7.86"/>
    <n v="0.17"/>
    <n v="8.0299999999999994"/>
    <n v="97.88"/>
    <n v="0"/>
    <x v="50"/>
    <n v="0"/>
    <x v="0"/>
    <n v="0"/>
  </r>
  <r>
    <x v="0"/>
    <x v="4"/>
    <n v="0"/>
    <n v="0"/>
    <x v="0"/>
    <n v="0"/>
    <n v="0"/>
    <n v="0"/>
    <n v="0"/>
    <n v="0"/>
    <x v="50"/>
    <n v="0"/>
    <x v="0"/>
    <n v="0"/>
  </r>
  <r>
    <x v="0"/>
    <x v="5"/>
    <n v="0"/>
    <n v="0"/>
    <x v="0"/>
    <n v="7.87"/>
    <n v="0.16"/>
    <n v="8.0299999999999994"/>
    <n v="98.01"/>
    <n v="0"/>
    <x v="50"/>
    <n v="0"/>
    <x v="0"/>
    <n v="0"/>
  </r>
  <r>
    <x v="0"/>
    <x v="6"/>
    <n v="3.3333333330000001"/>
    <n v="3.89"/>
    <x v="797"/>
    <n v="7.85"/>
    <n v="0.17"/>
    <n v="8.02"/>
    <n v="97.88"/>
    <n v="41.56"/>
    <x v="50"/>
    <n v="39.999999996"/>
    <x v="0"/>
    <n v="0.41562759763092272"/>
  </r>
  <r>
    <x v="0"/>
    <x v="7"/>
    <n v="0"/>
    <n v="0"/>
    <x v="0"/>
    <n v="7.3"/>
    <n v="0.82"/>
    <n v="8.1199999999999992"/>
    <n v="89.9"/>
    <n v="0"/>
    <x v="50"/>
    <n v="0"/>
    <x v="0"/>
    <n v="0"/>
  </r>
  <r>
    <x v="0"/>
    <x v="8"/>
    <n v="0"/>
    <n v="0"/>
    <x v="0"/>
    <n v="7.33"/>
    <n v="0.77"/>
    <n v="8.1"/>
    <n v="90.49"/>
    <n v="0"/>
    <x v="50"/>
    <n v="0"/>
    <x v="0"/>
    <n v="0"/>
  </r>
  <r>
    <x v="1"/>
    <x v="9"/>
    <n v="0"/>
    <n v="0"/>
    <x v="0"/>
    <n v="3.5"/>
    <n v="4.5999999999999996"/>
    <n v="8.1"/>
    <n v="43.21"/>
    <n v="0"/>
    <x v="50"/>
    <n v="0"/>
    <x v="1"/>
    <n v="0"/>
  </r>
  <r>
    <x v="1"/>
    <x v="10"/>
    <n v="0"/>
    <n v="0"/>
    <x v="0"/>
    <n v="5"/>
    <n v="3.1"/>
    <n v="8.1"/>
    <n v="61.73"/>
    <n v="0"/>
    <x v="50"/>
    <n v="0"/>
    <x v="1"/>
    <n v="0"/>
  </r>
  <r>
    <x v="1"/>
    <x v="11"/>
    <n v="0"/>
    <n v="0"/>
    <x v="0"/>
    <n v="0"/>
    <n v="0"/>
    <n v="0"/>
    <n v="0"/>
    <n v="0"/>
    <x v="50"/>
    <n v="0"/>
    <x v="1"/>
    <n v="0"/>
  </r>
  <r>
    <x v="1"/>
    <x v="13"/>
    <n v="2.36"/>
    <n v="3.21"/>
    <x v="798"/>
    <n v="3.66"/>
    <n v="4.4400000000000004"/>
    <n v="8.1"/>
    <n v="45.19"/>
    <n v="29.14"/>
    <x v="50"/>
    <n v="28.32"/>
    <x v="1"/>
    <n v="0.29135802469135802"/>
  </r>
  <r>
    <x v="2"/>
    <x v="14"/>
    <n v="5.3333333329999997"/>
    <n v="3.23"/>
    <x v="799"/>
    <n v="6.61"/>
    <n v="1.53"/>
    <n v="8.14"/>
    <n v="81.2"/>
    <n v="65.52"/>
    <x v="50"/>
    <n v="63.999999996"/>
    <x v="2"/>
    <n v="0.65520065515970505"/>
  </r>
  <r>
    <x v="2"/>
    <x v="16"/>
    <n v="0"/>
    <n v="0"/>
    <x v="0"/>
    <n v="0"/>
    <n v="0"/>
    <n v="0"/>
    <n v="0"/>
    <n v="0"/>
    <x v="50"/>
    <n v="0"/>
    <x v="4"/>
    <n v="0"/>
  </r>
  <r>
    <x v="2"/>
    <x v="17"/>
    <n v="0.75"/>
    <n v="2.0299999999999998"/>
    <x v="800"/>
    <n v="6.81"/>
    <n v="4.13"/>
    <n v="10.94"/>
    <n v="62.25"/>
    <n v="6.86"/>
    <x v="50"/>
    <n v="9"/>
    <x v="3"/>
    <n v="6.8555758683729442E-2"/>
  </r>
  <r>
    <x v="2"/>
    <x v="18"/>
    <n v="3.1666666669999999"/>
    <n v="7"/>
    <x v="801"/>
    <n v="7.49"/>
    <n v="0.6"/>
    <n v="8.09"/>
    <n v="92.58"/>
    <n v="39.14"/>
    <x v="50"/>
    <n v="38.000000004"/>
    <x v="3"/>
    <n v="0.39142974870210134"/>
  </r>
  <r>
    <x v="2"/>
    <x v="19"/>
    <n v="10.41666667"/>
    <n v="6.22"/>
    <x v="802"/>
    <n v="8.09"/>
    <n v="0.72"/>
    <n v="8.81"/>
    <n v="91.83"/>
    <n v="118.24"/>
    <x v="50"/>
    <n v="125.00000003999999"/>
    <x v="2"/>
    <n v="1.1823685209988648"/>
  </r>
  <r>
    <x v="2"/>
    <x v="20"/>
    <n v="8.1066666670000007"/>
    <n v="7.03"/>
    <x v="803"/>
    <n v="6.74"/>
    <n v="0.49"/>
    <n v="7.23"/>
    <n v="93.22"/>
    <n v="112.13"/>
    <x v="50"/>
    <n v="97.280000004000016"/>
    <x v="5"/>
    <n v="1.1212540341632089"/>
  </r>
  <r>
    <x v="2"/>
    <x v="21"/>
    <n v="6.59"/>
    <n v="6.57"/>
    <x v="804"/>
    <n v="6.57"/>
    <n v="1.54"/>
    <n v="8.11"/>
    <n v="81.010000000000005"/>
    <n v="81.260000000000005"/>
    <x v="50"/>
    <n v="79.08"/>
    <x v="2"/>
    <n v="0.81257706535141805"/>
  </r>
  <r>
    <x v="2"/>
    <x v="22"/>
    <n v="8"/>
    <n v="7.23"/>
    <x v="805"/>
    <n v="6.79"/>
    <n v="1.23"/>
    <n v="8.02"/>
    <n v="84.66"/>
    <n v="99.75"/>
    <x v="50"/>
    <n v="96"/>
    <x v="4"/>
    <n v="0.99750623441396513"/>
  </r>
  <r>
    <x v="2"/>
    <x v="23"/>
    <n v="2"/>
    <n v="2.2799999999999998"/>
    <x v="806"/>
    <n v="9.41"/>
    <n v="1.54"/>
    <n v="10.95"/>
    <n v="85.94"/>
    <n v="18.260000000000002"/>
    <x v="50"/>
    <n v="24"/>
    <x v="3"/>
    <n v="0.18264840182648404"/>
  </r>
  <r>
    <x v="2"/>
    <x v="24"/>
    <n v="3.36"/>
    <n v="2.95"/>
    <x v="807"/>
    <n v="7.79"/>
    <n v="0.24"/>
    <n v="8.0299999999999994"/>
    <n v="97.01"/>
    <n v="41.84"/>
    <x v="50"/>
    <n v="40.32"/>
    <x v="5"/>
    <n v="0.41843088418430885"/>
  </r>
  <r>
    <x v="2"/>
    <x v="25"/>
    <n v="6.13"/>
    <n v="6.57"/>
    <x v="808"/>
    <n v="6.57"/>
    <n v="1.52"/>
    <n v="8.09"/>
    <n v="81.209999999999994"/>
    <n v="75.77"/>
    <x v="50"/>
    <n v="73.56"/>
    <x v="2"/>
    <n v="0.75772558714462301"/>
  </r>
  <r>
    <x v="2"/>
    <x v="26"/>
    <n v="0"/>
    <n v="0"/>
    <x v="0"/>
    <n v="7.6"/>
    <n v="0.46"/>
    <n v="8.06"/>
    <n v="94.29"/>
    <n v="0"/>
    <x v="50"/>
    <n v="0"/>
    <x v="3"/>
    <n v="0"/>
  </r>
  <r>
    <x v="2"/>
    <x v="27"/>
    <n v="7.8166666669999998"/>
    <n v="6.17"/>
    <x v="809"/>
    <n v="7.76"/>
    <n v="0.27"/>
    <n v="8.0299999999999994"/>
    <n v="96.64"/>
    <n v="97.34"/>
    <x v="50"/>
    <n v="93.800000003999997"/>
    <x v="5"/>
    <n v="0.97343295977584066"/>
  </r>
  <r>
    <x v="2"/>
    <x v="29"/>
    <n v="5.37"/>
    <n v="5.8"/>
    <x v="810"/>
    <n v="7.9"/>
    <n v="0.51"/>
    <n v="8.41"/>
    <n v="93.94"/>
    <n v="63.85"/>
    <x v="50"/>
    <n v="64.44"/>
    <x v="5"/>
    <n v="0.63852556480380496"/>
  </r>
  <r>
    <x v="2"/>
    <x v="30"/>
    <n v="0"/>
    <n v="0"/>
    <x v="0"/>
    <n v="0"/>
    <n v="0"/>
    <n v="0"/>
    <n v="0"/>
    <n v="0"/>
    <x v="50"/>
    <n v="0"/>
    <x v="5"/>
    <n v="0"/>
  </r>
  <r>
    <x v="2"/>
    <x v="31"/>
    <n v="6.1266666670000003"/>
    <n v="3.96"/>
    <x v="811"/>
    <n v="5.83"/>
    <n v="2.2000000000000002"/>
    <n v="8.0299999999999994"/>
    <n v="72.599999999999994"/>
    <n v="76.3"/>
    <x v="50"/>
    <n v="73.520000004000011"/>
    <x v="2"/>
    <n v="0.76297218767123298"/>
  </r>
  <r>
    <x v="2"/>
    <x v="32"/>
    <n v="2.5"/>
    <n v="1.88"/>
    <x v="812"/>
    <n v="8.19"/>
    <n v="2.74"/>
    <n v="10.93"/>
    <n v="74.930000000000007"/>
    <n v="22.87"/>
    <x v="50"/>
    <n v="30"/>
    <x v="3"/>
    <n v="0.22872827081427266"/>
  </r>
  <r>
    <x v="2"/>
    <x v="34"/>
    <n v="3.6066666669999998"/>
    <n v="4.05"/>
    <x v="813"/>
    <n v="5.21"/>
    <n v="2.79"/>
    <n v="8"/>
    <n v="65.13"/>
    <n v="45.08"/>
    <x v="50"/>
    <n v="43.280000004000001"/>
    <x v="4"/>
    <n v="0.45083333337499998"/>
  </r>
  <r>
    <x v="2"/>
    <x v="36"/>
    <n v="3.75"/>
    <n v="5.01"/>
    <x v="814"/>
    <n v="8.85"/>
    <n v="1.68"/>
    <n v="10.53"/>
    <n v="84.05"/>
    <n v="35.61"/>
    <x v="50"/>
    <n v="45"/>
    <x v="4"/>
    <n v="0.35612535612535617"/>
  </r>
  <r>
    <x v="2"/>
    <x v="37"/>
    <n v="0"/>
    <n v="0"/>
    <x v="0"/>
    <n v="8.98"/>
    <n v="1.93"/>
    <n v="10.91"/>
    <n v="82.31"/>
    <n v="0"/>
    <x v="50"/>
    <n v="0"/>
    <x v="4"/>
    <n v="0"/>
  </r>
  <r>
    <x v="2"/>
    <x v="40"/>
    <n v="0.83333333300000001"/>
    <n v="1.88"/>
    <x v="674"/>
    <n v="7.51"/>
    <n v="0.47"/>
    <n v="7.98"/>
    <n v="94.11"/>
    <n v="10.44"/>
    <x v="50"/>
    <n v="9.9999999959999997"/>
    <x v="3"/>
    <n v="0.10442773596491228"/>
  </r>
  <r>
    <x v="2"/>
    <x v="41"/>
    <n v="8.8333333330000006"/>
    <n v="6.77"/>
    <x v="815"/>
    <n v="7.39"/>
    <n v="1.52"/>
    <n v="8.91"/>
    <n v="82.94"/>
    <n v="99.14"/>
    <x v="50"/>
    <n v="105.999999996"/>
    <x v="5"/>
    <n v="0.99139543580246914"/>
  </r>
  <r>
    <x v="2"/>
    <x v="42"/>
    <n v="8.9633333329999996"/>
    <n v="5.61"/>
    <x v="816"/>
    <n v="7.33"/>
    <n v="0.8"/>
    <n v="8.1300000000000008"/>
    <n v="90.16"/>
    <n v="110.25"/>
    <x v="50"/>
    <n v="107.55999999599999"/>
    <x v="2"/>
    <n v="1.1025010249692495"/>
  </r>
  <r>
    <x v="2"/>
    <x v="44"/>
    <n v="4.4166666670000003"/>
    <n v="5.65"/>
    <x v="817"/>
    <n v="6.71"/>
    <n v="1.54"/>
    <n v="8.25"/>
    <n v="81.33"/>
    <n v="53.54"/>
    <x v="50"/>
    <n v="53.000000004"/>
    <x v="3"/>
    <n v="0.53535353539393948"/>
  </r>
  <r>
    <x v="2"/>
    <x v="46"/>
    <n v="0"/>
    <n v="0"/>
    <x v="0"/>
    <n v="8.0399999999999991"/>
    <n v="0.18"/>
    <n v="8.2200000000000006"/>
    <n v="97.81"/>
    <n v="0"/>
    <x v="50"/>
    <n v="0"/>
    <x v="4"/>
    <n v="0"/>
  </r>
  <r>
    <x v="2"/>
    <x v="47"/>
    <n v="9.7899999999999991"/>
    <n v="7.53"/>
    <x v="818"/>
    <n v="9.9499999999999993"/>
    <n v="0.08"/>
    <n v="10.029999999999999"/>
    <n v="99.2"/>
    <n v="97.61"/>
    <x v="50"/>
    <n v="117.47999999999999"/>
    <x v="5"/>
    <n v="0.97607178464606181"/>
  </r>
  <r>
    <x v="2"/>
    <x v="48"/>
    <n v="0"/>
    <n v="0"/>
    <x v="0"/>
    <n v="0"/>
    <n v="0"/>
    <n v="0"/>
    <n v="0"/>
    <n v="0"/>
    <x v="50"/>
    <n v="0"/>
    <x v="6"/>
    <n v="0"/>
  </r>
  <r>
    <x v="2"/>
    <x v="50"/>
    <n v="5.6033333330000001"/>
    <n v="2.81"/>
    <x v="819"/>
    <n v="9.65"/>
    <n v="0.33"/>
    <n v="9.98"/>
    <n v="96.69"/>
    <n v="56.15"/>
    <x v="50"/>
    <n v="67.239999996000009"/>
    <x v="4"/>
    <n v="0.56145624579158315"/>
  </r>
  <r>
    <x v="0"/>
    <x v="1"/>
    <n v="2.0299999999999998"/>
    <n v="11.37"/>
    <x v="820"/>
    <n v="11.45"/>
    <n v="0.03"/>
    <n v="11.48"/>
    <n v="99.74"/>
    <n v="17.68"/>
    <x v="51"/>
    <n v="24.359999999999996"/>
    <x v="0"/>
    <n v="0.17682926829268289"/>
  </r>
  <r>
    <x v="0"/>
    <x v="2"/>
    <n v="2.0299999999999998"/>
    <n v="11.37"/>
    <x v="820"/>
    <n v="10.8"/>
    <n v="0.68"/>
    <n v="11.48"/>
    <n v="94.08"/>
    <n v="17.68"/>
    <x v="51"/>
    <n v="24.359999999999996"/>
    <x v="0"/>
    <n v="0.17682926829268289"/>
  </r>
  <r>
    <x v="0"/>
    <x v="4"/>
    <n v="2.13"/>
    <n v="3.97"/>
    <x v="821"/>
    <n v="11.47"/>
    <n v="0.03"/>
    <n v="11.5"/>
    <n v="99.74"/>
    <n v="18.52"/>
    <x v="51"/>
    <n v="25.56"/>
    <x v="0"/>
    <n v="0.18521739130434781"/>
  </r>
  <r>
    <x v="0"/>
    <x v="6"/>
    <n v="3.0466666670000002"/>
    <n v="4.97"/>
    <x v="822"/>
    <n v="11.04"/>
    <n v="0.04"/>
    <n v="11.08"/>
    <n v="99.64"/>
    <n v="27.5"/>
    <x v="51"/>
    <n v="36.560000004000003"/>
    <x v="0"/>
    <n v="0.27496991579422386"/>
  </r>
  <r>
    <x v="1"/>
    <x v="12"/>
    <n v="1.97"/>
    <n v="1.33"/>
    <x v="823"/>
    <n v="2.42"/>
    <n v="5.68"/>
    <n v="8.1"/>
    <n v="29.88"/>
    <n v="24.32"/>
    <x v="51"/>
    <n v="23.64"/>
    <x v="1"/>
    <n v="0.24320987654320989"/>
  </r>
  <r>
    <x v="1"/>
    <x v="13"/>
    <n v="0"/>
    <n v="0"/>
    <x v="0"/>
    <n v="5.28"/>
    <n v="2.81"/>
    <n v="8.09"/>
    <n v="65.27"/>
    <n v="0"/>
    <x v="51"/>
    <n v="0"/>
    <x v="1"/>
    <n v="0"/>
  </r>
  <r>
    <x v="2"/>
    <x v="14"/>
    <n v="11.91333333"/>
    <n v="6.65"/>
    <x v="824"/>
    <n v="6.71"/>
    <n v="3.51"/>
    <n v="10.220000000000001"/>
    <n v="65.66"/>
    <n v="116.57"/>
    <x v="51"/>
    <n v="142.95999996"/>
    <x v="2"/>
    <n v="1.1656881927592955"/>
  </r>
  <r>
    <x v="2"/>
    <x v="15"/>
    <n v="2.25"/>
    <n v="6.88"/>
    <x v="825"/>
    <n v="8.26"/>
    <n v="0.73"/>
    <n v="8.99"/>
    <n v="91.88"/>
    <n v="25.03"/>
    <x v="51"/>
    <n v="27"/>
    <x v="3"/>
    <n v="0.25027808676307006"/>
  </r>
  <r>
    <x v="2"/>
    <x v="16"/>
    <n v="0"/>
    <n v="0"/>
    <x v="0"/>
    <n v="7.41"/>
    <n v="0.49"/>
    <n v="7.9"/>
    <n v="93.8"/>
    <n v="0"/>
    <x v="51"/>
    <n v="0"/>
    <x v="4"/>
    <n v="0"/>
  </r>
  <r>
    <x v="2"/>
    <x v="17"/>
    <n v="3.1"/>
    <n v="4.1399999999999997"/>
    <x v="826"/>
    <n v="1.27"/>
    <n v="9.18"/>
    <n v="10.45"/>
    <n v="12.15"/>
    <n v="29.67"/>
    <x v="51"/>
    <n v="37.200000000000003"/>
    <x v="3"/>
    <n v="0.29665071770334933"/>
  </r>
  <r>
    <x v="2"/>
    <x v="18"/>
    <n v="1"/>
    <n v="0.4"/>
    <x v="827"/>
    <n v="5.86"/>
    <n v="2.71"/>
    <n v="8.57"/>
    <n v="68.38"/>
    <n v="11.67"/>
    <x v="51"/>
    <n v="12"/>
    <x v="3"/>
    <n v="0.11668611435239207"/>
  </r>
  <r>
    <x v="2"/>
    <x v="20"/>
    <n v="5.5033333329999996"/>
    <n v="2.85"/>
    <x v="828"/>
    <n v="7.61"/>
    <n v="0.81"/>
    <n v="8.42"/>
    <n v="90.38"/>
    <n v="65.36"/>
    <x v="51"/>
    <n v="66.039999995999992"/>
    <x v="5"/>
    <n v="0.65360253361045129"/>
  </r>
  <r>
    <x v="2"/>
    <x v="21"/>
    <n v="7.89"/>
    <n v="5.15"/>
    <x v="829"/>
    <n v="6.15"/>
    <n v="2.08"/>
    <n v="8.23"/>
    <n v="74.73"/>
    <n v="95.87"/>
    <x v="51"/>
    <n v="94.679999999999993"/>
    <x v="2"/>
    <n v="0.95868772782503031"/>
  </r>
  <r>
    <x v="2"/>
    <x v="22"/>
    <n v="4"/>
    <n v="6.83"/>
    <x v="830"/>
    <n v="8.66"/>
    <n v="1.51"/>
    <n v="10.17"/>
    <n v="85.15"/>
    <n v="39.33"/>
    <x v="51"/>
    <n v="48"/>
    <x v="4"/>
    <n v="0.39331366764995085"/>
  </r>
  <r>
    <x v="2"/>
    <x v="23"/>
    <n v="1"/>
    <n v="4.62"/>
    <x v="831"/>
    <n v="0"/>
    <n v="9.25"/>
    <n v="9.25"/>
    <n v="0"/>
    <n v="10.81"/>
    <x v="51"/>
    <n v="12"/>
    <x v="3"/>
    <n v="0.10810810810810811"/>
  </r>
  <r>
    <x v="2"/>
    <x v="24"/>
    <n v="7.28"/>
    <n v="3.37"/>
    <x v="832"/>
    <n v="7.8"/>
    <n v="0.46"/>
    <n v="8.26"/>
    <n v="94.43"/>
    <n v="88.14"/>
    <x v="51"/>
    <n v="87.36"/>
    <x v="5"/>
    <n v="0.88135593220338992"/>
  </r>
  <r>
    <x v="2"/>
    <x v="25"/>
    <n v="9.6133333329999999"/>
    <n v="5.47"/>
    <x v="833"/>
    <n v="6.17"/>
    <n v="2.0299999999999998"/>
    <n v="8.1999999999999993"/>
    <n v="75.239999999999995"/>
    <n v="117.24"/>
    <x v="51"/>
    <n v="115.35999999599998"/>
    <x v="2"/>
    <n v="1.1723577235365854"/>
  </r>
  <r>
    <x v="2"/>
    <x v="27"/>
    <n v="7.99"/>
    <n v="4.68"/>
    <x v="834"/>
    <n v="8.01"/>
    <n v="0.23"/>
    <n v="8.24"/>
    <n v="97.21"/>
    <n v="96.97"/>
    <x v="51"/>
    <n v="95.88000000000001"/>
    <x v="5"/>
    <n v="0.96966019417475724"/>
  </r>
  <r>
    <x v="2"/>
    <x v="29"/>
    <n v="9.17"/>
    <n v="5.33"/>
    <x v="835"/>
    <n v="9.1"/>
    <n v="0.85"/>
    <n v="9.9499999999999993"/>
    <n v="91.46"/>
    <n v="92.16"/>
    <x v="51"/>
    <n v="110.04"/>
    <x v="5"/>
    <n v="0.92160804020100506"/>
  </r>
  <r>
    <x v="2"/>
    <x v="30"/>
    <n v="0"/>
    <n v="0"/>
    <x v="0"/>
    <n v="0"/>
    <n v="0"/>
    <n v="0"/>
    <n v="0"/>
    <n v="0"/>
    <x v="51"/>
    <n v="0"/>
    <x v="5"/>
    <n v="0"/>
  </r>
  <r>
    <x v="2"/>
    <x v="31"/>
    <n v="8.4166666669999994"/>
    <n v="7.5"/>
    <x v="836"/>
    <n v="8.25"/>
    <n v="0.02"/>
    <n v="8.27"/>
    <n v="99.76"/>
    <n v="101.77"/>
    <x v="51"/>
    <n v="101.00000000399999"/>
    <x v="2"/>
    <n v="1.017734784401451"/>
  </r>
  <r>
    <x v="2"/>
    <x v="33"/>
    <n v="1.4266666670000001"/>
    <n v="1.9"/>
    <x v="837"/>
    <n v="9.61"/>
    <n v="1.89"/>
    <n v="11.5"/>
    <n v="83.57"/>
    <n v="12.41"/>
    <x v="51"/>
    <n v="17.120000004000001"/>
    <x v="3"/>
    <n v="0.12405797104347827"/>
  </r>
  <r>
    <x v="2"/>
    <x v="34"/>
    <n v="4.54"/>
    <n v="3.98"/>
    <x v="838"/>
    <n v="8.11"/>
    <n v="1.6"/>
    <n v="9.7100000000000009"/>
    <n v="83.52"/>
    <n v="46.76"/>
    <x v="51"/>
    <n v="54.48"/>
    <x v="4"/>
    <n v="0.46755921730175076"/>
  </r>
  <r>
    <x v="2"/>
    <x v="36"/>
    <n v="2.4166666669999999"/>
    <n v="4.75"/>
    <x v="839"/>
    <n v="8.44"/>
    <n v="1.78"/>
    <n v="10.220000000000001"/>
    <n v="82.58"/>
    <n v="23.65"/>
    <x v="51"/>
    <n v="29.000000003999997"/>
    <x v="4"/>
    <n v="0.23646444882583167"/>
  </r>
  <r>
    <x v="2"/>
    <x v="38"/>
    <n v="21.333333329999999"/>
    <n v="7.93"/>
    <x v="840"/>
    <n v="9.5500000000000007"/>
    <n v="1.17"/>
    <n v="10.72"/>
    <n v="89.09"/>
    <n v="199"/>
    <x v="51"/>
    <n v="255.99999995999997"/>
    <x v="2"/>
    <n v="1.9900497509328356"/>
  </r>
  <r>
    <x v="2"/>
    <x v="39"/>
    <n v="9.0833333330000006"/>
    <n v="5.8"/>
    <x v="841"/>
    <n v="7.85"/>
    <n v="0.82"/>
    <n v="8.67"/>
    <n v="90.54"/>
    <n v="104.77"/>
    <x v="51"/>
    <n v="108.999999996"/>
    <x v="2"/>
    <n v="1.0476739715109573"/>
  </r>
  <r>
    <x v="2"/>
    <x v="40"/>
    <n v="4.903333333"/>
    <n v="7.61"/>
    <x v="842"/>
    <n v="7.33"/>
    <n v="2.2799999999999998"/>
    <n v="9.61"/>
    <n v="76.27"/>
    <n v="51.02"/>
    <x v="51"/>
    <n v="58.839999995999996"/>
    <x v="3"/>
    <n v="0.51023239677419352"/>
  </r>
  <r>
    <x v="2"/>
    <x v="41"/>
    <n v="12.25"/>
    <n v="6.91"/>
    <x v="843"/>
    <n v="8.31"/>
    <n v="0.32"/>
    <n v="8.6300000000000008"/>
    <n v="96.29"/>
    <n v="141.94999999999999"/>
    <x v="51"/>
    <n v="147"/>
    <x v="5"/>
    <n v="1.4194669756662803"/>
  </r>
  <r>
    <x v="2"/>
    <x v="42"/>
    <n v="9.8333333330000006"/>
    <n v="6.61"/>
    <x v="844"/>
    <n v="8.34"/>
    <n v="0.54"/>
    <n v="8.8800000000000008"/>
    <n v="93.92"/>
    <n v="110.74"/>
    <x v="51"/>
    <n v="117.999999996"/>
    <x v="2"/>
    <n v="1.1073573573198199"/>
  </r>
  <r>
    <x v="2"/>
    <x v="43"/>
    <n v="0"/>
    <n v="0"/>
    <x v="0"/>
    <n v="6.93"/>
    <n v="1.17"/>
    <n v="8.1"/>
    <n v="85.56"/>
    <n v="0"/>
    <x v="51"/>
    <n v="0"/>
    <x v="3"/>
    <n v="0"/>
  </r>
  <r>
    <x v="2"/>
    <x v="44"/>
    <n v="3.0833333330000001"/>
    <n v="3.14"/>
    <x v="845"/>
    <n v="6.43"/>
    <n v="1.68"/>
    <n v="8.11"/>
    <n v="79.28"/>
    <n v="38.020000000000003"/>
    <x v="51"/>
    <n v="36.999999996"/>
    <x v="3"/>
    <n v="0.38018906695437737"/>
  </r>
  <r>
    <x v="2"/>
    <x v="45"/>
    <n v="1.3333333329999999"/>
    <n v="3.23"/>
    <x v="846"/>
    <n v="6.34"/>
    <n v="2.04"/>
    <n v="8.3800000000000008"/>
    <n v="75.66"/>
    <n v="15.91"/>
    <x v="51"/>
    <n v="15.999999996"/>
    <x v="4"/>
    <n v="0.15910898961813841"/>
  </r>
  <r>
    <x v="2"/>
    <x v="46"/>
    <n v="3.8333333330000001"/>
    <n v="3.36"/>
    <x v="469"/>
    <n v="7.32"/>
    <n v="0.51"/>
    <n v="7.83"/>
    <n v="93.49"/>
    <n v="48.96"/>
    <x v="51"/>
    <n v="45.999999996"/>
    <x v="4"/>
    <n v="0.48957002975734354"/>
  </r>
  <r>
    <x v="2"/>
    <x v="48"/>
    <n v="0"/>
    <n v="0"/>
    <x v="0"/>
    <n v="0"/>
    <n v="0"/>
    <n v="0"/>
    <n v="0"/>
    <n v="0"/>
    <x v="51"/>
    <n v="0"/>
    <x v="6"/>
    <n v="0"/>
  </r>
  <r>
    <x v="2"/>
    <x v="50"/>
    <n v="6.6666666670000003"/>
    <n v="9.32"/>
    <x v="847"/>
    <n v="8.9600000000000009"/>
    <n v="1.2"/>
    <n v="10.16"/>
    <n v="88.19"/>
    <n v="65.62"/>
    <x v="51"/>
    <n v="80.000000004"/>
    <x v="4"/>
    <n v="0.65616797903543311"/>
  </r>
  <r>
    <x v="0"/>
    <x v="1"/>
    <n v="0"/>
    <n v="0"/>
    <x v="0"/>
    <n v="10.3"/>
    <n v="0.22"/>
    <n v="10.52"/>
    <n v="97.91"/>
    <n v="0"/>
    <x v="52"/>
    <n v="0"/>
    <x v="0"/>
    <n v="0"/>
  </r>
  <r>
    <x v="0"/>
    <x v="2"/>
    <n v="0"/>
    <n v="0"/>
    <x v="0"/>
    <n v="10.3"/>
    <n v="0.22"/>
    <n v="10.52"/>
    <n v="97.91"/>
    <n v="0"/>
    <x v="52"/>
    <n v="0"/>
    <x v="0"/>
    <n v="0"/>
  </r>
  <r>
    <x v="0"/>
    <x v="3"/>
    <n v="0"/>
    <n v="0"/>
    <x v="0"/>
    <n v="7.23"/>
    <n v="0.92"/>
    <n v="8.15"/>
    <n v="88.71"/>
    <n v="0"/>
    <x v="52"/>
    <n v="0"/>
    <x v="0"/>
    <n v="0"/>
  </r>
  <r>
    <x v="0"/>
    <x v="4"/>
    <n v="0"/>
    <n v="0"/>
    <x v="0"/>
    <n v="9.68"/>
    <n v="0.33"/>
    <n v="10.01"/>
    <n v="96.7"/>
    <n v="0"/>
    <x v="52"/>
    <n v="0"/>
    <x v="0"/>
    <n v="0"/>
  </r>
  <r>
    <x v="0"/>
    <x v="5"/>
    <n v="0"/>
    <n v="0"/>
    <x v="0"/>
    <n v="10.3"/>
    <n v="0.22"/>
    <n v="10.52"/>
    <n v="97.91"/>
    <n v="0"/>
    <x v="52"/>
    <n v="0"/>
    <x v="0"/>
    <n v="0"/>
  </r>
  <r>
    <x v="0"/>
    <x v="6"/>
    <n v="0"/>
    <n v="0"/>
    <x v="0"/>
    <n v="10.210000000000001"/>
    <n v="0.22"/>
    <n v="10.43"/>
    <n v="97.89"/>
    <n v="0"/>
    <x v="52"/>
    <n v="0"/>
    <x v="0"/>
    <n v="0"/>
  </r>
  <r>
    <x v="0"/>
    <x v="7"/>
    <n v="0"/>
    <n v="0"/>
    <x v="0"/>
    <n v="7.21"/>
    <n v="0.94"/>
    <n v="8.15"/>
    <n v="88.47"/>
    <n v="0"/>
    <x v="52"/>
    <n v="0"/>
    <x v="0"/>
    <n v="0"/>
  </r>
  <r>
    <x v="0"/>
    <x v="8"/>
    <n v="4.5833333329999997"/>
    <n v="4.1900000000000004"/>
    <x v="848"/>
    <n v="7.25"/>
    <n v="0.88"/>
    <n v="8.1300000000000008"/>
    <n v="89.18"/>
    <n v="56.38"/>
    <x v="52"/>
    <n v="54.999999996"/>
    <x v="0"/>
    <n v="0.56375563751537505"/>
  </r>
  <r>
    <x v="1"/>
    <x v="9"/>
    <n v="0"/>
    <n v="0"/>
    <x v="0"/>
    <n v="6.42"/>
    <n v="1.67"/>
    <n v="8.09"/>
    <n v="79.36"/>
    <n v="0"/>
    <x v="52"/>
    <n v="0"/>
    <x v="1"/>
    <n v="0"/>
  </r>
  <r>
    <x v="1"/>
    <x v="10"/>
    <n v="6.8333333329999997"/>
    <n v="2.35"/>
    <x v="849"/>
    <n v="6.67"/>
    <n v="3.46"/>
    <n v="10.130000000000001"/>
    <n v="65.84"/>
    <n v="67.459999999999994"/>
    <x v="52"/>
    <n v="81.999999996"/>
    <x v="1"/>
    <n v="0.67456400128331684"/>
  </r>
  <r>
    <x v="1"/>
    <x v="11"/>
    <n v="0"/>
    <n v="0"/>
    <x v="0"/>
    <n v="7.05"/>
    <n v="1.8"/>
    <n v="8.85"/>
    <n v="79.66"/>
    <n v="0"/>
    <x v="52"/>
    <n v="0"/>
    <x v="1"/>
    <n v="0"/>
  </r>
  <r>
    <x v="1"/>
    <x v="12"/>
    <n v="4.4166666670000003"/>
    <n v="3.7"/>
    <x v="850"/>
    <n v="3.76"/>
    <n v="5.86"/>
    <n v="9.6199999999999992"/>
    <n v="39.090000000000003"/>
    <n v="45.91"/>
    <x v="52"/>
    <n v="53.000000004"/>
    <x v="1"/>
    <n v="0.45911295914760925"/>
  </r>
  <r>
    <x v="1"/>
    <x v="13"/>
    <n v="0"/>
    <n v="0"/>
    <x v="0"/>
    <n v="3.75"/>
    <n v="5.88"/>
    <n v="9.6300000000000008"/>
    <n v="38.94"/>
    <n v="0"/>
    <x v="52"/>
    <n v="0"/>
    <x v="1"/>
    <n v="0"/>
  </r>
  <r>
    <x v="2"/>
    <x v="15"/>
    <n v="7.25"/>
    <n v="8.07"/>
    <x v="851"/>
    <n v="8.4499999999999993"/>
    <n v="1.1200000000000001"/>
    <n v="9.57"/>
    <n v="88.3"/>
    <n v="75.760000000000005"/>
    <x v="52"/>
    <n v="87"/>
    <x v="3"/>
    <n v="0.75757575757575757"/>
  </r>
  <r>
    <x v="2"/>
    <x v="16"/>
    <n v="3.12"/>
    <n v="3.79"/>
    <x v="852"/>
    <n v="7.49"/>
    <n v="0.28000000000000003"/>
    <n v="7.77"/>
    <n v="96.4"/>
    <n v="40.15"/>
    <x v="52"/>
    <n v="37.440000000000005"/>
    <x v="4"/>
    <n v="0.40154440154440157"/>
  </r>
  <r>
    <x v="2"/>
    <x v="18"/>
    <n v="6.5833333329999997"/>
    <n v="7.71"/>
    <x v="853"/>
    <n v="8.66"/>
    <n v="2.81"/>
    <n v="11.47"/>
    <n v="75.5"/>
    <n v="57.4"/>
    <x v="52"/>
    <n v="78.999999996"/>
    <x v="3"/>
    <n v="0.57396105780296425"/>
  </r>
  <r>
    <x v="2"/>
    <x v="19"/>
    <n v="11.553333329999999"/>
    <n v="7.59"/>
    <x v="854"/>
    <n v="7.8"/>
    <n v="0.13"/>
    <n v="7.93"/>
    <n v="98.36"/>
    <n v="145.69"/>
    <x v="52"/>
    <n v="138.63999996000001"/>
    <x v="2"/>
    <n v="1.4569146696090793"/>
  </r>
  <r>
    <x v="2"/>
    <x v="20"/>
    <n v="5.0633333330000001"/>
    <n v="5.6"/>
    <x v="855"/>
    <n v="10.38"/>
    <n v="0.44"/>
    <n v="10.82"/>
    <n v="95.93"/>
    <n v="46.8"/>
    <x v="52"/>
    <n v="60.759999995999998"/>
    <x v="5"/>
    <n v="0.46796056682070242"/>
  </r>
  <r>
    <x v="2"/>
    <x v="21"/>
    <n v="11.213333329999999"/>
    <n v="8.2899999999999991"/>
    <x v="856"/>
    <n v="8.73"/>
    <n v="0.46"/>
    <n v="9.19"/>
    <n v="94.99"/>
    <n v="122.02"/>
    <x v="52"/>
    <n v="134.55999995999997"/>
    <x v="2"/>
    <n v="1.2201668476605005"/>
  </r>
  <r>
    <x v="2"/>
    <x v="23"/>
    <n v="2.6666666669999999"/>
    <n v="4.8899999999999997"/>
    <x v="857"/>
    <n v="1.8"/>
    <n v="9.2100000000000009"/>
    <n v="11.01"/>
    <n v="16.350000000000001"/>
    <n v="24.22"/>
    <x v="52"/>
    <n v="32.000000004"/>
    <x v="3"/>
    <n v="0.24220405694822889"/>
  </r>
  <r>
    <x v="2"/>
    <x v="25"/>
    <n v="7.21"/>
    <n v="6.97"/>
    <x v="858"/>
    <n v="7.98"/>
    <n v="0.5"/>
    <n v="8.48"/>
    <n v="94.1"/>
    <n v="85.02"/>
    <x v="52"/>
    <n v="86.52000000000001"/>
    <x v="2"/>
    <n v="0.85023584905660377"/>
  </r>
  <r>
    <x v="2"/>
    <x v="26"/>
    <n v="0"/>
    <n v="0"/>
    <x v="0"/>
    <n v="9.25"/>
    <n v="1.73"/>
    <n v="10.98"/>
    <n v="84.24"/>
    <n v="0"/>
    <x v="52"/>
    <n v="0"/>
    <x v="3"/>
    <n v="0"/>
  </r>
  <r>
    <x v="2"/>
    <x v="29"/>
    <n v="10.19"/>
    <n v="7.33"/>
    <x v="859"/>
    <n v="10.66"/>
    <n v="0.14000000000000001"/>
    <n v="10.8"/>
    <n v="98.7"/>
    <n v="94.35"/>
    <x v="52"/>
    <n v="122.28"/>
    <x v="5"/>
    <n v="0.94351851851851842"/>
  </r>
  <r>
    <x v="2"/>
    <x v="30"/>
    <n v="0"/>
    <n v="0"/>
    <x v="0"/>
    <n v="0"/>
    <n v="0"/>
    <n v="0"/>
    <n v="0"/>
    <n v="0"/>
    <x v="52"/>
    <n v="0"/>
    <x v="5"/>
    <n v="0"/>
  </r>
  <r>
    <x v="2"/>
    <x v="31"/>
    <n v="7.8333333329999997"/>
    <n v="6.27"/>
    <x v="860"/>
    <n v="8.09"/>
    <n v="0.18"/>
    <n v="8.27"/>
    <n v="97.82"/>
    <n v="94.72"/>
    <x v="52"/>
    <n v="93.999999996"/>
    <x v="2"/>
    <n v="0.9471987101571947"/>
  </r>
  <r>
    <x v="2"/>
    <x v="34"/>
    <n v="2.75"/>
    <n v="3.4"/>
    <x v="861"/>
    <n v="7.53"/>
    <n v="2.2999999999999998"/>
    <n v="9.83"/>
    <n v="76.599999999999994"/>
    <n v="27.98"/>
    <x v="52"/>
    <n v="33"/>
    <x v="4"/>
    <n v="0.27975584944048831"/>
  </r>
  <r>
    <x v="2"/>
    <x v="35"/>
    <n v="0"/>
    <n v="0"/>
    <x v="0"/>
    <n v="0"/>
    <n v="0"/>
    <n v="0"/>
    <n v="0"/>
    <n v="0"/>
    <x v="52"/>
    <n v="0"/>
    <x v="2"/>
    <n v="0"/>
  </r>
  <r>
    <x v="2"/>
    <x v="36"/>
    <n v="3.0833333330000001"/>
    <n v="3.92"/>
    <x v="862"/>
    <n v="8.1199999999999992"/>
    <n v="1.93"/>
    <n v="10.050000000000001"/>
    <n v="80.8"/>
    <n v="30.68"/>
    <x v="52"/>
    <n v="36.999999996"/>
    <x v="4"/>
    <n v="0.30679933661691539"/>
  </r>
  <r>
    <x v="2"/>
    <x v="37"/>
    <n v="5.75"/>
    <n v="5.54"/>
    <x v="863"/>
    <n v="7.37"/>
    <n v="0.99"/>
    <n v="8.36"/>
    <n v="88.16"/>
    <n v="68.78"/>
    <x v="52"/>
    <n v="69"/>
    <x v="4"/>
    <n v="0.68779904306220097"/>
  </r>
  <r>
    <x v="2"/>
    <x v="38"/>
    <n v="10.75"/>
    <n v="4.84"/>
    <x v="864"/>
    <n v="9.1"/>
    <n v="0.26"/>
    <n v="9.36"/>
    <n v="97.22"/>
    <n v="114.85"/>
    <x v="52"/>
    <n v="129"/>
    <x v="2"/>
    <n v="1.1485042735042736"/>
  </r>
  <r>
    <x v="2"/>
    <x v="40"/>
    <n v="7.5833333329999997"/>
    <n v="6.72"/>
    <x v="865"/>
    <n v="6.65"/>
    <n v="2.36"/>
    <n v="9.01"/>
    <n v="73.81"/>
    <n v="84.17"/>
    <x v="52"/>
    <n v="90.999999996"/>
    <x v="3"/>
    <n v="0.84165741764705881"/>
  </r>
  <r>
    <x v="2"/>
    <x v="43"/>
    <n v="3.8333333330000001"/>
    <n v="1.68"/>
    <x v="866"/>
    <n v="6.28"/>
    <n v="2.83"/>
    <n v="9.11"/>
    <n v="68.94"/>
    <n v="42.08"/>
    <x v="52"/>
    <n v="45.999999996"/>
    <x v="3"/>
    <n v="0.4207830222832053"/>
  </r>
  <r>
    <x v="2"/>
    <x v="45"/>
    <n v="1"/>
    <n v="1.82"/>
    <x v="867"/>
    <n v="7.69"/>
    <n v="0.69"/>
    <n v="8.3800000000000008"/>
    <n v="91.77"/>
    <n v="11.93"/>
    <x v="52"/>
    <n v="12"/>
    <x v="4"/>
    <n v="0.11933174224343675"/>
  </r>
  <r>
    <x v="2"/>
    <x v="46"/>
    <n v="3.12"/>
    <n v="3.79"/>
    <x v="852"/>
    <n v="7.51"/>
    <n v="0.28000000000000003"/>
    <n v="7.79"/>
    <n v="96.41"/>
    <n v="40.049999999999997"/>
    <x v="52"/>
    <n v="37.440000000000005"/>
    <x v="4"/>
    <n v="0.40051347881899874"/>
  </r>
  <r>
    <x v="2"/>
    <x v="48"/>
    <n v="0"/>
    <n v="0"/>
    <x v="0"/>
    <n v="0"/>
    <n v="0"/>
    <n v="0"/>
    <n v="0"/>
    <n v="0"/>
    <x v="52"/>
    <n v="0"/>
    <x v="6"/>
    <n v="0"/>
  </r>
  <r>
    <x v="0"/>
    <x v="0"/>
    <n v="0"/>
    <n v="0"/>
    <x v="0"/>
    <n v="6.6"/>
    <n v="1.44"/>
    <n v="8.0399999999999991"/>
    <n v="82.09"/>
    <n v="0"/>
    <x v="53"/>
    <n v="0"/>
    <x v="0"/>
    <n v="0"/>
  </r>
  <r>
    <x v="0"/>
    <x v="3"/>
    <n v="0"/>
    <n v="0"/>
    <x v="0"/>
    <n v="6.65"/>
    <n v="1.41"/>
    <n v="8.06"/>
    <n v="82.51"/>
    <n v="0"/>
    <x v="53"/>
    <n v="0"/>
    <x v="0"/>
    <n v="0"/>
  </r>
  <r>
    <x v="0"/>
    <x v="4"/>
    <n v="0"/>
    <n v="0"/>
    <x v="0"/>
    <n v="7.97"/>
    <n v="0.06"/>
    <n v="8.0299999999999994"/>
    <n v="99.25"/>
    <n v="0"/>
    <x v="53"/>
    <n v="0"/>
    <x v="0"/>
    <n v="0"/>
  </r>
  <r>
    <x v="0"/>
    <x v="6"/>
    <n v="7.1666666670000003"/>
    <n v="5.8"/>
    <x v="868"/>
    <n v="7.97"/>
    <n v="0.06"/>
    <n v="8.0299999999999994"/>
    <n v="99.25"/>
    <n v="89.25"/>
    <x v="53"/>
    <n v="86.000000004"/>
    <x v="0"/>
    <n v="0.89248650896637616"/>
  </r>
  <r>
    <x v="0"/>
    <x v="7"/>
    <n v="0"/>
    <n v="0"/>
    <x v="0"/>
    <n v="6.67"/>
    <n v="1.39"/>
    <n v="8.06"/>
    <n v="82.75"/>
    <n v="0"/>
    <x v="53"/>
    <n v="0"/>
    <x v="0"/>
    <n v="0"/>
  </r>
  <r>
    <x v="0"/>
    <x v="8"/>
    <n v="5.8333333329999997"/>
    <n v="7.7"/>
    <x v="869"/>
    <n v="6.64"/>
    <n v="1.45"/>
    <n v="8.09"/>
    <n v="82.08"/>
    <n v="72.11"/>
    <x v="53"/>
    <n v="69.999999996"/>
    <x v="0"/>
    <n v="0.72105480012360934"/>
  </r>
  <r>
    <x v="1"/>
    <x v="10"/>
    <n v="4"/>
    <n v="0.9"/>
    <x v="870"/>
    <n v="6.75"/>
    <n v="1.34"/>
    <n v="8.09"/>
    <n v="83.44"/>
    <n v="49.44"/>
    <x v="53"/>
    <n v="48"/>
    <x v="1"/>
    <n v="0.49443757725587145"/>
  </r>
  <r>
    <x v="1"/>
    <x v="11"/>
    <n v="0"/>
    <n v="0"/>
    <x v="0"/>
    <n v="3.66"/>
    <n v="4.43"/>
    <n v="8.09"/>
    <n v="45.24"/>
    <n v="0"/>
    <x v="53"/>
    <n v="0"/>
    <x v="1"/>
    <n v="0"/>
  </r>
  <r>
    <x v="1"/>
    <x v="13"/>
    <n v="2.4"/>
    <n v="4.1500000000000004"/>
    <x v="871"/>
    <n v="6.55"/>
    <n v="1.56"/>
    <n v="8.11"/>
    <n v="80.760000000000005"/>
    <n v="29.59"/>
    <x v="53"/>
    <n v="28.8"/>
    <x v="1"/>
    <n v="0.29593094944512949"/>
  </r>
  <r>
    <x v="2"/>
    <x v="14"/>
    <n v="8.0633333329999992"/>
    <n v="6.21"/>
    <x v="872"/>
    <n v="7.58"/>
    <n v="0.39"/>
    <n v="7.97"/>
    <n v="95.11"/>
    <n v="101.17"/>
    <x v="53"/>
    <n v="96.759999995999991"/>
    <x v="2"/>
    <n v="1.0117105813048932"/>
  </r>
  <r>
    <x v="2"/>
    <x v="15"/>
    <n v="1.25"/>
    <n v="1.95"/>
    <x v="873"/>
    <n v="7.22"/>
    <n v="1.34"/>
    <n v="8.56"/>
    <n v="84.35"/>
    <n v="14.6"/>
    <x v="53"/>
    <n v="15"/>
    <x v="3"/>
    <n v="0.14602803738317757"/>
  </r>
  <r>
    <x v="2"/>
    <x v="16"/>
    <n v="0.5"/>
    <n v="0.4"/>
    <x v="874"/>
    <n v="7.61"/>
    <n v="0.74"/>
    <n v="8.35"/>
    <n v="91.14"/>
    <n v="5.99"/>
    <x v="53"/>
    <n v="6"/>
    <x v="4"/>
    <n v="5.9880239520958084E-2"/>
  </r>
  <r>
    <x v="2"/>
    <x v="17"/>
    <n v="1.4"/>
    <n v="7.83"/>
    <x v="875"/>
    <n v="5.78"/>
    <n v="4.34"/>
    <n v="10.119999999999999"/>
    <n v="57.11"/>
    <n v="13.83"/>
    <x v="53"/>
    <n v="16.8"/>
    <x v="3"/>
    <n v="0.13833992094861661"/>
  </r>
  <r>
    <x v="2"/>
    <x v="18"/>
    <n v="1.9166666670000001"/>
    <n v="3.6"/>
    <x v="876"/>
    <n v="5.85"/>
    <n v="2.2599999999999998"/>
    <n v="8.11"/>
    <n v="72.13"/>
    <n v="23.63"/>
    <x v="53"/>
    <n v="23.000000004"/>
    <x v="3"/>
    <n v="0.23633374438964244"/>
  </r>
  <r>
    <x v="2"/>
    <x v="19"/>
    <n v="7.4933333329999998"/>
    <n v="5.44"/>
    <x v="877"/>
    <n v="7.44"/>
    <n v="0.55000000000000004"/>
    <n v="7.99"/>
    <n v="93.12"/>
    <n v="93.78"/>
    <x v="53"/>
    <n v="89.919999996000001"/>
    <x v="2"/>
    <n v="0.93783896533166455"/>
  </r>
  <r>
    <x v="2"/>
    <x v="20"/>
    <n v="9.91"/>
    <n v="6.22"/>
    <x v="878"/>
    <n v="6.1"/>
    <n v="3.69"/>
    <n v="9.7899999999999991"/>
    <n v="62.31"/>
    <n v="101.23"/>
    <x v="53"/>
    <n v="118.92"/>
    <x v="5"/>
    <n v="1.0122574055158327"/>
  </r>
  <r>
    <x v="2"/>
    <x v="23"/>
    <n v="0"/>
    <n v="0"/>
    <x v="0"/>
    <n v="1.38"/>
    <n v="8.0399999999999991"/>
    <n v="9.42"/>
    <n v="14.65"/>
    <n v="0"/>
    <x v="53"/>
    <n v="0"/>
    <x v="3"/>
    <n v="0"/>
  </r>
  <r>
    <x v="2"/>
    <x v="25"/>
    <n v="7.46"/>
    <n v="4"/>
    <x v="879"/>
    <n v="6.19"/>
    <n v="3.17"/>
    <n v="9.36"/>
    <n v="66.13"/>
    <n v="79.7"/>
    <x v="53"/>
    <n v="89.52000000000001"/>
    <x v="2"/>
    <n v="0.79700854700854706"/>
  </r>
  <r>
    <x v="2"/>
    <x v="29"/>
    <n v="14.196666670000001"/>
    <n v="8.01"/>
    <x v="880"/>
    <n v="5.86"/>
    <n v="2.1800000000000002"/>
    <n v="8.0399999999999991"/>
    <n v="72.89"/>
    <n v="176.58"/>
    <x v="53"/>
    <n v="170.36000003999999"/>
    <x v="5"/>
    <n v="1.7657545609452738"/>
  </r>
  <r>
    <x v="2"/>
    <x v="30"/>
    <n v="0"/>
    <n v="0"/>
    <x v="0"/>
    <n v="0"/>
    <n v="0"/>
    <n v="0"/>
    <n v="0"/>
    <n v="0"/>
    <x v="53"/>
    <n v="0"/>
    <x v="5"/>
    <n v="0"/>
  </r>
  <r>
    <x v="2"/>
    <x v="32"/>
    <n v="1.35"/>
    <n v="5.26"/>
    <x v="881"/>
    <n v="6.09"/>
    <n v="4.0199999999999996"/>
    <n v="10.11"/>
    <n v="60.24"/>
    <n v="13.35"/>
    <x v="53"/>
    <n v="16.2"/>
    <x v="3"/>
    <n v="0.13353115727002968"/>
  </r>
  <r>
    <x v="2"/>
    <x v="33"/>
    <n v="3.13"/>
    <n v="4.5599999999999996"/>
    <x v="882"/>
    <n v="8.19"/>
    <n v="0.92"/>
    <n v="9.11"/>
    <n v="89.9"/>
    <n v="34.36"/>
    <x v="53"/>
    <n v="37.559999999999995"/>
    <x v="3"/>
    <n v="0.34357848518111966"/>
  </r>
  <r>
    <x v="2"/>
    <x v="34"/>
    <n v="4"/>
    <n v="4.22"/>
    <x v="883"/>
    <n v="6.22"/>
    <n v="1.78"/>
    <n v="8"/>
    <n v="77.75"/>
    <n v="50"/>
    <x v="53"/>
    <n v="48"/>
    <x v="4"/>
    <n v="0.5"/>
  </r>
  <r>
    <x v="2"/>
    <x v="35"/>
    <n v="15.66666667"/>
    <n v="5.53"/>
    <x v="884"/>
    <n v="9.61"/>
    <n v="0.47"/>
    <n v="10.08"/>
    <n v="95.34"/>
    <n v="155.41999999999999"/>
    <x v="53"/>
    <n v="188.00000003999997"/>
    <x v="2"/>
    <n v="1.5542328045634921"/>
  </r>
  <r>
    <x v="2"/>
    <x v="42"/>
    <n v="7.75"/>
    <n v="5.18"/>
    <x v="885"/>
    <n v="6.78"/>
    <n v="1.1399999999999999"/>
    <n v="7.92"/>
    <n v="85.61"/>
    <n v="97.85"/>
    <x v="53"/>
    <n v="93"/>
    <x v="2"/>
    <n v="0.97853535353535359"/>
  </r>
  <r>
    <x v="2"/>
    <x v="43"/>
    <n v="0"/>
    <n v="0"/>
    <x v="0"/>
    <n v="5.75"/>
    <n v="2.35"/>
    <n v="8.1"/>
    <n v="70.989999999999995"/>
    <n v="0"/>
    <x v="53"/>
    <n v="0"/>
    <x v="3"/>
    <n v="0"/>
  </r>
  <r>
    <x v="2"/>
    <x v="44"/>
    <n v="2.75"/>
    <n v="7.19"/>
    <x v="886"/>
    <n v="3.73"/>
    <n v="4.37"/>
    <n v="8.1"/>
    <n v="46.05"/>
    <n v="33.950000000000003"/>
    <x v="53"/>
    <n v="33"/>
    <x v="3"/>
    <n v="0.33950617283950618"/>
  </r>
  <r>
    <x v="2"/>
    <x v="45"/>
    <n v="2"/>
    <n v="4.78"/>
    <x v="887"/>
    <n v="6.62"/>
    <n v="1.58"/>
    <n v="8.1999999999999993"/>
    <n v="80.73"/>
    <n v="24.39"/>
    <x v="53"/>
    <n v="24"/>
    <x v="4"/>
    <n v="0.24390243902439027"/>
  </r>
  <r>
    <x v="2"/>
    <x v="46"/>
    <n v="0.5"/>
    <n v="0.4"/>
    <x v="874"/>
    <n v="7.63"/>
    <n v="0.73"/>
    <n v="8.36"/>
    <n v="91.27"/>
    <n v="5.98"/>
    <x v="53"/>
    <n v="6"/>
    <x v="4"/>
    <n v="5.9808612440191394E-2"/>
  </r>
  <r>
    <x v="2"/>
    <x v="48"/>
    <n v="0"/>
    <n v="0"/>
    <x v="0"/>
    <n v="0"/>
    <n v="0"/>
    <n v="0"/>
    <n v="0"/>
    <n v="0"/>
    <x v="53"/>
    <n v="0"/>
    <x v="6"/>
    <n v="0"/>
  </r>
  <r>
    <x v="2"/>
    <x v="49"/>
    <n v="0"/>
    <n v="0"/>
    <x v="0"/>
    <n v="0"/>
    <n v="0"/>
    <n v="0"/>
    <n v="0"/>
    <n v="0"/>
    <x v="53"/>
    <n v="0"/>
    <x v="3"/>
    <n v="0"/>
  </r>
  <r>
    <x v="2"/>
    <x v="50"/>
    <n v="4.1666666670000003"/>
    <n v="4.16"/>
    <x v="888"/>
    <n v="6.84"/>
    <n v="1.1499999999999999"/>
    <n v="7.99"/>
    <n v="85.61"/>
    <n v="52.15"/>
    <x v="53"/>
    <n v="50.000000004"/>
    <x v="4"/>
    <n v="0.52148518986232795"/>
  </r>
  <r>
    <x v="0"/>
    <x v="0"/>
    <n v="0"/>
    <n v="0"/>
    <x v="0"/>
    <n v="0"/>
    <n v="0"/>
    <n v="0"/>
    <n v="0"/>
    <n v="0"/>
    <x v="54"/>
    <n v="0"/>
    <x v="0"/>
    <n v="0"/>
  </r>
  <r>
    <x v="0"/>
    <x v="1"/>
    <n v="0"/>
    <n v="0"/>
    <x v="0"/>
    <n v="0"/>
    <n v="0"/>
    <n v="0"/>
    <n v="0"/>
    <n v="0"/>
    <x v="54"/>
    <n v="0"/>
    <x v="0"/>
    <n v="0"/>
  </r>
  <r>
    <x v="0"/>
    <x v="2"/>
    <n v="0"/>
    <n v="0"/>
    <x v="0"/>
    <n v="0"/>
    <n v="0"/>
    <n v="0"/>
    <n v="0"/>
    <n v="0"/>
    <x v="54"/>
    <n v="0"/>
    <x v="0"/>
    <n v="0"/>
  </r>
  <r>
    <x v="0"/>
    <x v="3"/>
    <n v="0"/>
    <n v="0"/>
    <x v="0"/>
    <n v="0"/>
    <n v="0"/>
    <n v="0"/>
    <n v="0"/>
    <n v="0"/>
    <x v="54"/>
    <n v="0"/>
    <x v="0"/>
    <n v="0"/>
  </r>
  <r>
    <x v="0"/>
    <x v="4"/>
    <n v="0"/>
    <n v="0"/>
    <x v="0"/>
    <n v="7.53"/>
    <n v="0.45"/>
    <n v="7.98"/>
    <n v="94.36"/>
    <n v="0"/>
    <x v="54"/>
    <n v="0"/>
    <x v="0"/>
    <n v="0"/>
  </r>
  <r>
    <x v="0"/>
    <x v="5"/>
    <n v="0"/>
    <n v="0"/>
    <x v="0"/>
    <n v="7.55"/>
    <n v="0.43"/>
    <n v="7.98"/>
    <n v="94.61"/>
    <n v="0"/>
    <x v="54"/>
    <n v="0"/>
    <x v="0"/>
    <n v="0"/>
  </r>
  <r>
    <x v="0"/>
    <x v="6"/>
    <n v="0"/>
    <n v="0"/>
    <x v="0"/>
    <n v="7.56"/>
    <n v="0.44"/>
    <n v="8"/>
    <n v="94.5"/>
    <n v="0"/>
    <x v="54"/>
    <n v="0"/>
    <x v="0"/>
    <n v="0"/>
  </r>
  <r>
    <x v="0"/>
    <x v="7"/>
    <n v="0"/>
    <n v="0"/>
    <x v="0"/>
    <n v="0"/>
    <n v="0"/>
    <n v="0"/>
    <n v="0"/>
    <n v="0"/>
    <x v="54"/>
    <n v="0"/>
    <x v="0"/>
    <n v="0"/>
  </r>
  <r>
    <x v="0"/>
    <x v="8"/>
    <n v="0"/>
    <n v="0"/>
    <x v="0"/>
    <n v="0"/>
    <n v="0"/>
    <n v="0"/>
    <n v="0"/>
    <n v="0"/>
    <x v="54"/>
    <n v="0"/>
    <x v="0"/>
    <n v="0"/>
  </r>
  <r>
    <x v="1"/>
    <x v="9"/>
    <n v="0"/>
    <n v="0"/>
    <x v="0"/>
    <n v="3.57"/>
    <n v="4.37"/>
    <n v="7.94"/>
    <n v="44.96"/>
    <n v="0"/>
    <x v="54"/>
    <n v="0"/>
    <x v="1"/>
    <n v="0"/>
  </r>
  <r>
    <x v="1"/>
    <x v="10"/>
    <n v="0"/>
    <n v="0"/>
    <x v="0"/>
    <n v="0"/>
    <n v="0"/>
    <n v="0"/>
    <n v="0"/>
    <n v="0"/>
    <x v="54"/>
    <n v="0"/>
    <x v="1"/>
    <n v="0"/>
  </r>
  <r>
    <x v="1"/>
    <x v="11"/>
    <n v="0"/>
    <n v="0"/>
    <x v="0"/>
    <n v="0"/>
    <n v="0"/>
    <n v="0"/>
    <n v="0"/>
    <n v="0"/>
    <x v="54"/>
    <n v="0"/>
    <x v="1"/>
    <n v="0"/>
  </r>
  <r>
    <x v="1"/>
    <x v="12"/>
    <n v="0"/>
    <n v="0"/>
    <x v="0"/>
    <n v="0"/>
    <n v="0"/>
    <n v="0"/>
    <n v="0"/>
    <n v="0"/>
    <x v="54"/>
    <n v="0"/>
    <x v="1"/>
    <n v="0"/>
  </r>
  <r>
    <x v="1"/>
    <x v="13"/>
    <n v="0"/>
    <n v="0"/>
    <x v="0"/>
    <n v="0"/>
    <n v="0"/>
    <n v="0"/>
    <n v="0"/>
    <n v="0"/>
    <x v="54"/>
    <n v="0"/>
    <x v="1"/>
    <n v="0"/>
  </r>
  <r>
    <x v="2"/>
    <x v="14"/>
    <n v="4.75"/>
    <n v="2.76"/>
    <x v="889"/>
    <n v="4.5199999999999996"/>
    <n v="1.35"/>
    <n v="5.87"/>
    <n v="77"/>
    <n v="80.92"/>
    <x v="54"/>
    <n v="57"/>
    <x v="2"/>
    <n v="0.80919931856899485"/>
  </r>
  <r>
    <x v="2"/>
    <x v="17"/>
    <n v="1.34"/>
    <n v="1.65"/>
    <x v="890"/>
    <n v="1.65"/>
    <n v="2.31"/>
    <n v="3.96"/>
    <n v="41.67"/>
    <n v="33.840000000000003"/>
    <x v="54"/>
    <n v="16.080000000000002"/>
    <x v="3"/>
    <n v="0.3383838383838384"/>
  </r>
  <r>
    <x v="2"/>
    <x v="19"/>
    <n v="0"/>
    <n v="0"/>
    <x v="0"/>
    <n v="0"/>
    <n v="0"/>
    <n v="0"/>
    <n v="0"/>
    <n v="0"/>
    <x v="54"/>
    <n v="0"/>
    <x v="2"/>
    <n v="0"/>
  </r>
  <r>
    <x v="2"/>
    <x v="20"/>
    <n v="5.27"/>
    <n v="5.98"/>
    <x v="891"/>
    <n v="5.45"/>
    <n v="2.4900000000000002"/>
    <n v="7.94"/>
    <n v="68.64"/>
    <n v="66.37"/>
    <x v="54"/>
    <n v="63.239999999999995"/>
    <x v="5"/>
    <n v="0.66372795969773291"/>
  </r>
  <r>
    <x v="2"/>
    <x v="21"/>
    <n v="0"/>
    <n v="0"/>
    <x v="0"/>
    <n v="0"/>
    <n v="0"/>
    <n v="0"/>
    <n v="0"/>
    <n v="0"/>
    <x v="54"/>
    <n v="0"/>
    <x v="2"/>
    <n v="0"/>
  </r>
  <r>
    <x v="2"/>
    <x v="22"/>
    <n v="6.0366666670000004"/>
    <n v="5"/>
    <x v="892"/>
    <n v="5.27"/>
    <n v="2.56"/>
    <n v="7.83"/>
    <n v="67.31"/>
    <n v="77.099999999999994"/>
    <x v="54"/>
    <n v="72.440000003999998"/>
    <x v="4"/>
    <n v="0.7709663687100895"/>
  </r>
  <r>
    <x v="2"/>
    <x v="24"/>
    <n v="0"/>
    <n v="0"/>
    <x v="0"/>
    <n v="0"/>
    <n v="0"/>
    <n v="0"/>
    <n v="0"/>
    <n v="0"/>
    <x v="54"/>
    <n v="0"/>
    <x v="5"/>
    <n v="0"/>
  </r>
  <r>
    <x v="2"/>
    <x v="27"/>
    <n v="0"/>
    <n v="0"/>
    <x v="0"/>
    <n v="0"/>
    <n v="0"/>
    <n v="0"/>
    <n v="0"/>
    <n v="0"/>
    <x v="54"/>
    <n v="0"/>
    <x v="5"/>
    <n v="0"/>
  </r>
  <r>
    <x v="2"/>
    <x v="30"/>
    <n v="0"/>
    <n v="0"/>
    <x v="0"/>
    <n v="0"/>
    <n v="0"/>
    <n v="0"/>
    <n v="0"/>
    <n v="0"/>
    <x v="54"/>
    <n v="0"/>
    <x v="5"/>
    <n v="0"/>
  </r>
  <r>
    <x v="2"/>
    <x v="31"/>
    <n v="0"/>
    <n v="0"/>
    <x v="0"/>
    <n v="0"/>
    <n v="0"/>
    <n v="0"/>
    <n v="0"/>
    <n v="0"/>
    <x v="54"/>
    <n v="0"/>
    <x v="2"/>
    <n v="0"/>
  </r>
  <r>
    <x v="2"/>
    <x v="32"/>
    <n v="7.2633333330000003"/>
    <n v="6.04"/>
    <x v="893"/>
    <n v="5.26"/>
    <n v="2.62"/>
    <n v="7.88"/>
    <n v="66.75"/>
    <n v="92.17"/>
    <x v="54"/>
    <n v="87.159999995999996"/>
    <x v="3"/>
    <n v="0.92174280875634518"/>
  </r>
  <r>
    <x v="2"/>
    <x v="33"/>
    <n v="2.4700000000000002"/>
    <n v="3.33"/>
    <x v="894"/>
    <n v="4.38"/>
    <n v="3.48"/>
    <n v="7.86"/>
    <n v="55.73"/>
    <n v="31.42"/>
    <x v="54"/>
    <n v="29.640000000000004"/>
    <x v="3"/>
    <n v="0.31424936386768448"/>
  </r>
  <r>
    <x v="2"/>
    <x v="34"/>
    <n v="7.65"/>
    <n v="6.83"/>
    <x v="895"/>
    <n v="5.95"/>
    <n v="1.92"/>
    <n v="7.87"/>
    <n v="75.599999999999994"/>
    <n v="97.2"/>
    <x v="54"/>
    <n v="91.8"/>
    <x v="4"/>
    <n v="0.97204574332909788"/>
  </r>
  <r>
    <x v="2"/>
    <x v="35"/>
    <n v="11.91666667"/>
    <n v="5.91"/>
    <x v="896"/>
    <n v="5.83"/>
    <n v="2.0299999999999998"/>
    <n v="7.86"/>
    <n v="74.17"/>
    <n v="151.61000000000001"/>
    <x v="54"/>
    <n v="143.00000003999997"/>
    <x v="2"/>
    <n v="1.5161153524173028"/>
  </r>
  <r>
    <x v="2"/>
    <x v="36"/>
    <n v="2.82"/>
    <n v="2.79"/>
    <x v="897"/>
    <n v="4.0599999999999996"/>
    <n v="3.8"/>
    <n v="7.86"/>
    <n v="51.65"/>
    <n v="35.880000000000003"/>
    <x v="54"/>
    <n v="33.839999999999996"/>
    <x v="4"/>
    <n v="0.35877862595419846"/>
  </r>
  <r>
    <x v="2"/>
    <x v="37"/>
    <n v="2.3333333330000001"/>
    <n v="1.99"/>
    <x v="898"/>
    <n v="5.95"/>
    <n v="1.91"/>
    <n v="7.86"/>
    <n v="75.7"/>
    <n v="29.69"/>
    <x v="54"/>
    <n v="27.999999996000003"/>
    <x v="4"/>
    <n v="0.29686174720101782"/>
  </r>
  <r>
    <x v="2"/>
    <x v="38"/>
    <n v="7.9533333329999998"/>
    <n v="6.24"/>
    <x v="899"/>
    <n v="6.24"/>
    <n v="1.62"/>
    <n v="7.86"/>
    <n v="79.39"/>
    <n v="101.19"/>
    <x v="54"/>
    <n v="95.439999995999997"/>
    <x v="2"/>
    <n v="1.0118744698473281"/>
  </r>
  <r>
    <x v="2"/>
    <x v="39"/>
    <n v="0"/>
    <n v="0"/>
    <x v="0"/>
    <n v="0"/>
    <n v="0"/>
    <n v="0"/>
    <n v="0"/>
    <n v="0"/>
    <x v="54"/>
    <n v="0"/>
    <x v="2"/>
    <n v="0"/>
  </r>
  <r>
    <x v="2"/>
    <x v="40"/>
    <n v="2.4900000000000002"/>
    <n v="3.35"/>
    <x v="900"/>
    <n v="4.38"/>
    <n v="3.48"/>
    <n v="7.86"/>
    <n v="55.73"/>
    <n v="31.68"/>
    <x v="54"/>
    <n v="29.880000000000003"/>
    <x v="3"/>
    <n v="0.31679389312977102"/>
  </r>
  <r>
    <x v="2"/>
    <x v="41"/>
    <n v="2.88"/>
    <n v="3.08"/>
    <x v="901"/>
    <n v="5.07"/>
    <n v="2.79"/>
    <n v="7.86"/>
    <n v="64.5"/>
    <n v="36.64"/>
    <x v="54"/>
    <n v="34.559999999999995"/>
    <x v="5"/>
    <n v="0.36641221374045796"/>
  </r>
  <r>
    <x v="2"/>
    <x v="42"/>
    <n v="7.8333333329999997"/>
    <n v="6.42"/>
    <x v="902"/>
    <n v="4.82"/>
    <n v="3.08"/>
    <n v="7.9"/>
    <n v="61.01"/>
    <n v="99.16"/>
    <x v="54"/>
    <n v="93.999999996"/>
    <x v="2"/>
    <n v="0.99156118139240501"/>
  </r>
  <r>
    <x v="2"/>
    <x v="43"/>
    <n v="0"/>
    <n v="0"/>
    <x v="0"/>
    <n v="0"/>
    <n v="0"/>
    <n v="0"/>
    <n v="0"/>
    <n v="0"/>
    <x v="54"/>
    <n v="0"/>
    <x v="3"/>
    <n v="0"/>
  </r>
  <r>
    <x v="2"/>
    <x v="44"/>
    <n v="2.9366666669999999"/>
    <n v="3.07"/>
    <x v="903"/>
    <n v="5.05"/>
    <n v="2.82"/>
    <n v="7.87"/>
    <n v="64.17"/>
    <n v="37.31"/>
    <x v="54"/>
    <n v="35.240000004000002"/>
    <x v="3"/>
    <n v="0.37314697166454891"/>
  </r>
  <r>
    <x v="2"/>
    <x v="47"/>
    <n v="0"/>
    <n v="0"/>
    <x v="0"/>
    <n v="0"/>
    <n v="0"/>
    <n v="0"/>
    <n v="0"/>
    <n v="0"/>
    <x v="54"/>
    <n v="0"/>
    <x v="5"/>
    <n v="0"/>
  </r>
  <r>
    <x v="2"/>
    <x v="48"/>
    <n v="0"/>
    <n v="0"/>
    <x v="0"/>
    <n v="0"/>
    <n v="0"/>
    <n v="0"/>
    <n v="0"/>
    <n v="0"/>
    <x v="54"/>
    <n v="0"/>
    <x v="6"/>
    <n v="0"/>
  </r>
  <r>
    <x v="2"/>
    <x v="49"/>
    <n v="0"/>
    <n v="0"/>
    <x v="0"/>
    <n v="0"/>
    <n v="0"/>
    <n v="0"/>
    <n v="0"/>
    <n v="0"/>
    <x v="54"/>
    <n v="0"/>
    <x v="3"/>
    <n v="0"/>
  </r>
  <r>
    <x v="0"/>
    <x v="0"/>
    <n v="0"/>
    <n v="0"/>
    <x v="0"/>
    <n v="0"/>
    <n v="0"/>
    <n v="0"/>
    <n v="0"/>
    <n v="0"/>
    <x v="55"/>
    <n v="0"/>
    <x v="0"/>
    <n v="0"/>
  </r>
  <r>
    <x v="0"/>
    <x v="1"/>
    <n v="0"/>
    <n v="0"/>
    <x v="0"/>
    <n v="0"/>
    <n v="0"/>
    <n v="0"/>
    <n v="0"/>
    <n v="0"/>
    <x v="55"/>
    <n v="0"/>
    <x v="0"/>
    <n v="0"/>
  </r>
  <r>
    <x v="0"/>
    <x v="2"/>
    <n v="0"/>
    <n v="0"/>
    <x v="0"/>
    <n v="0"/>
    <n v="0"/>
    <n v="0"/>
    <n v="0"/>
    <n v="0"/>
    <x v="55"/>
    <n v="0"/>
    <x v="0"/>
    <n v="0"/>
  </r>
  <r>
    <x v="0"/>
    <x v="3"/>
    <n v="0"/>
    <n v="0"/>
    <x v="0"/>
    <n v="0"/>
    <n v="0"/>
    <n v="0"/>
    <n v="0"/>
    <n v="0"/>
    <x v="55"/>
    <n v="0"/>
    <x v="0"/>
    <n v="0"/>
  </r>
  <r>
    <x v="0"/>
    <x v="4"/>
    <n v="0"/>
    <n v="0"/>
    <x v="0"/>
    <n v="0"/>
    <n v="0"/>
    <n v="0"/>
    <n v="0"/>
    <n v="0"/>
    <x v="55"/>
    <n v="0"/>
    <x v="0"/>
    <n v="0"/>
  </r>
  <r>
    <x v="0"/>
    <x v="5"/>
    <n v="0"/>
    <n v="0"/>
    <x v="0"/>
    <n v="0"/>
    <n v="0"/>
    <n v="0"/>
    <n v="0"/>
    <n v="0"/>
    <x v="55"/>
    <n v="0"/>
    <x v="0"/>
    <n v="0"/>
  </r>
  <r>
    <x v="0"/>
    <x v="6"/>
    <n v="0"/>
    <n v="0"/>
    <x v="0"/>
    <n v="0"/>
    <n v="0"/>
    <n v="0"/>
    <n v="0"/>
    <n v="0"/>
    <x v="55"/>
    <n v="0"/>
    <x v="0"/>
    <n v="0"/>
  </r>
  <r>
    <x v="0"/>
    <x v="7"/>
    <n v="0"/>
    <n v="0"/>
    <x v="0"/>
    <n v="0"/>
    <n v="0"/>
    <n v="0"/>
    <n v="0"/>
    <n v="0"/>
    <x v="55"/>
    <n v="0"/>
    <x v="0"/>
    <n v="0"/>
  </r>
  <r>
    <x v="0"/>
    <x v="8"/>
    <n v="0"/>
    <n v="0"/>
    <x v="0"/>
    <n v="0"/>
    <n v="0"/>
    <n v="0"/>
    <n v="0"/>
    <n v="0"/>
    <x v="55"/>
    <n v="0"/>
    <x v="0"/>
    <n v="0"/>
  </r>
  <r>
    <x v="1"/>
    <x v="9"/>
    <n v="0"/>
    <n v="0"/>
    <x v="0"/>
    <n v="0"/>
    <n v="0"/>
    <n v="0"/>
    <n v="0"/>
    <n v="0"/>
    <x v="55"/>
    <n v="0"/>
    <x v="1"/>
    <n v="0"/>
  </r>
  <r>
    <x v="1"/>
    <x v="10"/>
    <n v="0"/>
    <n v="0"/>
    <x v="0"/>
    <n v="0"/>
    <n v="0"/>
    <n v="0"/>
    <n v="0"/>
    <n v="0"/>
    <x v="55"/>
    <n v="0"/>
    <x v="1"/>
    <n v="0"/>
  </r>
  <r>
    <x v="1"/>
    <x v="11"/>
    <n v="0"/>
    <n v="0"/>
    <x v="0"/>
    <n v="0"/>
    <n v="0"/>
    <n v="0"/>
    <n v="0"/>
    <n v="0"/>
    <x v="55"/>
    <n v="0"/>
    <x v="1"/>
    <n v="0"/>
  </r>
  <r>
    <x v="1"/>
    <x v="12"/>
    <n v="0"/>
    <n v="0"/>
    <x v="0"/>
    <n v="0"/>
    <n v="0"/>
    <n v="0"/>
    <n v="0"/>
    <n v="0"/>
    <x v="55"/>
    <n v="0"/>
    <x v="1"/>
    <n v="0"/>
  </r>
  <r>
    <x v="1"/>
    <x v="13"/>
    <n v="0"/>
    <n v="0"/>
    <x v="0"/>
    <n v="0"/>
    <n v="0"/>
    <n v="0"/>
    <n v="0"/>
    <n v="0"/>
    <x v="55"/>
    <n v="0"/>
    <x v="1"/>
    <n v="0"/>
  </r>
  <r>
    <x v="2"/>
    <x v="14"/>
    <n v="0"/>
    <n v="0"/>
    <x v="0"/>
    <n v="0"/>
    <n v="0"/>
    <n v="0"/>
    <n v="0"/>
    <n v="0"/>
    <x v="55"/>
    <n v="0"/>
    <x v="2"/>
    <n v="0"/>
  </r>
  <r>
    <x v="2"/>
    <x v="15"/>
    <n v="0"/>
    <n v="0"/>
    <x v="0"/>
    <n v="0"/>
    <n v="0"/>
    <n v="0"/>
    <n v="0"/>
    <n v="0"/>
    <x v="55"/>
    <n v="0"/>
    <x v="3"/>
    <n v="0"/>
  </r>
  <r>
    <x v="2"/>
    <x v="16"/>
    <n v="0"/>
    <n v="0"/>
    <x v="0"/>
    <n v="0"/>
    <n v="0"/>
    <n v="0"/>
    <n v="0"/>
    <n v="0"/>
    <x v="55"/>
    <n v="0"/>
    <x v="4"/>
    <n v="0"/>
  </r>
  <r>
    <x v="2"/>
    <x v="17"/>
    <n v="0"/>
    <n v="0"/>
    <x v="0"/>
    <n v="0"/>
    <n v="0"/>
    <n v="0"/>
    <n v="0"/>
    <n v="0"/>
    <x v="55"/>
    <n v="0"/>
    <x v="3"/>
    <n v="0"/>
  </r>
  <r>
    <x v="2"/>
    <x v="18"/>
    <n v="0"/>
    <n v="0"/>
    <x v="0"/>
    <n v="0"/>
    <n v="0"/>
    <n v="0"/>
    <n v="0"/>
    <n v="0"/>
    <x v="55"/>
    <n v="0"/>
    <x v="3"/>
    <n v="0"/>
  </r>
  <r>
    <x v="2"/>
    <x v="19"/>
    <n v="0"/>
    <n v="0"/>
    <x v="0"/>
    <n v="0"/>
    <n v="0"/>
    <n v="0"/>
    <n v="0"/>
    <n v="0"/>
    <x v="55"/>
    <n v="0"/>
    <x v="2"/>
    <n v="0"/>
  </r>
  <r>
    <x v="2"/>
    <x v="20"/>
    <n v="0"/>
    <n v="0"/>
    <x v="0"/>
    <n v="0"/>
    <n v="0"/>
    <n v="0"/>
    <n v="0"/>
    <n v="0"/>
    <x v="55"/>
    <n v="0"/>
    <x v="5"/>
    <n v="0"/>
  </r>
  <r>
    <x v="2"/>
    <x v="21"/>
    <n v="0"/>
    <n v="0"/>
    <x v="0"/>
    <n v="0"/>
    <n v="0"/>
    <n v="0"/>
    <n v="0"/>
    <n v="0"/>
    <x v="55"/>
    <n v="0"/>
    <x v="2"/>
    <n v="0"/>
  </r>
  <r>
    <x v="2"/>
    <x v="22"/>
    <n v="0"/>
    <n v="0"/>
    <x v="0"/>
    <n v="0"/>
    <n v="0"/>
    <n v="0"/>
    <n v="0"/>
    <n v="0"/>
    <x v="55"/>
    <n v="0"/>
    <x v="4"/>
    <n v="0"/>
  </r>
  <r>
    <x v="2"/>
    <x v="23"/>
    <n v="0"/>
    <n v="0"/>
    <x v="0"/>
    <n v="0"/>
    <n v="0"/>
    <n v="0"/>
    <n v="0"/>
    <n v="0"/>
    <x v="55"/>
    <n v="0"/>
    <x v="3"/>
    <n v="0"/>
  </r>
  <r>
    <x v="2"/>
    <x v="24"/>
    <n v="0"/>
    <n v="0"/>
    <x v="0"/>
    <n v="0"/>
    <n v="0"/>
    <n v="0"/>
    <n v="0"/>
    <n v="0"/>
    <x v="55"/>
    <n v="0"/>
    <x v="5"/>
    <n v="0"/>
  </r>
  <r>
    <x v="2"/>
    <x v="25"/>
    <n v="0"/>
    <n v="0"/>
    <x v="0"/>
    <n v="0"/>
    <n v="0"/>
    <n v="0"/>
    <n v="0"/>
    <n v="0"/>
    <x v="55"/>
    <n v="0"/>
    <x v="2"/>
    <n v="0"/>
  </r>
  <r>
    <x v="2"/>
    <x v="26"/>
    <n v="0"/>
    <n v="0"/>
    <x v="0"/>
    <n v="0"/>
    <n v="0"/>
    <n v="0"/>
    <n v="0"/>
    <n v="0"/>
    <x v="55"/>
    <n v="0"/>
    <x v="3"/>
    <n v="0"/>
  </r>
  <r>
    <x v="2"/>
    <x v="27"/>
    <n v="0"/>
    <n v="0"/>
    <x v="0"/>
    <n v="0"/>
    <n v="0"/>
    <n v="0"/>
    <n v="0"/>
    <n v="0"/>
    <x v="55"/>
    <n v="0"/>
    <x v="5"/>
    <n v="0"/>
  </r>
  <r>
    <x v="2"/>
    <x v="29"/>
    <n v="0"/>
    <n v="0"/>
    <x v="0"/>
    <n v="0"/>
    <n v="0"/>
    <n v="0"/>
    <n v="0"/>
    <n v="0"/>
    <x v="55"/>
    <n v="0"/>
    <x v="5"/>
    <n v="0"/>
  </r>
  <r>
    <x v="2"/>
    <x v="30"/>
    <n v="0"/>
    <n v="0"/>
    <x v="0"/>
    <n v="0"/>
    <n v="0"/>
    <n v="0"/>
    <n v="0"/>
    <n v="0"/>
    <x v="55"/>
    <n v="0"/>
    <x v="5"/>
    <n v="0"/>
  </r>
  <r>
    <x v="2"/>
    <x v="31"/>
    <n v="0"/>
    <n v="0"/>
    <x v="0"/>
    <n v="0"/>
    <n v="0"/>
    <n v="0"/>
    <n v="0"/>
    <n v="0"/>
    <x v="55"/>
    <n v="0"/>
    <x v="2"/>
    <n v="0"/>
  </r>
  <r>
    <x v="2"/>
    <x v="32"/>
    <n v="0"/>
    <n v="0"/>
    <x v="0"/>
    <n v="0"/>
    <n v="0"/>
    <n v="0"/>
    <n v="0"/>
    <n v="0"/>
    <x v="55"/>
    <n v="0"/>
    <x v="3"/>
    <n v="0"/>
  </r>
  <r>
    <x v="2"/>
    <x v="33"/>
    <n v="0"/>
    <n v="0"/>
    <x v="0"/>
    <n v="0"/>
    <n v="0"/>
    <n v="0"/>
    <n v="0"/>
    <n v="0"/>
    <x v="55"/>
    <n v="0"/>
    <x v="3"/>
    <n v="0"/>
  </r>
  <r>
    <x v="2"/>
    <x v="34"/>
    <n v="0"/>
    <n v="0"/>
    <x v="0"/>
    <n v="0"/>
    <n v="0"/>
    <n v="0"/>
    <n v="0"/>
    <n v="0"/>
    <x v="55"/>
    <n v="0"/>
    <x v="4"/>
    <n v="0"/>
  </r>
  <r>
    <x v="2"/>
    <x v="35"/>
    <n v="0"/>
    <n v="0"/>
    <x v="0"/>
    <n v="0"/>
    <n v="0"/>
    <n v="0"/>
    <n v="0"/>
    <n v="0"/>
    <x v="55"/>
    <n v="0"/>
    <x v="2"/>
    <n v="0"/>
  </r>
  <r>
    <x v="2"/>
    <x v="36"/>
    <n v="0"/>
    <n v="0"/>
    <x v="0"/>
    <n v="0"/>
    <n v="0"/>
    <n v="0"/>
    <n v="0"/>
    <n v="0"/>
    <x v="55"/>
    <n v="0"/>
    <x v="4"/>
    <n v="0"/>
  </r>
  <r>
    <x v="2"/>
    <x v="37"/>
    <n v="0"/>
    <n v="0"/>
    <x v="0"/>
    <n v="0"/>
    <n v="0"/>
    <n v="0"/>
    <n v="0"/>
    <n v="0"/>
    <x v="55"/>
    <n v="0"/>
    <x v="4"/>
    <n v="0"/>
  </r>
  <r>
    <x v="2"/>
    <x v="38"/>
    <n v="0"/>
    <n v="0"/>
    <x v="0"/>
    <n v="0"/>
    <n v="0"/>
    <n v="0"/>
    <n v="0"/>
    <n v="0"/>
    <x v="55"/>
    <n v="0"/>
    <x v="2"/>
    <n v="0"/>
  </r>
  <r>
    <x v="2"/>
    <x v="39"/>
    <n v="0"/>
    <n v="0"/>
    <x v="0"/>
    <n v="0"/>
    <n v="0"/>
    <n v="0"/>
    <n v="0"/>
    <n v="0"/>
    <x v="55"/>
    <n v="0"/>
    <x v="2"/>
    <n v="0"/>
  </r>
  <r>
    <x v="2"/>
    <x v="40"/>
    <n v="0"/>
    <n v="0"/>
    <x v="0"/>
    <n v="0"/>
    <n v="0"/>
    <n v="0"/>
    <n v="0"/>
    <n v="0"/>
    <x v="55"/>
    <n v="0"/>
    <x v="3"/>
    <n v="0"/>
  </r>
  <r>
    <x v="2"/>
    <x v="41"/>
    <n v="0"/>
    <n v="0"/>
    <x v="0"/>
    <n v="0"/>
    <n v="0"/>
    <n v="0"/>
    <n v="0"/>
    <n v="0"/>
    <x v="55"/>
    <n v="0"/>
    <x v="5"/>
    <n v="0"/>
  </r>
  <r>
    <x v="2"/>
    <x v="42"/>
    <n v="0"/>
    <n v="0"/>
    <x v="0"/>
    <n v="0"/>
    <n v="0"/>
    <n v="0"/>
    <n v="0"/>
    <n v="0"/>
    <x v="55"/>
    <n v="0"/>
    <x v="2"/>
    <n v="0"/>
  </r>
  <r>
    <x v="2"/>
    <x v="43"/>
    <n v="0"/>
    <n v="0"/>
    <x v="0"/>
    <n v="0"/>
    <n v="0"/>
    <n v="0"/>
    <n v="0"/>
    <n v="0"/>
    <x v="55"/>
    <n v="0"/>
    <x v="3"/>
    <n v="0"/>
  </r>
  <r>
    <x v="2"/>
    <x v="44"/>
    <n v="0"/>
    <n v="0"/>
    <x v="0"/>
    <n v="0"/>
    <n v="0"/>
    <n v="0"/>
    <n v="0"/>
    <n v="0"/>
    <x v="55"/>
    <n v="0"/>
    <x v="3"/>
    <n v="0"/>
  </r>
  <r>
    <x v="2"/>
    <x v="45"/>
    <n v="0"/>
    <n v="0"/>
    <x v="0"/>
    <n v="0"/>
    <n v="0"/>
    <n v="0"/>
    <n v="0"/>
    <n v="0"/>
    <x v="55"/>
    <n v="0"/>
    <x v="4"/>
    <n v="0"/>
  </r>
  <r>
    <x v="2"/>
    <x v="46"/>
    <n v="0"/>
    <n v="0"/>
    <x v="0"/>
    <n v="0"/>
    <n v="0"/>
    <n v="0"/>
    <n v="0"/>
    <n v="0"/>
    <x v="55"/>
    <n v="0"/>
    <x v="4"/>
    <n v="0"/>
  </r>
  <r>
    <x v="2"/>
    <x v="47"/>
    <n v="0"/>
    <n v="0"/>
    <x v="0"/>
    <n v="0"/>
    <n v="0"/>
    <n v="0"/>
    <n v="0"/>
    <n v="0"/>
    <x v="55"/>
    <n v="0"/>
    <x v="5"/>
    <n v="0"/>
  </r>
  <r>
    <x v="2"/>
    <x v="48"/>
    <n v="0"/>
    <n v="0"/>
    <x v="0"/>
    <n v="0"/>
    <n v="0"/>
    <n v="0"/>
    <n v="0"/>
    <n v="0"/>
    <x v="55"/>
    <n v="0"/>
    <x v="6"/>
    <n v="0"/>
  </r>
  <r>
    <x v="2"/>
    <x v="49"/>
    <n v="0"/>
    <n v="0"/>
    <x v="0"/>
    <n v="0"/>
    <n v="0"/>
    <n v="0"/>
    <n v="0"/>
    <n v="0"/>
    <x v="55"/>
    <n v="0"/>
    <x v="3"/>
    <n v="0"/>
  </r>
  <r>
    <x v="2"/>
    <x v="50"/>
    <n v="0"/>
    <n v="0"/>
    <x v="0"/>
    <n v="0"/>
    <n v="0"/>
    <n v="0"/>
    <n v="0"/>
    <n v="0"/>
    <x v="55"/>
    <n v="0"/>
    <x v="4"/>
    <n v="0"/>
  </r>
  <r>
    <x v="0"/>
    <x v="4"/>
    <n v="4.17"/>
    <n v="7.42"/>
    <x v="904"/>
    <n v="10.48"/>
    <n v="0.31"/>
    <n v="10.79"/>
    <n v="97.13"/>
    <n v="38.65"/>
    <x v="56"/>
    <n v="50.04"/>
    <x v="0"/>
    <n v="0.38646895273401299"/>
  </r>
  <r>
    <x v="0"/>
    <x v="6"/>
    <n v="3.25"/>
    <n v="6.17"/>
    <x v="905"/>
    <n v="10.48"/>
    <n v="0.31"/>
    <n v="10.79"/>
    <n v="97.13"/>
    <n v="30.12"/>
    <x v="56"/>
    <n v="39"/>
    <x v="0"/>
    <n v="0.30120481927710846"/>
  </r>
  <r>
    <x v="1"/>
    <x v="11"/>
    <n v="5.25"/>
    <n v="2.14"/>
    <x v="906"/>
    <n v="4.66"/>
    <n v="3.61"/>
    <n v="8.27"/>
    <n v="56.35"/>
    <n v="63.48"/>
    <x v="56"/>
    <n v="63"/>
    <x v="1"/>
    <n v="0.63482466747279331"/>
  </r>
  <r>
    <x v="1"/>
    <x v="12"/>
    <n v="5.69"/>
    <n v="6.23"/>
    <x v="907"/>
    <n v="4"/>
    <n v="4.29"/>
    <n v="8.2899999999999991"/>
    <n v="48.25"/>
    <n v="68.64"/>
    <x v="56"/>
    <n v="68.28"/>
    <x v="1"/>
    <n v="0.68636911942098922"/>
  </r>
  <r>
    <x v="1"/>
    <x v="13"/>
    <n v="0.56000000000000005"/>
    <n v="1.05"/>
    <x v="908"/>
    <n v="4"/>
    <n v="4.29"/>
    <n v="8.2899999999999991"/>
    <n v="48.25"/>
    <n v="6.76"/>
    <x v="56"/>
    <n v="6.7200000000000006"/>
    <x v="1"/>
    <n v="6.7551266586248507E-2"/>
  </r>
  <r>
    <x v="2"/>
    <x v="15"/>
    <n v="0"/>
    <n v="0"/>
    <x v="0"/>
    <n v="8.19"/>
    <n v="1.55"/>
    <n v="9.74"/>
    <n v="84.09"/>
    <n v="0"/>
    <x v="56"/>
    <n v="0"/>
    <x v="3"/>
    <n v="0"/>
  </r>
  <r>
    <x v="2"/>
    <x v="17"/>
    <n v="0"/>
    <n v="0"/>
    <x v="0"/>
    <n v="1.2"/>
    <n v="8.9499999999999993"/>
    <n v="10.15"/>
    <n v="11.82"/>
    <n v="0"/>
    <x v="56"/>
    <n v="0"/>
    <x v="3"/>
    <n v="0"/>
  </r>
  <r>
    <x v="2"/>
    <x v="18"/>
    <n v="0"/>
    <n v="0"/>
    <x v="0"/>
    <n v="8.48"/>
    <n v="1.71"/>
    <n v="10.19"/>
    <n v="83.22"/>
    <n v="0"/>
    <x v="56"/>
    <n v="0"/>
    <x v="3"/>
    <n v="0"/>
  </r>
  <r>
    <x v="2"/>
    <x v="19"/>
    <n v="6.5833333329999997"/>
    <n v="7.45"/>
    <x v="909"/>
    <n v="6.03"/>
    <n v="1.96"/>
    <n v="7.99"/>
    <n v="75.47"/>
    <n v="82.39"/>
    <x v="56"/>
    <n v="78.999999996"/>
    <x v="2"/>
    <n v="0.82394659987484353"/>
  </r>
  <r>
    <x v="2"/>
    <x v="21"/>
    <n v="2.9333333330000002"/>
    <n v="4.38"/>
    <x v="910"/>
    <n v="7.15"/>
    <n v="0.61"/>
    <n v="7.76"/>
    <n v="92.14"/>
    <n v="37.799999999999997"/>
    <x v="56"/>
    <n v="35.199999996000003"/>
    <x v="2"/>
    <n v="0.37800687280927836"/>
  </r>
  <r>
    <x v="2"/>
    <x v="22"/>
    <n v="4.4966666670000004"/>
    <n v="5.85"/>
    <x v="911"/>
    <n v="8.4499999999999993"/>
    <n v="2.0299999999999998"/>
    <n v="10.48"/>
    <n v="80.63"/>
    <n v="42.91"/>
    <x v="56"/>
    <n v="53.960000004000008"/>
    <x v="4"/>
    <n v="0.42907124685114506"/>
  </r>
  <r>
    <x v="2"/>
    <x v="23"/>
    <n v="0.75"/>
    <n v="2.6"/>
    <x v="912"/>
    <n v="1.77"/>
    <n v="8.39"/>
    <n v="10.16"/>
    <n v="17.420000000000002"/>
    <n v="7.38"/>
    <x v="56"/>
    <n v="9"/>
    <x v="3"/>
    <n v="7.3818897637795269E-2"/>
  </r>
  <r>
    <x v="2"/>
    <x v="24"/>
    <n v="1.37"/>
    <n v="1.0900000000000001"/>
    <x v="913"/>
    <n v="6.73"/>
    <n v="1.98"/>
    <n v="8.7100000000000009"/>
    <n v="77.27"/>
    <n v="15.73"/>
    <x v="56"/>
    <n v="16.440000000000001"/>
    <x v="5"/>
    <n v="0.15729047072330654"/>
  </r>
  <r>
    <x v="2"/>
    <x v="25"/>
    <n v="3.2566666670000002"/>
    <n v="5.15"/>
    <x v="914"/>
    <n v="7.07"/>
    <n v="1.04"/>
    <n v="8.11"/>
    <n v="87.18"/>
    <n v="40.159999999999997"/>
    <x v="56"/>
    <n v="39.080000004000006"/>
    <x v="2"/>
    <n v="0.40156185782983977"/>
  </r>
  <r>
    <x v="2"/>
    <x v="26"/>
    <n v="0.66666666699999999"/>
    <n v="0.54"/>
    <x v="670"/>
    <n v="8.1"/>
    <n v="1.6"/>
    <n v="9.6999999999999993"/>
    <n v="83.51"/>
    <n v="6.87"/>
    <x v="56"/>
    <n v="8.0000000040000003"/>
    <x v="3"/>
    <n v="6.8728522371134027E-2"/>
  </r>
  <r>
    <x v="2"/>
    <x v="27"/>
    <n v="8.5333333329999999"/>
    <n v="2.68"/>
    <x v="915"/>
    <n v="9.23"/>
    <n v="0.83"/>
    <n v="10.06"/>
    <n v="91.75"/>
    <n v="84.82"/>
    <x v="56"/>
    <n v="102.39999999599999"/>
    <x v="5"/>
    <n v="0.84824387007952284"/>
  </r>
  <r>
    <x v="2"/>
    <x v="29"/>
    <n v="5.62"/>
    <n v="3.45"/>
    <x v="916"/>
    <n v="7"/>
    <n v="1.23"/>
    <n v="8.23"/>
    <n v="85.05"/>
    <n v="68.290000000000006"/>
    <x v="56"/>
    <n v="67.44"/>
    <x v="5"/>
    <n v="0.68286755771567431"/>
  </r>
  <r>
    <x v="2"/>
    <x v="30"/>
    <n v="3.08"/>
    <n v="1.7"/>
    <x v="917"/>
    <n v="7.45"/>
    <n v="0.09"/>
    <n v="7.54"/>
    <n v="98.81"/>
    <n v="40.85"/>
    <x v="56"/>
    <n v="36.96"/>
    <x v="5"/>
    <n v="0.40848806366047746"/>
  </r>
  <r>
    <x v="2"/>
    <x v="31"/>
    <n v="6.6666666670000003"/>
    <n v="4.0599999999999996"/>
    <x v="918"/>
    <n v="7"/>
    <n v="0.99"/>
    <n v="7.99"/>
    <n v="87.61"/>
    <n v="83.44"/>
    <x v="56"/>
    <n v="80.000000004"/>
    <x v="2"/>
    <n v="0.8343763037546934"/>
  </r>
  <r>
    <x v="2"/>
    <x v="32"/>
    <n v="1.3333333329999999"/>
    <n v="0.67"/>
    <x v="919"/>
    <n v="8.52"/>
    <n v="1.65"/>
    <n v="10.17"/>
    <n v="83.78"/>
    <n v="13.11"/>
    <x v="56"/>
    <n v="15.999999996"/>
    <x v="3"/>
    <n v="0.13110455585054079"/>
  </r>
  <r>
    <x v="2"/>
    <x v="33"/>
    <n v="1.26"/>
    <n v="1.05"/>
    <x v="920"/>
    <n v="7.26"/>
    <n v="2.99"/>
    <n v="10.25"/>
    <n v="70.83"/>
    <n v="12.29"/>
    <x v="56"/>
    <n v="15.12"/>
    <x v="3"/>
    <n v="0.12292682926829268"/>
  </r>
  <r>
    <x v="2"/>
    <x v="34"/>
    <n v="3.153333333"/>
    <n v="4.5199999999999996"/>
    <x v="921"/>
    <n v="6.81"/>
    <n v="3.08"/>
    <n v="9.89"/>
    <n v="68.86"/>
    <n v="31.88"/>
    <x v="56"/>
    <n v="37.839999996000003"/>
    <x v="4"/>
    <n v="0.31884057967644081"/>
  </r>
  <r>
    <x v="2"/>
    <x v="38"/>
    <n v="13.33333333"/>
    <n v="6.66"/>
    <x v="922"/>
    <n v="6.56"/>
    <n v="1.43"/>
    <n v="7.99"/>
    <n v="82.1"/>
    <n v="166.88"/>
    <x v="56"/>
    <n v="159.99999996000003"/>
    <x v="2"/>
    <n v="1.668752607008761"/>
  </r>
  <r>
    <x v="2"/>
    <x v="39"/>
    <n v="8.3333333330000006"/>
    <n v="4.92"/>
    <x v="923"/>
    <n v="6.36"/>
    <n v="1.63"/>
    <n v="7.99"/>
    <n v="79.599999999999994"/>
    <n v="104.3"/>
    <x v="56"/>
    <n v="99.999999996000014"/>
    <x v="2"/>
    <n v="1.0429703795994993"/>
  </r>
  <r>
    <x v="2"/>
    <x v="40"/>
    <n v="1.24"/>
    <n v="1.03"/>
    <x v="924"/>
    <n v="7.86"/>
    <n v="2.41"/>
    <n v="10.27"/>
    <n v="76.53"/>
    <n v="12.07"/>
    <x v="56"/>
    <n v="14.88"/>
    <x v="3"/>
    <n v="0.1207400194741967"/>
  </r>
  <r>
    <x v="2"/>
    <x v="41"/>
    <n v="3.8533333330000001"/>
    <n v="3.29"/>
    <x v="925"/>
    <n v="7.19"/>
    <n v="1.02"/>
    <n v="8.2100000000000009"/>
    <n v="87.58"/>
    <n v="46.93"/>
    <x v="56"/>
    <n v="46.239999996000002"/>
    <x v="5"/>
    <n v="0.46934632557856271"/>
  </r>
  <r>
    <x v="2"/>
    <x v="42"/>
    <n v="10.58333333"/>
    <n v="4.0599999999999996"/>
    <x v="926"/>
    <n v="7.73"/>
    <n v="0.74"/>
    <n v="8.4700000000000006"/>
    <n v="91.26"/>
    <n v="124.95"/>
    <x v="56"/>
    <n v="126.99999996000001"/>
    <x v="2"/>
    <n v="1.2495080672963399"/>
  </r>
  <r>
    <x v="2"/>
    <x v="43"/>
    <n v="2.75"/>
    <n v="4.03"/>
    <x v="927"/>
    <n v="7.47"/>
    <n v="2.25"/>
    <n v="9.7200000000000006"/>
    <n v="76.849999999999994"/>
    <n v="28.29"/>
    <x v="56"/>
    <n v="33"/>
    <x v="3"/>
    <n v="0.28292181069958844"/>
  </r>
  <r>
    <x v="2"/>
    <x v="44"/>
    <n v="0"/>
    <n v="0"/>
    <x v="0"/>
    <n v="2.4300000000000002"/>
    <n v="1.74"/>
    <n v="4.17"/>
    <n v="58.27"/>
    <n v="0"/>
    <x v="56"/>
    <n v="0"/>
    <x v="3"/>
    <n v="0"/>
  </r>
  <r>
    <x v="2"/>
    <x v="48"/>
    <n v="0"/>
    <n v="0"/>
    <x v="0"/>
    <n v="0"/>
    <n v="0"/>
    <n v="0"/>
    <n v="0"/>
    <n v="0"/>
    <x v="56"/>
    <n v="0"/>
    <x v="6"/>
    <n v="0"/>
  </r>
  <r>
    <x v="2"/>
    <x v="49"/>
    <n v="2"/>
    <n v="5.24"/>
    <x v="928"/>
    <n v="7.44"/>
    <n v="0.75"/>
    <n v="8.19"/>
    <n v="90.84"/>
    <n v="24.42"/>
    <x v="56"/>
    <n v="24"/>
    <x v="3"/>
    <n v="0.24420024420024422"/>
  </r>
  <r>
    <x v="2"/>
    <x v="50"/>
    <n v="5.5833333329999997"/>
    <n v="7.02"/>
    <x v="929"/>
    <n v="9.0399999999999991"/>
    <n v="0.61"/>
    <n v="9.65"/>
    <n v="93.68"/>
    <n v="57.86"/>
    <x v="56"/>
    <n v="66.999999996"/>
    <x v="4"/>
    <n v="0.57858376507772014"/>
  </r>
  <r>
    <x v="0"/>
    <x v="0"/>
    <n v="0"/>
    <n v="0"/>
    <x v="0"/>
    <n v="3.2"/>
    <n v="4.83"/>
    <n v="8.0299999999999994"/>
    <n v="39.85"/>
    <n v="0"/>
    <x v="57"/>
    <n v="0"/>
    <x v="0"/>
    <n v="0"/>
  </r>
  <r>
    <x v="0"/>
    <x v="1"/>
    <n v="0"/>
    <n v="0"/>
    <x v="0"/>
    <n v="0"/>
    <n v="0"/>
    <n v="0"/>
    <n v="0"/>
    <n v="0"/>
    <x v="57"/>
    <n v="0"/>
    <x v="0"/>
    <n v="0"/>
  </r>
  <r>
    <x v="0"/>
    <x v="2"/>
    <n v="0"/>
    <n v="0"/>
    <x v="0"/>
    <n v="4"/>
    <n v="4.03"/>
    <n v="8.0299999999999994"/>
    <n v="49.81"/>
    <n v="0"/>
    <x v="57"/>
    <n v="0"/>
    <x v="0"/>
    <n v="0"/>
  </r>
  <r>
    <x v="0"/>
    <x v="3"/>
    <n v="0"/>
    <n v="0"/>
    <x v="0"/>
    <n v="3.2"/>
    <n v="4.83"/>
    <n v="8.0299999999999994"/>
    <n v="39.85"/>
    <n v="0"/>
    <x v="57"/>
    <n v="0"/>
    <x v="0"/>
    <n v="0"/>
  </r>
  <r>
    <x v="0"/>
    <x v="5"/>
    <n v="0"/>
    <n v="0"/>
    <x v="0"/>
    <n v="4"/>
    <n v="4.03"/>
    <n v="8.0299999999999994"/>
    <n v="49.81"/>
    <n v="0"/>
    <x v="57"/>
    <n v="0"/>
    <x v="0"/>
    <n v="0"/>
  </r>
  <r>
    <x v="0"/>
    <x v="7"/>
    <n v="0"/>
    <n v="0"/>
    <x v="0"/>
    <n v="3.2"/>
    <n v="4.8499999999999996"/>
    <n v="8.0500000000000007"/>
    <n v="39.75"/>
    <n v="0"/>
    <x v="57"/>
    <n v="0"/>
    <x v="0"/>
    <n v="0"/>
  </r>
  <r>
    <x v="0"/>
    <x v="8"/>
    <n v="6.8333333329999997"/>
    <n v="6.87"/>
    <x v="930"/>
    <n v="6.99"/>
    <n v="1.07"/>
    <n v="8.06"/>
    <n v="86.72"/>
    <n v="84.78"/>
    <x v="57"/>
    <n v="81.999999996"/>
    <x v="0"/>
    <n v="0.84780810583126542"/>
  </r>
  <r>
    <x v="1"/>
    <x v="9"/>
    <n v="5"/>
    <n v="4.1500000000000004"/>
    <x v="931"/>
    <n v="7.26"/>
    <n v="0.8"/>
    <n v="8.06"/>
    <n v="90.07"/>
    <n v="62.03"/>
    <x v="57"/>
    <n v="60"/>
    <x v="1"/>
    <n v="0.6203473945409429"/>
  </r>
  <r>
    <x v="1"/>
    <x v="10"/>
    <n v="15.16666667"/>
    <n v="6.97"/>
    <x v="932"/>
    <n v="2.1"/>
    <n v="5.97"/>
    <n v="8.07"/>
    <n v="26.02"/>
    <n v="187.94"/>
    <x v="57"/>
    <n v="182.00000003999997"/>
    <x v="1"/>
    <n v="1.8793886827757125"/>
  </r>
  <r>
    <x v="1"/>
    <x v="11"/>
    <n v="2.4500000000000002"/>
    <n v="1.52"/>
    <x v="933"/>
    <n v="7.31"/>
    <n v="0.8"/>
    <n v="8.11"/>
    <n v="90.14"/>
    <n v="30.21"/>
    <x v="57"/>
    <n v="29.4"/>
    <x v="1"/>
    <n v="0.30209617755856971"/>
  </r>
  <r>
    <x v="1"/>
    <x v="12"/>
    <n v="1.57"/>
    <n v="0.97"/>
    <x v="934"/>
    <n v="5.44"/>
    <n v="2.64"/>
    <n v="8.08"/>
    <n v="67.33"/>
    <n v="19.43"/>
    <x v="57"/>
    <n v="18.84"/>
    <x v="1"/>
    <n v="0.19430693069306931"/>
  </r>
  <r>
    <x v="1"/>
    <x v="13"/>
    <n v="4.2366666669999997"/>
    <n v="4.28"/>
    <x v="935"/>
    <n v="6.16"/>
    <n v="1.95"/>
    <n v="8.11"/>
    <n v="75.959999999999994"/>
    <n v="52.24"/>
    <x v="57"/>
    <n v="50.840000003999997"/>
    <x v="1"/>
    <n v="0.52240032885326759"/>
  </r>
  <r>
    <x v="2"/>
    <x v="15"/>
    <n v="4.8333333329999997"/>
    <n v="6.47"/>
    <x v="936"/>
    <n v="7.74"/>
    <n v="0.38"/>
    <n v="8.1199999999999992"/>
    <n v="95.32"/>
    <n v="59.52"/>
    <x v="57"/>
    <n v="57.999999996"/>
    <x v="3"/>
    <n v="0.5952380951970444"/>
  </r>
  <r>
    <x v="2"/>
    <x v="17"/>
    <n v="0.66666666699999999"/>
    <n v="2.4300000000000002"/>
    <x v="937"/>
    <n v="2.92"/>
    <n v="5.62"/>
    <n v="8.5399999999999991"/>
    <n v="34.19"/>
    <n v="7.81"/>
    <x v="57"/>
    <n v="8.0000000040000003"/>
    <x v="3"/>
    <n v="7.8064012529274016E-2"/>
  </r>
  <r>
    <x v="2"/>
    <x v="18"/>
    <n v="2.6666666669999999"/>
    <n v="3.9"/>
    <x v="660"/>
    <n v="6.53"/>
    <n v="1.73"/>
    <n v="8.26"/>
    <n v="79.06"/>
    <n v="32.28"/>
    <x v="57"/>
    <n v="32.000000004"/>
    <x v="3"/>
    <n v="0.32284100084745759"/>
  </r>
  <r>
    <x v="2"/>
    <x v="19"/>
    <n v="5.5"/>
    <n v="2.0299999999999998"/>
    <x v="938"/>
    <n v="3.6"/>
    <n v="0.26"/>
    <n v="3.86"/>
    <n v="93.26"/>
    <n v="142.49"/>
    <x v="57"/>
    <n v="66"/>
    <x v="2"/>
    <n v="1.4248704663212435"/>
  </r>
  <r>
    <x v="2"/>
    <x v="20"/>
    <n v="7.17"/>
    <n v="3.21"/>
    <x v="939"/>
    <n v="7.31"/>
    <n v="0.7"/>
    <n v="8.01"/>
    <n v="91.26"/>
    <n v="89.51"/>
    <x v="57"/>
    <n v="86.039999999999992"/>
    <x v="5"/>
    <n v="0.89513108614232206"/>
  </r>
  <r>
    <x v="2"/>
    <x v="21"/>
    <n v="7.79"/>
    <n v="6.32"/>
    <x v="940"/>
    <n v="6.32"/>
    <n v="1.5"/>
    <n v="7.82"/>
    <n v="80.819999999999993"/>
    <n v="99.62"/>
    <x v="57"/>
    <n v="93.47999999999999"/>
    <x v="2"/>
    <n v="0.99616368286445012"/>
  </r>
  <r>
    <x v="2"/>
    <x v="23"/>
    <n v="0.49"/>
    <n v="4.2"/>
    <x v="941"/>
    <n v="1.39"/>
    <n v="7.15"/>
    <n v="8.5399999999999991"/>
    <n v="16.28"/>
    <n v="5.74"/>
    <x v="57"/>
    <n v="5.88"/>
    <x v="3"/>
    <n v="5.737704918032787E-2"/>
  </r>
  <r>
    <x v="2"/>
    <x v="24"/>
    <n v="4.0066666670000002"/>
    <n v="6.15"/>
    <x v="942"/>
    <n v="7.12"/>
    <n v="0.87"/>
    <n v="7.99"/>
    <n v="89.11"/>
    <n v="50.15"/>
    <x v="57"/>
    <n v="48.080000004000006"/>
    <x v="5"/>
    <n v="0.50146015857321657"/>
  </r>
  <r>
    <x v="2"/>
    <x v="25"/>
    <n v="8.2799999999999994"/>
    <n v="6.32"/>
    <x v="943"/>
    <n v="6.31"/>
    <n v="1.51"/>
    <n v="7.82"/>
    <n v="80.69"/>
    <n v="105.88"/>
    <x v="57"/>
    <n v="99.359999999999985"/>
    <x v="2"/>
    <n v="1.0588235294117645"/>
  </r>
  <r>
    <x v="2"/>
    <x v="26"/>
    <n v="2.3333333330000001"/>
    <n v="2.2999999999999998"/>
    <x v="944"/>
    <n v="7.58"/>
    <n v="0.61"/>
    <n v="8.19"/>
    <n v="92.55"/>
    <n v="28.49"/>
    <x v="57"/>
    <n v="27.999999996000003"/>
    <x v="3"/>
    <n v="0.28490028485958491"/>
  </r>
  <r>
    <x v="2"/>
    <x v="27"/>
    <n v="7.9566666670000004"/>
    <n v="6.59"/>
    <x v="945"/>
    <n v="7.21"/>
    <n v="0.91"/>
    <n v="8.1199999999999992"/>
    <n v="88.79"/>
    <n v="97.99"/>
    <x v="57"/>
    <n v="95.480000004000004"/>
    <x v="5"/>
    <n v="0.97988505751231536"/>
  </r>
  <r>
    <x v="2"/>
    <x v="29"/>
    <n v="5.1566666669999996"/>
    <n v="5.46"/>
    <x v="946"/>
    <n v="7.67"/>
    <n v="0.35"/>
    <n v="8.02"/>
    <n v="95.64"/>
    <n v="64.3"/>
    <x v="57"/>
    <n v="61.880000003999996"/>
    <x v="5"/>
    <n v="0.6429758936408978"/>
  </r>
  <r>
    <x v="2"/>
    <x v="30"/>
    <n v="1.693333333"/>
    <n v="1.33"/>
    <x v="947"/>
    <n v="7.29"/>
    <n v="0.66"/>
    <n v="7.95"/>
    <n v="91.7"/>
    <n v="21.3"/>
    <x v="57"/>
    <n v="20.319999996"/>
    <x v="5"/>
    <n v="0.21299790352201256"/>
  </r>
  <r>
    <x v="2"/>
    <x v="31"/>
    <n v="5.75"/>
    <n v="5.66"/>
    <x v="948"/>
    <n v="7.61"/>
    <n v="0.21"/>
    <n v="7.82"/>
    <n v="97.31"/>
    <n v="73.53"/>
    <x v="57"/>
    <n v="69"/>
    <x v="2"/>
    <n v="0.73529411764705876"/>
  </r>
  <r>
    <x v="2"/>
    <x v="32"/>
    <n v="0"/>
    <n v="0"/>
    <x v="0"/>
    <n v="4.4400000000000004"/>
    <n v="4.0999999999999996"/>
    <n v="8.5399999999999991"/>
    <n v="51.99"/>
    <n v="0"/>
    <x v="57"/>
    <n v="0"/>
    <x v="3"/>
    <n v="0"/>
  </r>
  <r>
    <x v="2"/>
    <x v="33"/>
    <n v="5.47"/>
    <n v="7.18"/>
    <x v="949"/>
    <n v="7.38"/>
    <n v="0.72"/>
    <n v="8.1"/>
    <n v="91.11"/>
    <n v="67.53"/>
    <x v="57"/>
    <n v="65.64"/>
    <x v="3"/>
    <n v="0.6753086419753086"/>
  </r>
  <r>
    <x v="2"/>
    <x v="35"/>
    <n v="16.166666670000001"/>
    <n v="6.62"/>
    <x v="950"/>
    <n v="7.41"/>
    <n v="2.39"/>
    <n v="9.8000000000000007"/>
    <n v="75.61"/>
    <n v="164.97"/>
    <x v="57"/>
    <n v="194.00000004"/>
    <x v="2"/>
    <n v="1.6496598642857143"/>
  </r>
  <r>
    <x v="2"/>
    <x v="36"/>
    <n v="0"/>
    <n v="0"/>
    <x v="0"/>
    <n v="7.78"/>
    <n v="0.14000000000000001"/>
    <n v="7.92"/>
    <n v="98.23"/>
    <n v="0"/>
    <x v="57"/>
    <n v="0"/>
    <x v="4"/>
    <n v="0"/>
  </r>
  <r>
    <x v="2"/>
    <x v="37"/>
    <n v="2.4166666669999999"/>
    <n v="5.86"/>
    <x v="951"/>
    <n v="7.43"/>
    <n v="0.45"/>
    <n v="7.88"/>
    <n v="94.29"/>
    <n v="30.67"/>
    <x v="57"/>
    <n v="29.000000003999997"/>
    <x v="4"/>
    <n v="0.30668358718274108"/>
  </r>
  <r>
    <x v="2"/>
    <x v="38"/>
    <n v="12.66666667"/>
    <n v="5.27"/>
    <x v="952"/>
    <n v="6.77"/>
    <n v="2.67"/>
    <n v="9.44"/>
    <n v="71.72"/>
    <n v="134.18"/>
    <x v="57"/>
    <n v="152.00000003999997"/>
    <x v="2"/>
    <n v="1.3418079099576272"/>
  </r>
  <r>
    <x v="2"/>
    <x v="39"/>
    <n v="9.9166666669999994"/>
    <n v="4.8600000000000003"/>
    <x v="953"/>
    <n v="5.0599999999999996"/>
    <n v="2.76"/>
    <n v="7.82"/>
    <n v="64.709999999999994"/>
    <n v="126.81"/>
    <x v="57"/>
    <n v="119.000000004"/>
    <x v="2"/>
    <n v="1.268115942071611"/>
  </r>
  <r>
    <x v="2"/>
    <x v="40"/>
    <n v="1.05"/>
    <n v="2.8"/>
    <x v="954"/>
    <n v="7.73"/>
    <n v="0.4"/>
    <n v="8.1300000000000008"/>
    <n v="95.08"/>
    <n v="12.92"/>
    <x v="57"/>
    <n v="12.6"/>
    <x v="3"/>
    <n v="0.12915129151291513"/>
  </r>
  <r>
    <x v="2"/>
    <x v="42"/>
    <n v="7"/>
    <n v="5.15"/>
    <x v="955"/>
    <n v="7.05"/>
    <n v="0.83"/>
    <n v="7.88"/>
    <n v="89.47"/>
    <n v="88.83"/>
    <x v="57"/>
    <n v="84"/>
    <x v="2"/>
    <n v="0.8883248730964467"/>
  </r>
  <r>
    <x v="2"/>
    <x v="43"/>
    <n v="3.9166666669999999"/>
    <n v="5.82"/>
    <x v="956"/>
    <n v="6.02"/>
    <n v="2.09"/>
    <n v="8.11"/>
    <n v="74.23"/>
    <n v="48.29"/>
    <x v="57"/>
    <n v="47.000000004"/>
    <x v="3"/>
    <n v="0.4829428689272503"/>
  </r>
  <r>
    <x v="2"/>
    <x v="44"/>
    <n v="3.91"/>
    <n v="5.95"/>
    <x v="957"/>
    <n v="5.96"/>
    <n v="2.2400000000000002"/>
    <n v="8.1999999999999993"/>
    <n v="72.680000000000007"/>
    <n v="47.68"/>
    <x v="57"/>
    <n v="46.92"/>
    <x v="3"/>
    <n v="0.47682926829268296"/>
  </r>
  <r>
    <x v="2"/>
    <x v="45"/>
    <n v="0"/>
    <n v="0"/>
    <x v="0"/>
    <n v="7.53"/>
    <n v="0.51"/>
    <n v="8.0399999999999991"/>
    <n v="93.66"/>
    <n v="0"/>
    <x v="57"/>
    <n v="0"/>
    <x v="4"/>
    <n v="0"/>
  </r>
  <r>
    <x v="2"/>
    <x v="48"/>
    <n v="0"/>
    <n v="0"/>
    <x v="0"/>
    <n v="0"/>
    <n v="0"/>
    <n v="0"/>
    <n v="0"/>
    <n v="0"/>
    <x v="57"/>
    <n v="0"/>
    <x v="6"/>
    <n v="0"/>
  </r>
  <r>
    <x v="2"/>
    <x v="49"/>
    <n v="1"/>
    <n v="7.0000000000000007E-2"/>
    <x v="958"/>
    <n v="6.12"/>
    <n v="1.99"/>
    <n v="8.11"/>
    <n v="75.459999999999994"/>
    <n v="12.33"/>
    <x v="57"/>
    <n v="12"/>
    <x v="3"/>
    <n v="0.12330456226880396"/>
  </r>
  <r>
    <x v="2"/>
    <x v="50"/>
    <n v="6"/>
    <n v="5.42"/>
    <x v="959"/>
    <n v="7.23"/>
    <n v="0.63"/>
    <n v="7.86"/>
    <n v="91.98"/>
    <n v="76.34"/>
    <x v="57"/>
    <n v="72"/>
    <x v="4"/>
    <n v="0.76335877862595414"/>
  </r>
  <r>
    <x v="0"/>
    <x v="0"/>
    <n v="0"/>
    <n v="0"/>
    <x v="0"/>
    <n v="0"/>
    <n v="0"/>
    <n v="0"/>
    <n v="0"/>
    <n v="0"/>
    <x v="58"/>
    <n v="0"/>
    <x v="0"/>
    <n v="0"/>
  </r>
  <r>
    <x v="0"/>
    <x v="1"/>
    <n v="0"/>
    <n v="0"/>
    <x v="0"/>
    <n v="0"/>
    <n v="0"/>
    <n v="0"/>
    <n v="0"/>
    <n v="0"/>
    <x v="58"/>
    <n v="0"/>
    <x v="0"/>
    <n v="0"/>
  </r>
  <r>
    <x v="0"/>
    <x v="2"/>
    <n v="0"/>
    <n v="0"/>
    <x v="0"/>
    <n v="0"/>
    <n v="0"/>
    <n v="0"/>
    <n v="0"/>
    <n v="0"/>
    <x v="58"/>
    <n v="0"/>
    <x v="0"/>
    <n v="0"/>
  </r>
  <r>
    <x v="0"/>
    <x v="4"/>
    <n v="0"/>
    <n v="0"/>
    <x v="0"/>
    <n v="7.47"/>
    <n v="1.55"/>
    <n v="9.02"/>
    <n v="82.82"/>
    <n v="0"/>
    <x v="58"/>
    <n v="0"/>
    <x v="0"/>
    <n v="0"/>
  </r>
  <r>
    <x v="0"/>
    <x v="5"/>
    <n v="0"/>
    <n v="0"/>
    <x v="0"/>
    <n v="0"/>
    <n v="0"/>
    <n v="0"/>
    <n v="0"/>
    <n v="0"/>
    <x v="58"/>
    <n v="0"/>
    <x v="0"/>
    <n v="0"/>
  </r>
  <r>
    <x v="0"/>
    <x v="6"/>
    <n v="0"/>
    <n v="0"/>
    <x v="0"/>
    <n v="7.47"/>
    <n v="1.54"/>
    <n v="9.01"/>
    <n v="82.91"/>
    <n v="0"/>
    <x v="58"/>
    <n v="0"/>
    <x v="0"/>
    <n v="0"/>
  </r>
  <r>
    <x v="0"/>
    <x v="8"/>
    <n v="0"/>
    <n v="0"/>
    <x v="0"/>
    <n v="7.55"/>
    <n v="1.47"/>
    <n v="9.02"/>
    <n v="83.7"/>
    <n v="0"/>
    <x v="58"/>
    <n v="0"/>
    <x v="0"/>
    <n v="0"/>
  </r>
  <r>
    <x v="1"/>
    <x v="9"/>
    <n v="0"/>
    <n v="0"/>
    <x v="0"/>
    <n v="0"/>
    <n v="0"/>
    <n v="0"/>
    <n v="0"/>
    <n v="0"/>
    <x v="58"/>
    <n v="0"/>
    <x v="1"/>
    <n v="0"/>
  </r>
  <r>
    <x v="1"/>
    <x v="10"/>
    <n v="0"/>
    <n v="0"/>
    <x v="0"/>
    <n v="0"/>
    <n v="0"/>
    <n v="0"/>
    <n v="0"/>
    <n v="0"/>
    <x v="58"/>
    <n v="0"/>
    <x v="1"/>
    <n v="0"/>
  </r>
  <r>
    <x v="2"/>
    <x v="14"/>
    <n v="0"/>
    <n v="0"/>
    <x v="0"/>
    <n v="0"/>
    <n v="0"/>
    <n v="0"/>
    <n v="0"/>
    <n v="0"/>
    <x v="58"/>
    <n v="0"/>
    <x v="2"/>
    <n v="0"/>
  </r>
  <r>
    <x v="2"/>
    <x v="15"/>
    <n v="0"/>
    <n v="0"/>
    <x v="0"/>
    <n v="0"/>
    <n v="0"/>
    <n v="0"/>
    <n v="0"/>
    <n v="0"/>
    <x v="58"/>
    <n v="0"/>
    <x v="3"/>
    <n v="0"/>
  </r>
  <r>
    <x v="2"/>
    <x v="16"/>
    <n v="0"/>
    <n v="0"/>
    <x v="0"/>
    <n v="0"/>
    <n v="0"/>
    <n v="0"/>
    <n v="0"/>
    <n v="0"/>
    <x v="58"/>
    <n v="0"/>
    <x v="4"/>
    <n v="0"/>
  </r>
  <r>
    <x v="2"/>
    <x v="17"/>
    <n v="0"/>
    <n v="0"/>
    <x v="0"/>
    <n v="0"/>
    <n v="0"/>
    <n v="0"/>
    <n v="0"/>
    <n v="0"/>
    <x v="58"/>
    <n v="0"/>
    <x v="3"/>
    <n v="0"/>
  </r>
  <r>
    <x v="2"/>
    <x v="18"/>
    <n v="3.6833333330000002"/>
    <n v="3.93"/>
    <x v="960"/>
    <n v="3.91"/>
    <n v="3.94"/>
    <n v="7.85"/>
    <n v="49.81"/>
    <n v="46.92"/>
    <x v="58"/>
    <n v="44.199999996000003"/>
    <x v="3"/>
    <n v="0.46921443732484081"/>
  </r>
  <r>
    <x v="2"/>
    <x v="19"/>
    <n v="0"/>
    <n v="0"/>
    <x v="0"/>
    <n v="0"/>
    <n v="0"/>
    <n v="0"/>
    <n v="0"/>
    <n v="0"/>
    <x v="58"/>
    <n v="0"/>
    <x v="2"/>
    <n v="0"/>
  </r>
  <r>
    <x v="2"/>
    <x v="21"/>
    <n v="0"/>
    <n v="0"/>
    <x v="0"/>
    <n v="0"/>
    <n v="0"/>
    <n v="0"/>
    <n v="0"/>
    <n v="0"/>
    <x v="58"/>
    <n v="0"/>
    <x v="2"/>
    <n v="0"/>
  </r>
  <r>
    <x v="2"/>
    <x v="22"/>
    <n v="0"/>
    <n v="0"/>
    <x v="0"/>
    <n v="0"/>
    <n v="0"/>
    <n v="0"/>
    <n v="0"/>
    <n v="0"/>
    <x v="58"/>
    <n v="0"/>
    <x v="4"/>
    <n v="0"/>
  </r>
  <r>
    <x v="2"/>
    <x v="23"/>
    <n v="0"/>
    <n v="0"/>
    <x v="0"/>
    <n v="0"/>
    <n v="0"/>
    <n v="0"/>
    <n v="0"/>
    <n v="0"/>
    <x v="58"/>
    <n v="0"/>
    <x v="3"/>
    <n v="0"/>
  </r>
  <r>
    <x v="2"/>
    <x v="25"/>
    <n v="0"/>
    <n v="0"/>
    <x v="0"/>
    <n v="0"/>
    <n v="0"/>
    <n v="0"/>
    <n v="0"/>
    <n v="0"/>
    <x v="58"/>
    <n v="0"/>
    <x v="2"/>
    <n v="0"/>
  </r>
  <r>
    <x v="2"/>
    <x v="26"/>
    <n v="2.8"/>
    <n v="2.9"/>
    <x v="961"/>
    <n v="5.7"/>
    <n v="2.17"/>
    <n v="7.87"/>
    <n v="72.430000000000007"/>
    <n v="35.58"/>
    <x v="58"/>
    <n v="33.6"/>
    <x v="3"/>
    <n v="0.35578144853875476"/>
  </r>
  <r>
    <x v="2"/>
    <x v="29"/>
    <n v="0"/>
    <n v="0"/>
    <x v="0"/>
    <n v="0"/>
    <n v="0"/>
    <n v="0"/>
    <n v="0"/>
    <n v="0"/>
    <x v="58"/>
    <n v="0"/>
    <x v="5"/>
    <n v="0"/>
  </r>
  <r>
    <x v="2"/>
    <x v="31"/>
    <n v="3.75"/>
    <n v="2.1"/>
    <x v="962"/>
    <n v="6.87"/>
    <n v="1.04"/>
    <n v="7.91"/>
    <n v="86.85"/>
    <n v="47.41"/>
    <x v="58"/>
    <n v="45"/>
    <x v="2"/>
    <n v="0.47408343868520858"/>
  </r>
  <r>
    <x v="2"/>
    <x v="32"/>
    <n v="0"/>
    <n v="0"/>
    <x v="0"/>
    <n v="0"/>
    <n v="0"/>
    <n v="0"/>
    <n v="0"/>
    <n v="0"/>
    <x v="58"/>
    <n v="0"/>
    <x v="3"/>
    <n v="0"/>
  </r>
  <r>
    <x v="2"/>
    <x v="34"/>
    <n v="0"/>
    <n v="0"/>
    <x v="0"/>
    <n v="0"/>
    <n v="0"/>
    <n v="0"/>
    <n v="0"/>
    <n v="0"/>
    <x v="58"/>
    <n v="0"/>
    <x v="4"/>
    <n v="0"/>
  </r>
  <r>
    <x v="2"/>
    <x v="35"/>
    <n v="2.57"/>
    <n v="2.95"/>
    <x v="963"/>
    <n v="4.8499999999999996"/>
    <n v="3.06"/>
    <n v="7.91"/>
    <n v="61.31"/>
    <n v="32.49"/>
    <x v="58"/>
    <n v="30.839999999999996"/>
    <x v="2"/>
    <n v="0.32490518331226292"/>
  </r>
  <r>
    <x v="2"/>
    <x v="36"/>
    <n v="0"/>
    <n v="0"/>
    <x v="0"/>
    <n v="0"/>
    <n v="0"/>
    <n v="0"/>
    <n v="0"/>
    <n v="0"/>
    <x v="58"/>
    <n v="0"/>
    <x v="4"/>
    <n v="0"/>
  </r>
  <r>
    <x v="2"/>
    <x v="37"/>
    <n v="0"/>
    <n v="0"/>
    <x v="0"/>
    <n v="0"/>
    <n v="0"/>
    <n v="0"/>
    <n v="0"/>
    <n v="0"/>
    <x v="58"/>
    <n v="0"/>
    <x v="4"/>
    <n v="0"/>
  </r>
  <r>
    <x v="2"/>
    <x v="38"/>
    <n v="0"/>
    <n v="0"/>
    <x v="0"/>
    <n v="0"/>
    <n v="0"/>
    <n v="0"/>
    <n v="0"/>
    <n v="0"/>
    <x v="58"/>
    <n v="0"/>
    <x v="2"/>
    <n v="0"/>
  </r>
  <r>
    <x v="2"/>
    <x v="39"/>
    <n v="0"/>
    <n v="0"/>
    <x v="0"/>
    <n v="0"/>
    <n v="0"/>
    <n v="0"/>
    <n v="0"/>
    <n v="0"/>
    <x v="58"/>
    <n v="0"/>
    <x v="2"/>
    <n v="0"/>
  </r>
  <r>
    <x v="2"/>
    <x v="40"/>
    <n v="6.653333333"/>
    <n v="6.56"/>
    <x v="964"/>
    <n v="5.12"/>
    <n v="2.7"/>
    <n v="7.82"/>
    <n v="65.47"/>
    <n v="85.08"/>
    <x v="58"/>
    <n v="79.839999995999989"/>
    <x v="3"/>
    <n v="0.85080988913043476"/>
  </r>
  <r>
    <x v="2"/>
    <x v="41"/>
    <n v="0"/>
    <n v="0"/>
    <x v="0"/>
    <n v="0"/>
    <n v="0"/>
    <n v="0"/>
    <n v="0"/>
    <n v="0"/>
    <x v="58"/>
    <n v="0"/>
    <x v="5"/>
    <n v="0"/>
  </r>
  <r>
    <x v="2"/>
    <x v="42"/>
    <n v="4.3733333329999997"/>
    <n v="5.13"/>
    <x v="965"/>
    <n v="5.65"/>
    <n v="2.25"/>
    <n v="7.9"/>
    <n v="71.52"/>
    <n v="55.36"/>
    <x v="58"/>
    <n v="52.479999995999989"/>
    <x v="2"/>
    <n v="0.55358649784810121"/>
  </r>
  <r>
    <x v="2"/>
    <x v="43"/>
    <n v="2.5499999999999998"/>
    <n v="2.64"/>
    <x v="966"/>
    <n v="5.67"/>
    <n v="2.1800000000000002"/>
    <n v="7.85"/>
    <n v="72.23"/>
    <n v="32.479999999999997"/>
    <x v="58"/>
    <n v="30.6"/>
    <x v="3"/>
    <n v="0.32484076433121017"/>
  </r>
  <r>
    <x v="2"/>
    <x v="44"/>
    <n v="0"/>
    <n v="0"/>
    <x v="0"/>
    <n v="0"/>
    <n v="0"/>
    <n v="0"/>
    <n v="0"/>
    <n v="0"/>
    <x v="58"/>
    <n v="0"/>
    <x v="3"/>
    <n v="0"/>
  </r>
  <r>
    <x v="2"/>
    <x v="45"/>
    <n v="0"/>
    <n v="0"/>
    <x v="0"/>
    <n v="0"/>
    <n v="0"/>
    <n v="0"/>
    <n v="0"/>
    <n v="0"/>
    <x v="58"/>
    <n v="0"/>
    <x v="4"/>
    <n v="0"/>
  </r>
  <r>
    <x v="2"/>
    <x v="46"/>
    <n v="0"/>
    <n v="0"/>
    <x v="0"/>
    <n v="0"/>
    <n v="0"/>
    <n v="0"/>
    <n v="0"/>
    <n v="0"/>
    <x v="58"/>
    <n v="0"/>
    <x v="4"/>
    <n v="0"/>
  </r>
  <r>
    <x v="2"/>
    <x v="47"/>
    <n v="0"/>
    <n v="0"/>
    <x v="0"/>
    <n v="0"/>
    <n v="0"/>
    <n v="0"/>
    <n v="0"/>
    <n v="0"/>
    <x v="58"/>
    <n v="0"/>
    <x v="5"/>
    <n v="0"/>
  </r>
  <r>
    <x v="2"/>
    <x v="48"/>
    <n v="0"/>
    <n v="0"/>
    <x v="0"/>
    <n v="0"/>
    <n v="0"/>
    <n v="0"/>
    <n v="0"/>
    <n v="0"/>
    <x v="58"/>
    <n v="0"/>
    <x v="6"/>
    <n v="0"/>
  </r>
  <r>
    <x v="2"/>
    <x v="49"/>
    <n v="0"/>
    <n v="0"/>
    <x v="0"/>
    <n v="0"/>
    <n v="0"/>
    <n v="0"/>
    <n v="0"/>
    <n v="0"/>
    <x v="58"/>
    <n v="0"/>
    <x v="3"/>
    <n v="0"/>
  </r>
  <r>
    <x v="2"/>
    <x v="50"/>
    <n v="0"/>
    <n v="0"/>
    <x v="0"/>
    <n v="0"/>
    <n v="0"/>
    <n v="0"/>
    <n v="0"/>
    <n v="0"/>
    <x v="58"/>
    <n v="0"/>
    <x v="4"/>
    <n v="0"/>
  </r>
  <r>
    <x v="2"/>
    <x v="15"/>
    <n v="0"/>
    <n v="0"/>
    <x v="0"/>
    <n v="7.9"/>
    <n v="1.41"/>
    <n v="9.31"/>
    <n v="84.85"/>
    <n v="0"/>
    <x v="59"/>
    <n v="0"/>
    <x v="3"/>
    <n v="0"/>
  </r>
  <r>
    <x v="2"/>
    <x v="16"/>
    <n v="6.4533333329999998"/>
    <n v="7.8"/>
    <x v="967"/>
    <n v="8.68"/>
    <n v="0.34"/>
    <n v="9.02"/>
    <n v="96.23"/>
    <n v="71.540000000000006"/>
    <x v="59"/>
    <n v="77.439999995999997"/>
    <x v="4"/>
    <n v="0.71544715443458984"/>
  </r>
  <r>
    <x v="2"/>
    <x v="17"/>
    <n v="1.19"/>
    <n v="1.02"/>
    <x v="968"/>
    <n v="4.6100000000000003"/>
    <n v="6.22"/>
    <n v="10.83"/>
    <n v="42.57"/>
    <n v="10.99"/>
    <x v="59"/>
    <n v="14.279999999999998"/>
    <x v="3"/>
    <n v="0.10987996306555863"/>
  </r>
  <r>
    <x v="2"/>
    <x v="18"/>
    <n v="3.5"/>
    <n v="3.49"/>
    <x v="969"/>
    <n v="5.17"/>
    <n v="4.0199999999999996"/>
    <n v="9.19"/>
    <n v="56.26"/>
    <n v="38.08"/>
    <x v="59"/>
    <n v="42"/>
    <x v="3"/>
    <n v="0.38084874863982593"/>
  </r>
  <r>
    <x v="2"/>
    <x v="19"/>
    <n v="8.056666667"/>
    <n v="5.58"/>
    <x v="970"/>
    <n v="9.25"/>
    <n v="0.87"/>
    <n v="10.119999999999999"/>
    <n v="91.4"/>
    <n v="79.61"/>
    <x v="59"/>
    <n v="96.680000003999993"/>
    <x v="2"/>
    <n v="0.79611330701581029"/>
  </r>
  <r>
    <x v="2"/>
    <x v="21"/>
    <n v="8.2100000000000009"/>
    <n v="7.12"/>
    <x v="971"/>
    <n v="7.11"/>
    <n v="0.89"/>
    <n v="8"/>
    <n v="88.88"/>
    <n v="102.63"/>
    <x v="59"/>
    <n v="98.52000000000001"/>
    <x v="2"/>
    <n v="1.0262500000000001"/>
  </r>
  <r>
    <x v="2"/>
    <x v="23"/>
    <n v="1.423333333"/>
    <n v="7.58"/>
    <x v="972"/>
    <n v="0"/>
    <n v="9.58"/>
    <n v="9.58"/>
    <n v="0"/>
    <n v="14.86"/>
    <x v="59"/>
    <n v="17.079999996000002"/>
    <x v="3"/>
    <n v="0.14857341680584552"/>
  </r>
  <r>
    <x v="2"/>
    <x v="30"/>
    <n v="7.66"/>
    <n v="5.4"/>
    <x v="973"/>
    <n v="7.92"/>
    <n v="0.23"/>
    <n v="8.15"/>
    <n v="97.18"/>
    <n v="93.99"/>
    <x v="59"/>
    <n v="91.92"/>
    <x v="5"/>
    <n v="0.93987730061349695"/>
  </r>
  <r>
    <x v="2"/>
    <x v="35"/>
    <n v="10.81"/>
    <n v="7.15"/>
    <x v="974"/>
    <n v="7.33"/>
    <n v="0.82"/>
    <n v="8.15"/>
    <n v="89.94"/>
    <n v="132.63999999999999"/>
    <x v="59"/>
    <n v="129.72"/>
    <x v="2"/>
    <n v="1.3263803680981596"/>
  </r>
  <r>
    <x v="2"/>
    <x v="37"/>
    <n v="2.5299999999999998"/>
    <n v="1.65"/>
    <x v="975"/>
    <n v="10.7"/>
    <n v="0.4"/>
    <n v="11.1"/>
    <n v="96.4"/>
    <n v="22.79"/>
    <x v="59"/>
    <n v="30.359999999999996"/>
    <x v="4"/>
    <n v="0.22792792792792793"/>
  </r>
  <r>
    <x v="2"/>
    <x v="38"/>
    <n v="7.0833333329999997"/>
    <n v="6.31"/>
    <x v="976"/>
    <n v="8.4499999999999993"/>
    <n v="1.56"/>
    <n v="10.01"/>
    <n v="84.42"/>
    <n v="70.760000000000005"/>
    <x v="59"/>
    <n v="84.999999996"/>
    <x v="2"/>
    <n v="0.70762570759240762"/>
  </r>
  <r>
    <x v="2"/>
    <x v="39"/>
    <n v="8"/>
    <n v="6.28"/>
    <x v="977"/>
    <n v="6.28"/>
    <n v="1.69"/>
    <n v="7.97"/>
    <n v="78.8"/>
    <n v="100.38"/>
    <x v="59"/>
    <n v="96"/>
    <x v="2"/>
    <n v="1.0037641154328734"/>
  </r>
  <r>
    <x v="2"/>
    <x v="41"/>
    <n v="0"/>
    <n v="0"/>
    <x v="0"/>
    <n v="0"/>
    <n v="0"/>
    <n v="0"/>
    <n v="0"/>
    <n v="0"/>
    <x v="59"/>
    <n v="0"/>
    <x v="5"/>
    <n v="0"/>
  </r>
  <r>
    <x v="2"/>
    <x v="42"/>
    <n v="8.2133333329999996"/>
    <n v="5.16"/>
    <x v="978"/>
    <n v="7.45"/>
    <n v="0.56999999999999995"/>
    <n v="8.02"/>
    <n v="92.89"/>
    <n v="102.41"/>
    <x v="59"/>
    <n v="98.559999996000002"/>
    <x v="2"/>
    <n v="1.0241064006234415"/>
  </r>
  <r>
    <x v="2"/>
    <x v="43"/>
    <n v="1.75"/>
    <n v="2.8"/>
    <x v="979"/>
    <n v="7.85"/>
    <n v="1.46"/>
    <n v="9.31"/>
    <n v="84.32"/>
    <n v="18.8"/>
    <x v="59"/>
    <n v="21"/>
    <x v="3"/>
    <n v="0.18796992481203006"/>
  </r>
  <r>
    <x v="2"/>
    <x v="44"/>
    <n v="1.6666666670000001"/>
    <n v="1.62"/>
    <x v="980"/>
    <n v="4.96"/>
    <n v="4.05"/>
    <n v="9.01"/>
    <n v="55.05"/>
    <n v="18.5"/>
    <x v="59"/>
    <n v="20.000000004"/>
    <x v="3"/>
    <n v="0.18497965227524973"/>
  </r>
  <r>
    <x v="2"/>
    <x v="45"/>
    <n v="0"/>
    <n v="0"/>
    <x v="0"/>
    <n v="7.25"/>
    <n v="0.88"/>
    <n v="8.1300000000000008"/>
    <n v="89.18"/>
    <n v="0"/>
    <x v="59"/>
    <n v="0"/>
    <x v="4"/>
    <n v="0"/>
  </r>
  <r>
    <x v="2"/>
    <x v="46"/>
    <n v="2.14"/>
    <n v="5.48"/>
    <x v="981"/>
    <n v="9.66"/>
    <n v="0.34"/>
    <n v="10"/>
    <n v="96.6"/>
    <n v="21.4"/>
    <x v="59"/>
    <n v="25.68"/>
    <x v="4"/>
    <n v="0.21400000000000002"/>
  </r>
  <r>
    <x v="2"/>
    <x v="47"/>
    <n v="11.91666667"/>
    <n v="4.72"/>
    <x v="982"/>
    <n v="7.25"/>
    <n v="0.8"/>
    <n v="8.0500000000000007"/>
    <n v="90.06"/>
    <n v="148.03"/>
    <x v="59"/>
    <n v="143.00000003999997"/>
    <x v="5"/>
    <n v="1.4803312633540371"/>
  </r>
  <r>
    <x v="2"/>
    <x v="49"/>
    <n v="1.4166666670000001"/>
    <n v="4.83"/>
    <x v="983"/>
    <n v="7.34"/>
    <n v="1.83"/>
    <n v="9.17"/>
    <n v="80.040000000000006"/>
    <n v="15.45"/>
    <x v="59"/>
    <n v="17.000000004"/>
    <x v="3"/>
    <n v="0.15448927666303164"/>
  </r>
  <r>
    <x v="2"/>
    <x v="50"/>
    <n v="10.83333333"/>
    <n v="8.6999999999999993"/>
    <x v="984"/>
    <n v="9.23"/>
    <n v="0.77"/>
    <n v="10"/>
    <n v="92.3"/>
    <n v="108.33"/>
    <x v="59"/>
    <n v="129.99999996000003"/>
    <x v="4"/>
    <n v="1.0833333330000001"/>
  </r>
  <r>
    <x v="0"/>
    <x v="0"/>
    <n v="0"/>
    <n v="0"/>
    <x v="0"/>
    <n v="7.39"/>
    <n v="0.65"/>
    <n v="8.0399999999999991"/>
    <n v="91.92"/>
    <n v="0"/>
    <x v="60"/>
    <n v="0"/>
    <x v="0"/>
    <n v="0"/>
  </r>
  <r>
    <x v="0"/>
    <x v="1"/>
    <n v="0"/>
    <n v="0"/>
    <x v="0"/>
    <n v="5.4"/>
    <n v="2.65"/>
    <n v="8.0500000000000007"/>
    <n v="67.08"/>
    <n v="0"/>
    <x v="60"/>
    <n v="0"/>
    <x v="0"/>
    <n v="0"/>
  </r>
  <r>
    <x v="0"/>
    <x v="2"/>
    <n v="0"/>
    <n v="0"/>
    <x v="0"/>
    <n v="5.4"/>
    <n v="2.65"/>
    <n v="8.0500000000000007"/>
    <n v="67.08"/>
    <n v="0"/>
    <x v="60"/>
    <n v="0"/>
    <x v="0"/>
    <n v="0"/>
  </r>
  <r>
    <x v="0"/>
    <x v="3"/>
    <n v="0"/>
    <n v="0"/>
    <x v="0"/>
    <n v="7.54"/>
    <n v="0.55000000000000004"/>
    <n v="8.09"/>
    <n v="93.2"/>
    <n v="0"/>
    <x v="60"/>
    <n v="0"/>
    <x v="0"/>
    <n v="0"/>
  </r>
  <r>
    <x v="0"/>
    <x v="4"/>
    <n v="0"/>
    <n v="0"/>
    <x v="0"/>
    <n v="7.76"/>
    <n v="0.25"/>
    <n v="8.01"/>
    <n v="96.88"/>
    <n v="0"/>
    <x v="60"/>
    <n v="0"/>
    <x v="0"/>
    <n v="0"/>
  </r>
  <r>
    <x v="0"/>
    <x v="5"/>
    <n v="0"/>
    <n v="0"/>
    <x v="0"/>
    <n v="5.4"/>
    <n v="2.65"/>
    <n v="8.0500000000000007"/>
    <n v="67.08"/>
    <n v="0"/>
    <x v="60"/>
    <n v="0"/>
    <x v="0"/>
    <n v="0"/>
  </r>
  <r>
    <x v="0"/>
    <x v="6"/>
    <n v="0"/>
    <n v="0"/>
    <x v="0"/>
    <n v="7.78"/>
    <n v="0.23"/>
    <n v="8.01"/>
    <n v="97.13"/>
    <n v="0"/>
    <x v="60"/>
    <n v="0"/>
    <x v="0"/>
    <n v="0"/>
  </r>
  <r>
    <x v="0"/>
    <x v="7"/>
    <n v="0"/>
    <n v="0"/>
    <x v="0"/>
    <n v="7.52"/>
    <n v="0.55000000000000004"/>
    <n v="8.07"/>
    <n v="93.18"/>
    <n v="0"/>
    <x v="60"/>
    <n v="0"/>
    <x v="0"/>
    <n v="0"/>
  </r>
  <r>
    <x v="0"/>
    <x v="8"/>
    <n v="0"/>
    <n v="0"/>
    <x v="0"/>
    <n v="9.73"/>
    <n v="0.45"/>
    <n v="10.18"/>
    <n v="95.58"/>
    <n v="0"/>
    <x v="60"/>
    <n v="0"/>
    <x v="0"/>
    <n v="0"/>
  </r>
  <r>
    <x v="1"/>
    <x v="9"/>
    <n v="0"/>
    <n v="0"/>
    <x v="0"/>
    <n v="3.83"/>
    <n v="4.2300000000000004"/>
    <n v="8.06"/>
    <n v="47.52"/>
    <n v="0"/>
    <x v="60"/>
    <n v="0"/>
    <x v="1"/>
    <n v="0"/>
  </r>
  <r>
    <x v="1"/>
    <x v="10"/>
    <n v="0"/>
    <n v="0"/>
    <x v="0"/>
    <n v="3.03"/>
    <n v="5.03"/>
    <n v="8.06"/>
    <n v="37.590000000000003"/>
    <n v="0"/>
    <x v="60"/>
    <n v="0"/>
    <x v="1"/>
    <n v="0"/>
  </r>
  <r>
    <x v="1"/>
    <x v="11"/>
    <n v="0"/>
    <n v="0"/>
    <x v="0"/>
    <n v="5.0599999999999996"/>
    <n v="3.09"/>
    <n v="8.15"/>
    <n v="62.09"/>
    <n v="0"/>
    <x v="60"/>
    <n v="0"/>
    <x v="1"/>
    <n v="0"/>
  </r>
  <r>
    <x v="1"/>
    <x v="12"/>
    <n v="0"/>
    <n v="0"/>
    <x v="0"/>
    <n v="5.42"/>
    <n v="2.73"/>
    <n v="8.15"/>
    <n v="66.5"/>
    <n v="0"/>
    <x v="60"/>
    <n v="0"/>
    <x v="1"/>
    <n v="0"/>
  </r>
  <r>
    <x v="1"/>
    <x v="13"/>
    <n v="0"/>
    <n v="0"/>
    <x v="0"/>
    <n v="0"/>
    <n v="0.02"/>
    <n v="0.02"/>
    <n v="0"/>
    <n v="0"/>
    <x v="60"/>
    <n v="0"/>
    <x v="1"/>
    <n v="0"/>
  </r>
  <r>
    <x v="2"/>
    <x v="14"/>
    <n v="0"/>
    <n v="0"/>
    <x v="0"/>
    <n v="0"/>
    <n v="0"/>
    <n v="0"/>
    <n v="0"/>
    <n v="0"/>
    <x v="60"/>
    <n v="0"/>
    <x v="2"/>
    <n v="0"/>
  </r>
  <r>
    <x v="2"/>
    <x v="15"/>
    <n v="1.8333333329999999"/>
    <n v="0.68"/>
    <x v="985"/>
    <n v="7.92"/>
    <n v="0.49"/>
    <n v="8.41"/>
    <n v="94.17"/>
    <n v="21.8"/>
    <x v="60"/>
    <n v="21.999999996"/>
    <x v="3"/>
    <n v="0.21799445101070153"/>
  </r>
  <r>
    <x v="2"/>
    <x v="19"/>
    <n v="10.66666667"/>
    <n v="7.32"/>
    <x v="986"/>
    <n v="10.17"/>
    <n v="0.72"/>
    <n v="10.89"/>
    <n v="93.39"/>
    <n v="97.95"/>
    <x v="60"/>
    <n v="128.00000003999997"/>
    <x v="2"/>
    <n v="0.97949188888888883"/>
  </r>
  <r>
    <x v="2"/>
    <x v="21"/>
    <n v="3.74"/>
    <n v="5.39"/>
    <x v="987"/>
    <n v="7.1"/>
    <n v="0.64"/>
    <n v="7.74"/>
    <n v="91.73"/>
    <n v="48.32"/>
    <x v="60"/>
    <n v="44.88"/>
    <x v="2"/>
    <n v="0.48320413436692505"/>
  </r>
  <r>
    <x v="2"/>
    <x v="22"/>
    <n v="1"/>
    <n v="3.02"/>
    <x v="988"/>
    <n v="8.25"/>
    <n v="1.7"/>
    <n v="9.9499999999999993"/>
    <n v="82.91"/>
    <n v="10.050000000000001"/>
    <x v="60"/>
    <n v="12"/>
    <x v="4"/>
    <n v="0.10050251256281408"/>
  </r>
  <r>
    <x v="2"/>
    <x v="23"/>
    <n v="0.22"/>
    <n v="0.67"/>
    <x v="989"/>
    <n v="1.32"/>
    <n v="7.08"/>
    <n v="8.4"/>
    <n v="15.71"/>
    <n v="2.62"/>
    <x v="60"/>
    <n v="2.6399999999999997"/>
    <x v="3"/>
    <n v="2.6190476190476191E-2"/>
  </r>
  <r>
    <x v="2"/>
    <x v="24"/>
    <n v="5.4366666669999999"/>
    <n v="6.75"/>
    <x v="990"/>
    <n v="7.7"/>
    <n v="0.31"/>
    <n v="8.01"/>
    <n v="96.13"/>
    <n v="67.87"/>
    <x v="60"/>
    <n v="65.240000003999995"/>
    <x v="5"/>
    <n v="0.67873491473158554"/>
  </r>
  <r>
    <x v="2"/>
    <x v="25"/>
    <n v="4.59"/>
    <n v="5.42"/>
    <x v="991"/>
    <n v="7.13"/>
    <n v="0.63"/>
    <n v="7.76"/>
    <n v="91.88"/>
    <n v="59.15"/>
    <x v="60"/>
    <n v="55.08"/>
    <x v="2"/>
    <n v="0.59149484536082475"/>
  </r>
  <r>
    <x v="2"/>
    <x v="27"/>
    <n v="3.03"/>
    <n v="2.08"/>
    <x v="992"/>
    <n v="7.69"/>
    <n v="0.32"/>
    <n v="8.01"/>
    <n v="96"/>
    <n v="37.83"/>
    <x v="60"/>
    <n v="36.36"/>
    <x v="5"/>
    <n v="0.37827715355805241"/>
  </r>
  <r>
    <x v="2"/>
    <x v="30"/>
    <n v="9.1666666669999994"/>
    <n v="5.62"/>
    <x v="993"/>
    <n v="7.23"/>
    <n v="0.76"/>
    <n v="7.99"/>
    <n v="90.49"/>
    <n v="114.73"/>
    <x v="60"/>
    <n v="110.000000004"/>
    <x v="5"/>
    <n v="1.1472674176470588"/>
  </r>
  <r>
    <x v="2"/>
    <x v="33"/>
    <n v="1.05"/>
    <n v="6.05"/>
    <x v="994"/>
    <n v="4.09"/>
    <n v="2.48"/>
    <n v="6.57"/>
    <n v="62.25"/>
    <n v="15.98"/>
    <x v="60"/>
    <n v="12.6"/>
    <x v="3"/>
    <n v="0.15981735159817351"/>
  </r>
  <r>
    <x v="2"/>
    <x v="36"/>
    <n v="7.6666666670000003"/>
    <n v="10.220000000000001"/>
    <x v="995"/>
    <n v="8.1300000000000008"/>
    <n v="2.16"/>
    <n v="10.29"/>
    <n v="79.010000000000005"/>
    <n v="74.510000000000005"/>
    <x v="60"/>
    <n v="92.000000004"/>
    <x v="4"/>
    <n v="0.74505992876579208"/>
  </r>
  <r>
    <x v="2"/>
    <x v="37"/>
    <n v="0.15"/>
    <n v="0.52"/>
    <x v="912"/>
    <n v="8.49"/>
    <n v="1.47"/>
    <n v="9.9600000000000009"/>
    <n v="85.24"/>
    <n v="1.51"/>
    <x v="60"/>
    <n v="1.8"/>
    <x v="4"/>
    <n v="1.506024096385542E-2"/>
  </r>
  <r>
    <x v="2"/>
    <x v="39"/>
    <n v="9.5"/>
    <n v="5.32"/>
    <x v="962"/>
    <n v="7.27"/>
    <n v="0.56999999999999995"/>
    <n v="7.84"/>
    <n v="92.73"/>
    <n v="121.17"/>
    <x v="60"/>
    <n v="114"/>
    <x v="2"/>
    <n v="1.2117346938775511"/>
  </r>
  <r>
    <x v="2"/>
    <x v="42"/>
    <n v="9.1966666670000006"/>
    <n v="6.76"/>
    <x v="996"/>
    <n v="7.63"/>
    <n v="0.13"/>
    <n v="7.76"/>
    <n v="98.32"/>
    <n v="118.51"/>
    <x v="60"/>
    <n v="110.36000000400001"/>
    <x v="2"/>
    <n v="1.185137457087629"/>
  </r>
  <r>
    <x v="2"/>
    <x v="44"/>
    <n v="0"/>
    <n v="0"/>
    <x v="0"/>
    <n v="6.47"/>
    <n v="1.8"/>
    <n v="8.27"/>
    <n v="78.23"/>
    <n v="0"/>
    <x v="60"/>
    <n v="0"/>
    <x v="3"/>
    <n v="0"/>
  </r>
  <r>
    <x v="2"/>
    <x v="45"/>
    <n v="0"/>
    <n v="0"/>
    <x v="0"/>
    <n v="5.6"/>
    <n v="2.5099999999999998"/>
    <n v="8.11"/>
    <n v="69.05"/>
    <n v="0"/>
    <x v="60"/>
    <n v="0"/>
    <x v="4"/>
    <n v="0"/>
  </r>
  <r>
    <x v="2"/>
    <x v="46"/>
    <n v="2.44"/>
    <n v="6.27"/>
    <x v="997"/>
    <n v="8.18"/>
    <n v="0.35"/>
    <n v="8.5299999999999994"/>
    <n v="95.9"/>
    <n v="28.6"/>
    <x v="60"/>
    <n v="29.28"/>
    <x v="4"/>
    <n v="0.28604923798358733"/>
  </r>
  <r>
    <x v="2"/>
    <x v="47"/>
    <n v="16.873333330000001"/>
    <n v="7.15"/>
    <x v="998"/>
    <n v="7.93"/>
    <n v="0.08"/>
    <n v="8.01"/>
    <n v="99"/>
    <n v="210.65"/>
    <x v="60"/>
    <n v="202.47999996000001"/>
    <x v="5"/>
    <n v="2.1065334993757805"/>
  </r>
  <r>
    <x v="2"/>
    <x v="48"/>
    <n v="0"/>
    <n v="0"/>
    <x v="0"/>
    <n v="0"/>
    <n v="0"/>
    <n v="0"/>
    <n v="0"/>
    <n v="0"/>
    <x v="60"/>
    <n v="0"/>
    <x v="6"/>
    <n v="0"/>
  </r>
  <r>
    <x v="2"/>
    <x v="50"/>
    <n v="17.256666670000001"/>
    <n v="9.9600000000000009"/>
    <x v="999"/>
    <n v="9.7100000000000009"/>
    <n v="0.28999999999999998"/>
    <n v="10"/>
    <n v="97.1"/>
    <n v="172.57"/>
    <x v="60"/>
    <n v="207.08000004000002"/>
    <x v="4"/>
    <n v="1.725666667"/>
  </r>
  <r>
    <x v="0"/>
    <x v="0"/>
    <n v="0"/>
    <n v="0"/>
    <x v="0"/>
    <n v="7.42"/>
    <n v="0.57999999999999996"/>
    <n v="8"/>
    <n v="92.75"/>
    <n v="0"/>
    <x v="61"/>
    <n v="0"/>
    <x v="0"/>
    <n v="0"/>
  </r>
  <r>
    <x v="0"/>
    <x v="1"/>
    <n v="0"/>
    <n v="0"/>
    <x v="0"/>
    <n v="0"/>
    <n v="0"/>
    <n v="0"/>
    <n v="0"/>
    <n v="0"/>
    <x v="61"/>
    <n v="0"/>
    <x v="0"/>
    <n v="0"/>
  </r>
  <r>
    <x v="0"/>
    <x v="2"/>
    <n v="0"/>
    <n v="0"/>
    <x v="0"/>
    <n v="0"/>
    <n v="0"/>
    <n v="0"/>
    <n v="0"/>
    <n v="0"/>
    <x v="61"/>
    <n v="0"/>
    <x v="0"/>
    <n v="0"/>
  </r>
  <r>
    <x v="0"/>
    <x v="3"/>
    <n v="0"/>
    <n v="0"/>
    <x v="0"/>
    <n v="0"/>
    <n v="0"/>
    <n v="0"/>
    <n v="0"/>
    <n v="0"/>
    <x v="61"/>
    <n v="0"/>
    <x v="0"/>
    <n v="0"/>
  </r>
  <r>
    <x v="0"/>
    <x v="4"/>
    <n v="0"/>
    <n v="0"/>
    <x v="0"/>
    <n v="0"/>
    <n v="0"/>
    <n v="0"/>
    <n v="0"/>
    <n v="0"/>
    <x v="61"/>
    <n v="0"/>
    <x v="0"/>
    <n v="0"/>
  </r>
  <r>
    <x v="0"/>
    <x v="5"/>
    <n v="0"/>
    <n v="0"/>
    <x v="0"/>
    <n v="0"/>
    <n v="0"/>
    <n v="0"/>
    <n v="0"/>
    <n v="0"/>
    <x v="61"/>
    <n v="0"/>
    <x v="0"/>
    <n v="0"/>
  </r>
  <r>
    <x v="0"/>
    <x v="6"/>
    <n v="0"/>
    <n v="0"/>
    <x v="0"/>
    <n v="0"/>
    <n v="0"/>
    <n v="0"/>
    <n v="0"/>
    <n v="0"/>
    <x v="61"/>
    <n v="0"/>
    <x v="0"/>
    <n v="0"/>
  </r>
  <r>
    <x v="0"/>
    <x v="7"/>
    <n v="0"/>
    <n v="0"/>
    <x v="0"/>
    <n v="0"/>
    <n v="0"/>
    <n v="0"/>
    <n v="0"/>
    <n v="0"/>
    <x v="61"/>
    <n v="0"/>
    <x v="0"/>
    <n v="0"/>
  </r>
  <r>
    <x v="0"/>
    <x v="8"/>
    <n v="0"/>
    <n v="0"/>
    <x v="0"/>
    <n v="7.48"/>
    <n v="0.6"/>
    <n v="8.08"/>
    <n v="92.57"/>
    <n v="0"/>
    <x v="61"/>
    <n v="0"/>
    <x v="0"/>
    <n v="0"/>
  </r>
  <r>
    <x v="1"/>
    <x v="9"/>
    <n v="0"/>
    <n v="0"/>
    <x v="0"/>
    <n v="0"/>
    <n v="0"/>
    <n v="0"/>
    <n v="0"/>
    <n v="0"/>
    <x v="61"/>
    <n v="0"/>
    <x v="1"/>
    <n v="0"/>
  </r>
  <r>
    <x v="1"/>
    <x v="10"/>
    <n v="0"/>
    <n v="0"/>
    <x v="0"/>
    <n v="8.0299999999999994"/>
    <n v="0.04"/>
    <n v="8.07"/>
    <n v="99.5"/>
    <n v="0"/>
    <x v="61"/>
    <n v="0"/>
    <x v="1"/>
    <n v="0"/>
  </r>
  <r>
    <x v="1"/>
    <x v="11"/>
    <n v="0.33333333300000001"/>
    <n v="0.04"/>
    <x v="603"/>
    <n v="5.32"/>
    <n v="2.76"/>
    <n v="8.08"/>
    <n v="65.84"/>
    <n v="4.13"/>
    <x v="61"/>
    <n v="3.9999999960000006"/>
    <x v="1"/>
    <n v="4.1254125371287129E-2"/>
  </r>
  <r>
    <x v="1"/>
    <x v="12"/>
    <n v="0"/>
    <n v="0"/>
    <x v="0"/>
    <n v="0"/>
    <n v="0"/>
    <n v="0"/>
    <n v="0"/>
    <n v="0"/>
    <x v="61"/>
    <n v="0"/>
    <x v="1"/>
    <n v="0"/>
  </r>
  <r>
    <x v="1"/>
    <x v="13"/>
    <n v="0"/>
    <n v="0"/>
    <x v="0"/>
    <n v="0"/>
    <n v="0"/>
    <n v="0"/>
    <n v="0"/>
    <n v="0"/>
    <x v="61"/>
    <n v="0"/>
    <x v="1"/>
    <n v="0"/>
  </r>
  <r>
    <x v="2"/>
    <x v="14"/>
    <n v="0"/>
    <n v="0"/>
    <x v="0"/>
    <n v="0"/>
    <n v="0"/>
    <n v="0"/>
    <n v="0"/>
    <n v="0"/>
    <x v="61"/>
    <n v="0"/>
    <x v="2"/>
    <n v="0"/>
  </r>
  <r>
    <x v="2"/>
    <x v="15"/>
    <n v="0"/>
    <n v="0"/>
    <x v="0"/>
    <n v="0"/>
    <n v="0"/>
    <n v="0"/>
    <n v="0"/>
    <n v="0"/>
    <x v="61"/>
    <n v="0"/>
    <x v="3"/>
    <n v="0"/>
  </r>
  <r>
    <x v="2"/>
    <x v="19"/>
    <n v="10.83333333"/>
    <n v="4.59"/>
    <x v="1000"/>
    <n v="6.26"/>
    <n v="1.83"/>
    <n v="8.09"/>
    <n v="77.38"/>
    <n v="133.91"/>
    <x v="61"/>
    <n v="129.99999996000003"/>
    <x v="2"/>
    <n v="1.3391017713226205"/>
  </r>
  <r>
    <x v="2"/>
    <x v="21"/>
    <n v="0"/>
    <n v="0"/>
    <x v="0"/>
    <n v="0"/>
    <n v="0"/>
    <n v="0"/>
    <n v="0"/>
    <n v="0"/>
    <x v="61"/>
    <n v="0"/>
    <x v="2"/>
    <n v="0"/>
  </r>
  <r>
    <x v="2"/>
    <x v="22"/>
    <n v="0"/>
    <n v="0"/>
    <x v="0"/>
    <n v="0"/>
    <n v="0"/>
    <n v="0"/>
    <n v="0"/>
    <n v="0"/>
    <x v="61"/>
    <n v="0"/>
    <x v="4"/>
    <n v="0"/>
  </r>
  <r>
    <x v="2"/>
    <x v="23"/>
    <n v="2.5099999999999998"/>
    <n v="5.65"/>
    <x v="1001"/>
    <n v="3.05"/>
    <n v="5.0199999999999996"/>
    <n v="8.07"/>
    <n v="37.79"/>
    <n v="31.1"/>
    <x v="61"/>
    <n v="30.119999999999997"/>
    <x v="3"/>
    <n v="0.31102850061957865"/>
  </r>
  <r>
    <x v="2"/>
    <x v="24"/>
    <n v="7.7533333329999996"/>
    <n v="7.4"/>
    <x v="1002"/>
    <n v="4.59"/>
    <n v="3.46"/>
    <n v="8.0500000000000007"/>
    <n v="57.02"/>
    <n v="96.31"/>
    <x v="61"/>
    <n v="93.039999995999992"/>
    <x v="5"/>
    <n v="0.96314699788819857"/>
  </r>
  <r>
    <x v="2"/>
    <x v="25"/>
    <n v="6.6666666670000003"/>
    <n v="4.3899999999999997"/>
    <x v="1003"/>
    <n v="5.81"/>
    <n v="2.29"/>
    <n v="8.1"/>
    <n v="71.73"/>
    <n v="82.3"/>
    <x v="61"/>
    <n v="80.000000004"/>
    <x v="2"/>
    <n v="0.82304526753086427"/>
  </r>
  <r>
    <x v="2"/>
    <x v="26"/>
    <n v="2.41"/>
    <n v="2.98"/>
    <x v="1004"/>
    <n v="2.98"/>
    <n v="5.08"/>
    <n v="8.06"/>
    <n v="36.97"/>
    <n v="29.9"/>
    <x v="61"/>
    <n v="28.920000000000005"/>
    <x v="3"/>
    <n v="0.29900744416873448"/>
  </r>
  <r>
    <x v="2"/>
    <x v="27"/>
    <n v="12.463333329999999"/>
    <n v="7.96"/>
    <x v="1005"/>
    <n v="4.5999999999999996"/>
    <n v="3.46"/>
    <n v="8.06"/>
    <n v="57.07"/>
    <n v="154.63"/>
    <x v="61"/>
    <n v="149.55999995999997"/>
    <x v="5"/>
    <n v="1.5463192717121585"/>
  </r>
  <r>
    <x v="2"/>
    <x v="29"/>
    <n v="6.2433333329999998"/>
    <n v="5.88"/>
    <x v="1006"/>
    <n v="4.38"/>
    <n v="3.68"/>
    <n v="8.06"/>
    <n v="54.34"/>
    <n v="77.459999999999994"/>
    <x v="61"/>
    <n v="74.919999996000001"/>
    <x v="5"/>
    <n v="0.77460711327543419"/>
  </r>
  <r>
    <x v="2"/>
    <x v="30"/>
    <n v="7.6666666670000003"/>
    <n v="5.4"/>
    <x v="1007"/>
    <n v="5.75"/>
    <n v="2.3199999999999998"/>
    <n v="8.07"/>
    <n v="71.25"/>
    <n v="95"/>
    <x v="61"/>
    <n v="92.000000004"/>
    <x v="5"/>
    <n v="0.95002065266418834"/>
  </r>
  <r>
    <x v="2"/>
    <x v="31"/>
    <n v="6.5266666669999998"/>
    <n v="4.99"/>
    <x v="1008"/>
    <n v="3.88"/>
    <n v="4.18"/>
    <n v="8.06"/>
    <n v="48.14"/>
    <n v="80.98"/>
    <x v="61"/>
    <n v="78.320000003999994"/>
    <x v="2"/>
    <n v="0.80976013238213396"/>
  </r>
  <r>
    <x v="2"/>
    <x v="32"/>
    <n v="0"/>
    <n v="0"/>
    <x v="0"/>
    <n v="0"/>
    <n v="0"/>
    <n v="0"/>
    <n v="0"/>
    <n v="0"/>
    <x v="61"/>
    <n v="0"/>
    <x v="3"/>
    <n v="0"/>
  </r>
  <r>
    <x v="2"/>
    <x v="33"/>
    <n v="0"/>
    <n v="0"/>
    <x v="0"/>
    <n v="0"/>
    <n v="0"/>
    <n v="0"/>
    <n v="0"/>
    <n v="0"/>
    <x v="61"/>
    <n v="0"/>
    <x v="3"/>
    <n v="0"/>
  </r>
  <r>
    <x v="2"/>
    <x v="35"/>
    <n v="0"/>
    <n v="0"/>
    <x v="0"/>
    <n v="0"/>
    <n v="0"/>
    <n v="0"/>
    <n v="0"/>
    <n v="0"/>
    <x v="61"/>
    <n v="0"/>
    <x v="2"/>
    <n v="0"/>
  </r>
  <r>
    <x v="2"/>
    <x v="37"/>
    <n v="0"/>
    <n v="0"/>
    <x v="0"/>
    <n v="0"/>
    <n v="0"/>
    <n v="0"/>
    <n v="0"/>
    <n v="0"/>
    <x v="61"/>
    <n v="0"/>
    <x v="4"/>
    <n v="0"/>
  </r>
  <r>
    <x v="2"/>
    <x v="39"/>
    <n v="4.1666666670000003"/>
    <n v="1.95"/>
    <x v="1009"/>
    <n v="5.01"/>
    <n v="3.05"/>
    <n v="8.06"/>
    <n v="62.16"/>
    <n v="51.7"/>
    <x v="61"/>
    <n v="50.000000004"/>
    <x v="2"/>
    <n v="0.51695616215880891"/>
  </r>
  <r>
    <x v="2"/>
    <x v="41"/>
    <n v="0"/>
    <n v="0"/>
    <x v="0"/>
    <n v="0"/>
    <n v="0"/>
    <n v="0"/>
    <n v="0"/>
    <n v="0"/>
    <x v="61"/>
    <n v="0"/>
    <x v="5"/>
    <n v="0"/>
  </r>
  <r>
    <x v="2"/>
    <x v="42"/>
    <n v="5.9766666669999999"/>
    <n v="5.6"/>
    <x v="1010"/>
    <n v="5.32"/>
    <n v="2.76"/>
    <n v="8.08"/>
    <n v="65.84"/>
    <n v="73.97"/>
    <x v="61"/>
    <n v="71.720000003999999"/>
    <x v="2"/>
    <n v="0.73968646868811883"/>
  </r>
  <r>
    <x v="2"/>
    <x v="43"/>
    <n v="2.1"/>
    <n v="3.12"/>
    <x v="1011"/>
    <n v="3.12"/>
    <n v="4.95"/>
    <n v="8.07"/>
    <n v="38.659999999999997"/>
    <n v="26.02"/>
    <x v="61"/>
    <n v="25.2"/>
    <x v="3"/>
    <n v="0.26022304832713755"/>
  </r>
  <r>
    <x v="2"/>
    <x v="45"/>
    <n v="2.3199999999999998"/>
    <n v="3.21"/>
    <x v="1012"/>
    <n v="3.21"/>
    <n v="4.8600000000000003"/>
    <n v="8.07"/>
    <n v="39.78"/>
    <n v="28.75"/>
    <x v="61"/>
    <n v="27.839999999999996"/>
    <x v="4"/>
    <n v="0.28748451053283763"/>
  </r>
  <r>
    <x v="2"/>
    <x v="46"/>
    <n v="0"/>
    <n v="0"/>
    <x v="0"/>
    <n v="0"/>
    <n v="0"/>
    <n v="0"/>
    <n v="0"/>
    <n v="0"/>
    <x v="61"/>
    <n v="0"/>
    <x v="4"/>
    <n v="0"/>
  </r>
  <r>
    <x v="2"/>
    <x v="47"/>
    <n v="10.91666667"/>
    <n v="6.65"/>
    <x v="1013"/>
    <n v="5.28"/>
    <n v="2.79"/>
    <n v="8.07"/>
    <n v="65.430000000000007"/>
    <n v="135.27000000000001"/>
    <x v="61"/>
    <n v="131.00000003999997"/>
    <x v="5"/>
    <n v="1.3527467992565054"/>
  </r>
  <r>
    <x v="2"/>
    <x v="48"/>
    <n v="0"/>
    <n v="0"/>
    <x v="0"/>
    <n v="0"/>
    <n v="0"/>
    <n v="0"/>
    <n v="0"/>
    <n v="0"/>
    <x v="61"/>
    <n v="0"/>
    <x v="6"/>
    <n v="0"/>
  </r>
  <r>
    <x v="2"/>
    <x v="49"/>
    <n v="5.93"/>
    <n v="5.89"/>
    <x v="1014"/>
    <n v="4.2300000000000004"/>
    <n v="3.82"/>
    <n v="8.0500000000000007"/>
    <n v="52.55"/>
    <n v="73.66"/>
    <x v="61"/>
    <n v="71.16"/>
    <x v="3"/>
    <n v="0.73664596273291916"/>
  </r>
  <r>
    <x v="2"/>
    <x v="50"/>
    <n v="1.9166666670000001"/>
    <n v="4.6900000000000004"/>
    <x v="1015"/>
    <n v="7.48"/>
    <n v="0.57999999999999996"/>
    <n v="8.06"/>
    <n v="92.8"/>
    <n v="23.78"/>
    <x v="61"/>
    <n v="23.000000004"/>
    <x v="4"/>
    <n v="0.23779983461538462"/>
  </r>
  <r>
    <x v="0"/>
    <x v="0"/>
    <n v="0"/>
    <n v="0"/>
    <x v="0"/>
    <n v="0"/>
    <n v="0"/>
    <n v="0"/>
    <n v="0"/>
    <n v="0"/>
    <x v="62"/>
    <n v="0"/>
    <x v="0"/>
    <n v="0"/>
  </r>
  <r>
    <x v="0"/>
    <x v="1"/>
    <n v="0"/>
    <n v="0"/>
    <x v="0"/>
    <n v="0"/>
    <n v="0"/>
    <n v="0"/>
    <n v="0"/>
    <n v="0"/>
    <x v="62"/>
    <n v="0"/>
    <x v="0"/>
    <n v="0"/>
  </r>
  <r>
    <x v="0"/>
    <x v="2"/>
    <n v="0"/>
    <n v="0"/>
    <x v="0"/>
    <n v="0"/>
    <n v="0"/>
    <n v="0"/>
    <n v="0"/>
    <n v="0"/>
    <x v="62"/>
    <n v="0"/>
    <x v="0"/>
    <n v="0"/>
  </r>
  <r>
    <x v="0"/>
    <x v="3"/>
    <n v="0"/>
    <n v="0"/>
    <x v="0"/>
    <n v="0"/>
    <n v="0"/>
    <n v="0"/>
    <n v="0"/>
    <n v="0"/>
    <x v="62"/>
    <n v="0"/>
    <x v="0"/>
    <n v="0"/>
  </r>
  <r>
    <x v="0"/>
    <x v="4"/>
    <n v="0"/>
    <n v="0"/>
    <x v="0"/>
    <n v="0"/>
    <n v="0"/>
    <n v="0"/>
    <n v="0"/>
    <n v="0"/>
    <x v="62"/>
    <n v="0"/>
    <x v="0"/>
    <n v="0"/>
  </r>
  <r>
    <x v="0"/>
    <x v="5"/>
    <n v="0"/>
    <n v="0"/>
    <x v="0"/>
    <n v="0"/>
    <n v="0"/>
    <n v="0"/>
    <n v="0"/>
    <n v="0"/>
    <x v="62"/>
    <n v="0"/>
    <x v="0"/>
    <n v="0"/>
  </r>
  <r>
    <x v="0"/>
    <x v="6"/>
    <n v="0"/>
    <n v="0"/>
    <x v="0"/>
    <n v="0"/>
    <n v="0"/>
    <n v="0"/>
    <n v="0"/>
    <n v="0"/>
    <x v="62"/>
    <n v="0"/>
    <x v="0"/>
    <n v="0"/>
  </r>
  <r>
    <x v="0"/>
    <x v="7"/>
    <n v="0"/>
    <n v="0"/>
    <x v="0"/>
    <n v="0"/>
    <n v="0"/>
    <n v="0"/>
    <n v="0"/>
    <n v="0"/>
    <x v="62"/>
    <n v="0"/>
    <x v="0"/>
    <n v="0"/>
  </r>
  <r>
    <x v="0"/>
    <x v="8"/>
    <n v="0"/>
    <n v="0"/>
    <x v="0"/>
    <n v="0"/>
    <n v="0"/>
    <n v="0"/>
    <n v="0"/>
    <n v="0"/>
    <x v="62"/>
    <n v="0"/>
    <x v="0"/>
    <n v="0"/>
  </r>
  <r>
    <x v="1"/>
    <x v="9"/>
    <n v="0"/>
    <n v="0"/>
    <x v="0"/>
    <n v="0"/>
    <n v="0"/>
    <n v="0"/>
    <n v="0"/>
    <n v="0"/>
    <x v="62"/>
    <n v="0"/>
    <x v="1"/>
    <n v="0"/>
  </r>
  <r>
    <x v="1"/>
    <x v="10"/>
    <n v="0"/>
    <n v="0"/>
    <x v="0"/>
    <n v="0"/>
    <n v="0"/>
    <n v="0"/>
    <n v="0"/>
    <n v="0"/>
    <x v="62"/>
    <n v="0"/>
    <x v="1"/>
    <n v="0"/>
  </r>
  <r>
    <x v="1"/>
    <x v="11"/>
    <n v="0"/>
    <n v="0"/>
    <x v="0"/>
    <n v="0"/>
    <n v="0"/>
    <n v="0"/>
    <n v="0"/>
    <n v="0"/>
    <x v="62"/>
    <n v="0"/>
    <x v="1"/>
    <n v="0"/>
  </r>
  <r>
    <x v="1"/>
    <x v="12"/>
    <n v="0"/>
    <n v="0"/>
    <x v="0"/>
    <n v="0"/>
    <n v="0"/>
    <n v="0"/>
    <n v="0"/>
    <n v="0"/>
    <x v="62"/>
    <n v="0"/>
    <x v="1"/>
    <n v="0"/>
  </r>
  <r>
    <x v="1"/>
    <x v="13"/>
    <n v="0"/>
    <n v="0"/>
    <x v="0"/>
    <n v="0"/>
    <n v="0"/>
    <n v="0"/>
    <n v="0"/>
    <n v="0"/>
    <x v="62"/>
    <n v="0"/>
    <x v="1"/>
    <n v="0"/>
  </r>
  <r>
    <x v="2"/>
    <x v="14"/>
    <n v="0"/>
    <n v="0"/>
    <x v="0"/>
    <n v="0"/>
    <n v="0"/>
    <n v="0"/>
    <n v="0"/>
    <n v="0"/>
    <x v="62"/>
    <n v="0"/>
    <x v="2"/>
    <n v="0"/>
  </r>
  <r>
    <x v="2"/>
    <x v="15"/>
    <n v="0"/>
    <n v="0"/>
    <x v="0"/>
    <n v="0"/>
    <n v="0"/>
    <n v="0"/>
    <n v="0"/>
    <n v="0"/>
    <x v="62"/>
    <n v="0"/>
    <x v="3"/>
    <n v="0"/>
  </r>
  <r>
    <x v="2"/>
    <x v="16"/>
    <n v="0"/>
    <n v="0"/>
    <x v="0"/>
    <n v="0"/>
    <n v="0"/>
    <n v="0"/>
    <n v="0"/>
    <n v="0"/>
    <x v="62"/>
    <n v="0"/>
    <x v="4"/>
    <n v="0"/>
  </r>
  <r>
    <x v="2"/>
    <x v="17"/>
    <n v="0"/>
    <n v="0"/>
    <x v="0"/>
    <n v="0"/>
    <n v="0"/>
    <n v="0"/>
    <n v="0"/>
    <n v="0"/>
    <x v="62"/>
    <n v="0"/>
    <x v="3"/>
    <n v="0"/>
  </r>
  <r>
    <x v="2"/>
    <x v="18"/>
    <n v="0"/>
    <n v="0"/>
    <x v="0"/>
    <n v="0"/>
    <n v="0"/>
    <n v="0"/>
    <n v="0"/>
    <n v="0"/>
    <x v="62"/>
    <n v="0"/>
    <x v="3"/>
    <n v="0"/>
  </r>
  <r>
    <x v="2"/>
    <x v="19"/>
    <n v="0"/>
    <n v="0"/>
    <x v="0"/>
    <n v="0"/>
    <n v="0"/>
    <n v="0"/>
    <n v="0"/>
    <n v="0"/>
    <x v="62"/>
    <n v="0"/>
    <x v="2"/>
    <n v="0"/>
  </r>
  <r>
    <x v="2"/>
    <x v="20"/>
    <n v="0"/>
    <n v="0"/>
    <x v="0"/>
    <n v="0"/>
    <n v="0"/>
    <n v="0"/>
    <n v="0"/>
    <n v="0"/>
    <x v="62"/>
    <n v="0"/>
    <x v="5"/>
    <n v="0"/>
  </r>
  <r>
    <x v="2"/>
    <x v="21"/>
    <n v="0"/>
    <n v="0"/>
    <x v="0"/>
    <n v="0"/>
    <n v="0"/>
    <n v="0"/>
    <n v="0"/>
    <n v="0"/>
    <x v="62"/>
    <n v="0"/>
    <x v="2"/>
    <n v="0"/>
  </r>
  <r>
    <x v="2"/>
    <x v="22"/>
    <n v="0"/>
    <n v="0"/>
    <x v="0"/>
    <n v="0"/>
    <n v="0"/>
    <n v="0"/>
    <n v="0"/>
    <n v="0"/>
    <x v="62"/>
    <n v="0"/>
    <x v="4"/>
    <n v="0"/>
  </r>
  <r>
    <x v="2"/>
    <x v="23"/>
    <n v="0"/>
    <n v="0"/>
    <x v="0"/>
    <n v="0"/>
    <n v="0"/>
    <n v="0"/>
    <n v="0"/>
    <n v="0"/>
    <x v="62"/>
    <n v="0"/>
    <x v="3"/>
    <n v="0"/>
  </r>
  <r>
    <x v="2"/>
    <x v="24"/>
    <n v="0"/>
    <n v="0"/>
    <x v="0"/>
    <n v="0"/>
    <n v="0"/>
    <n v="0"/>
    <n v="0"/>
    <n v="0"/>
    <x v="62"/>
    <n v="0"/>
    <x v="5"/>
    <n v="0"/>
  </r>
  <r>
    <x v="2"/>
    <x v="25"/>
    <n v="0"/>
    <n v="0"/>
    <x v="0"/>
    <n v="0"/>
    <n v="0"/>
    <n v="0"/>
    <n v="0"/>
    <n v="0"/>
    <x v="62"/>
    <n v="0"/>
    <x v="2"/>
    <n v="0"/>
  </r>
  <r>
    <x v="2"/>
    <x v="26"/>
    <n v="0"/>
    <n v="0"/>
    <x v="0"/>
    <n v="0"/>
    <n v="0"/>
    <n v="0"/>
    <n v="0"/>
    <n v="0"/>
    <x v="62"/>
    <n v="0"/>
    <x v="3"/>
    <n v="0"/>
  </r>
  <r>
    <x v="2"/>
    <x v="27"/>
    <n v="0"/>
    <n v="0"/>
    <x v="0"/>
    <n v="0"/>
    <n v="0"/>
    <n v="0"/>
    <n v="0"/>
    <n v="0"/>
    <x v="62"/>
    <n v="0"/>
    <x v="5"/>
    <n v="0"/>
  </r>
  <r>
    <x v="2"/>
    <x v="29"/>
    <n v="0"/>
    <n v="0"/>
    <x v="0"/>
    <n v="0"/>
    <n v="0"/>
    <n v="0"/>
    <n v="0"/>
    <n v="0"/>
    <x v="62"/>
    <n v="0"/>
    <x v="5"/>
    <n v="0"/>
  </r>
  <r>
    <x v="2"/>
    <x v="30"/>
    <n v="0"/>
    <n v="0"/>
    <x v="0"/>
    <n v="0"/>
    <n v="0"/>
    <n v="0"/>
    <n v="0"/>
    <n v="0"/>
    <x v="62"/>
    <n v="0"/>
    <x v="5"/>
    <n v="0"/>
  </r>
  <r>
    <x v="2"/>
    <x v="31"/>
    <n v="0"/>
    <n v="0"/>
    <x v="0"/>
    <n v="0"/>
    <n v="0"/>
    <n v="0"/>
    <n v="0"/>
    <n v="0"/>
    <x v="62"/>
    <n v="0"/>
    <x v="2"/>
    <n v="0"/>
  </r>
  <r>
    <x v="2"/>
    <x v="32"/>
    <n v="0"/>
    <n v="0"/>
    <x v="0"/>
    <n v="0"/>
    <n v="0"/>
    <n v="0"/>
    <n v="0"/>
    <n v="0"/>
    <x v="62"/>
    <n v="0"/>
    <x v="3"/>
    <n v="0"/>
  </r>
  <r>
    <x v="2"/>
    <x v="33"/>
    <n v="0"/>
    <n v="0"/>
    <x v="0"/>
    <n v="0"/>
    <n v="0"/>
    <n v="0"/>
    <n v="0"/>
    <n v="0"/>
    <x v="62"/>
    <n v="0"/>
    <x v="3"/>
    <n v="0"/>
  </r>
  <r>
    <x v="2"/>
    <x v="34"/>
    <n v="0"/>
    <n v="0"/>
    <x v="0"/>
    <n v="0"/>
    <n v="0"/>
    <n v="0"/>
    <n v="0"/>
    <n v="0"/>
    <x v="62"/>
    <n v="0"/>
    <x v="4"/>
    <n v="0"/>
  </r>
  <r>
    <x v="2"/>
    <x v="35"/>
    <n v="0"/>
    <n v="0"/>
    <x v="0"/>
    <n v="0"/>
    <n v="0"/>
    <n v="0"/>
    <n v="0"/>
    <n v="0"/>
    <x v="62"/>
    <n v="0"/>
    <x v="2"/>
    <n v="0"/>
  </r>
  <r>
    <x v="2"/>
    <x v="36"/>
    <n v="0"/>
    <n v="0"/>
    <x v="0"/>
    <n v="0"/>
    <n v="0"/>
    <n v="0"/>
    <n v="0"/>
    <n v="0"/>
    <x v="62"/>
    <n v="0"/>
    <x v="4"/>
    <n v="0"/>
  </r>
  <r>
    <x v="2"/>
    <x v="37"/>
    <n v="0"/>
    <n v="0"/>
    <x v="0"/>
    <n v="0"/>
    <n v="0"/>
    <n v="0"/>
    <n v="0"/>
    <n v="0"/>
    <x v="62"/>
    <n v="0"/>
    <x v="4"/>
    <n v="0"/>
  </r>
  <r>
    <x v="2"/>
    <x v="38"/>
    <n v="0"/>
    <n v="0"/>
    <x v="0"/>
    <n v="0"/>
    <n v="0"/>
    <n v="0"/>
    <n v="0"/>
    <n v="0"/>
    <x v="62"/>
    <n v="0"/>
    <x v="2"/>
    <n v="0"/>
  </r>
  <r>
    <x v="2"/>
    <x v="39"/>
    <n v="0"/>
    <n v="0"/>
    <x v="0"/>
    <n v="0"/>
    <n v="0"/>
    <n v="0"/>
    <n v="0"/>
    <n v="0"/>
    <x v="62"/>
    <n v="0"/>
    <x v="2"/>
    <n v="0"/>
  </r>
  <r>
    <x v="2"/>
    <x v="40"/>
    <n v="0"/>
    <n v="0"/>
    <x v="0"/>
    <n v="0"/>
    <n v="0"/>
    <n v="0"/>
    <n v="0"/>
    <n v="0"/>
    <x v="62"/>
    <n v="0"/>
    <x v="3"/>
    <n v="0"/>
  </r>
  <r>
    <x v="2"/>
    <x v="41"/>
    <n v="0"/>
    <n v="0"/>
    <x v="0"/>
    <n v="0"/>
    <n v="0"/>
    <n v="0"/>
    <n v="0"/>
    <n v="0"/>
    <x v="62"/>
    <n v="0"/>
    <x v="5"/>
    <n v="0"/>
  </r>
  <r>
    <x v="2"/>
    <x v="42"/>
    <n v="0"/>
    <n v="0"/>
    <x v="0"/>
    <n v="0"/>
    <n v="0"/>
    <n v="0"/>
    <n v="0"/>
    <n v="0"/>
    <x v="62"/>
    <n v="0"/>
    <x v="2"/>
    <n v="0"/>
  </r>
  <r>
    <x v="2"/>
    <x v="43"/>
    <n v="0"/>
    <n v="0"/>
    <x v="0"/>
    <n v="0"/>
    <n v="0"/>
    <n v="0"/>
    <n v="0"/>
    <n v="0"/>
    <x v="62"/>
    <n v="0"/>
    <x v="3"/>
    <n v="0"/>
  </r>
  <r>
    <x v="2"/>
    <x v="44"/>
    <n v="0"/>
    <n v="0"/>
    <x v="0"/>
    <n v="0"/>
    <n v="0"/>
    <n v="0"/>
    <n v="0"/>
    <n v="0"/>
    <x v="62"/>
    <n v="0"/>
    <x v="3"/>
    <n v="0"/>
  </r>
  <r>
    <x v="2"/>
    <x v="45"/>
    <n v="0"/>
    <n v="0"/>
    <x v="0"/>
    <n v="0"/>
    <n v="0"/>
    <n v="0"/>
    <n v="0"/>
    <n v="0"/>
    <x v="62"/>
    <n v="0"/>
    <x v="4"/>
    <n v="0"/>
  </r>
  <r>
    <x v="2"/>
    <x v="46"/>
    <n v="0"/>
    <n v="0"/>
    <x v="0"/>
    <n v="0"/>
    <n v="0"/>
    <n v="0"/>
    <n v="0"/>
    <n v="0"/>
    <x v="62"/>
    <n v="0"/>
    <x v="4"/>
    <n v="0"/>
  </r>
  <r>
    <x v="2"/>
    <x v="47"/>
    <n v="0"/>
    <n v="0"/>
    <x v="0"/>
    <n v="0"/>
    <n v="0"/>
    <n v="0"/>
    <n v="0"/>
    <n v="0"/>
    <x v="62"/>
    <n v="0"/>
    <x v="5"/>
    <n v="0"/>
  </r>
  <r>
    <x v="2"/>
    <x v="48"/>
    <n v="0"/>
    <n v="0"/>
    <x v="0"/>
    <n v="0"/>
    <n v="0"/>
    <n v="0"/>
    <n v="0"/>
    <n v="0"/>
    <x v="62"/>
    <n v="0"/>
    <x v="6"/>
    <n v="0"/>
  </r>
  <r>
    <x v="2"/>
    <x v="49"/>
    <n v="0"/>
    <n v="0"/>
    <x v="0"/>
    <n v="0"/>
    <n v="0"/>
    <n v="0"/>
    <n v="0"/>
    <n v="0"/>
    <x v="62"/>
    <n v="0"/>
    <x v="3"/>
    <n v="0"/>
  </r>
  <r>
    <x v="2"/>
    <x v="50"/>
    <n v="0"/>
    <n v="0"/>
    <x v="0"/>
    <n v="0"/>
    <n v="0"/>
    <n v="0"/>
    <n v="0"/>
    <n v="0"/>
    <x v="62"/>
    <n v="0"/>
    <x v="4"/>
    <n v="0"/>
  </r>
  <r>
    <x v="0"/>
    <x v="1"/>
    <n v="0"/>
    <n v="0"/>
    <x v="0"/>
    <n v="7.62"/>
    <n v="0.23"/>
    <n v="7.85"/>
    <n v="97.07"/>
    <n v="0"/>
    <x v="63"/>
    <n v="0"/>
    <x v="0"/>
    <n v="0"/>
  </r>
  <r>
    <x v="0"/>
    <x v="2"/>
    <n v="0"/>
    <n v="0"/>
    <x v="0"/>
    <n v="7.62"/>
    <n v="0.23"/>
    <n v="7.85"/>
    <n v="97.07"/>
    <n v="0"/>
    <x v="63"/>
    <n v="0"/>
    <x v="0"/>
    <n v="0"/>
  </r>
  <r>
    <x v="0"/>
    <x v="4"/>
    <n v="1.96"/>
    <n v="2.73"/>
    <x v="1016"/>
    <n v="7.63"/>
    <n v="0.22"/>
    <n v="7.85"/>
    <n v="97.2"/>
    <n v="24.97"/>
    <x v="63"/>
    <n v="23.52"/>
    <x v="0"/>
    <n v="0.24968152866242038"/>
  </r>
  <r>
    <x v="0"/>
    <x v="5"/>
    <n v="0"/>
    <n v="0"/>
    <x v="0"/>
    <n v="7.6"/>
    <n v="0.24"/>
    <n v="7.84"/>
    <n v="96.94"/>
    <n v="0"/>
    <x v="63"/>
    <n v="0"/>
    <x v="0"/>
    <n v="0"/>
  </r>
  <r>
    <x v="0"/>
    <x v="6"/>
    <n v="1.96"/>
    <n v="2.73"/>
    <x v="1016"/>
    <n v="7.63"/>
    <n v="0.22"/>
    <n v="7.85"/>
    <n v="97.2"/>
    <n v="24.97"/>
    <x v="63"/>
    <n v="23.52"/>
    <x v="0"/>
    <n v="0.24968152866242038"/>
  </r>
  <r>
    <x v="0"/>
    <x v="7"/>
    <n v="1.96"/>
    <n v="4.5999999999999996"/>
    <x v="1017"/>
    <n v="7.52"/>
    <n v="0.33"/>
    <n v="7.85"/>
    <n v="95.8"/>
    <n v="24.97"/>
    <x v="63"/>
    <n v="23.52"/>
    <x v="0"/>
    <n v="0.24968152866242038"/>
  </r>
  <r>
    <x v="0"/>
    <x v="8"/>
    <n v="1.96"/>
    <n v="3.15"/>
    <x v="1018"/>
    <n v="7.55"/>
    <n v="0.31"/>
    <n v="7.86"/>
    <n v="96.06"/>
    <n v="24.94"/>
    <x v="63"/>
    <n v="23.52"/>
    <x v="0"/>
    <n v="0.24936386768447835"/>
  </r>
  <r>
    <x v="1"/>
    <x v="9"/>
    <n v="0"/>
    <n v="0"/>
    <x v="0"/>
    <n v="5.84"/>
    <n v="2.02"/>
    <n v="7.86"/>
    <n v="74.3"/>
    <n v="0"/>
    <x v="63"/>
    <n v="0"/>
    <x v="1"/>
    <n v="0"/>
  </r>
  <r>
    <x v="1"/>
    <x v="10"/>
    <n v="2.75"/>
    <n v="1.56"/>
    <x v="1019"/>
    <n v="8.33"/>
    <n v="2.5299999999999998"/>
    <n v="10.86"/>
    <n v="76.7"/>
    <n v="25.32"/>
    <x v="63"/>
    <n v="33"/>
    <x v="1"/>
    <n v="0.25322283609576429"/>
  </r>
  <r>
    <x v="1"/>
    <x v="11"/>
    <n v="9.4466666670000006"/>
    <n v="4.3899999999999997"/>
    <x v="1020"/>
    <n v="4.97"/>
    <n v="3"/>
    <n v="7.97"/>
    <n v="62.36"/>
    <n v="118.53"/>
    <x v="63"/>
    <n v="113.36000000400001"/>
    <x v="1"/>
    <n v="1.1852781263488081"/>
  </r>
  <r>
    <x v="1"/>
    <x v="12"/>
    <n v="4.04"/>
    <n v="7.99"/>
    <x v="1021"/>
    <n v="5.85"/>
    <n v="3.56"/>
    <n v="9.41"/>
    <n v="62.17"/>
    <n v="42.93"/>
    <x v="63"/>
    <n v="48.480000000000004"/>
    <x v="1"/>
    <n v="0.42933049946865037"/>
  </r>
  <r>
    <x v="1"/>
    <x v="13"/>
    <n v="0.52"/>
    <n v="0.98"/>
    <x v="1022"/>
    <n v="6.94"/>
    <n v="2.4700000000000002"/>
    <n v="9.41"/>
    <n v="73.75"/>
    <n v="5.53"/>
    <x v="63"/>
    <n v="6.24"/>
    <x v="1"/>
    <n v="5.526036131774708E-2"/>
  </r>
  <r>
    <x v="2"/>
    <x v="14"/>
    <n v="11.5"/>
    <n v="5.0999999999999996"/>
    <x v="1023"/>
    <n v="7.07"/>
    <n v="0.92"/>
    <n v="7.99"/>
    <n v="88.49"/>
    <n v="143.93"/>
    <x v="63"/>
    <n v="138"/>
    <x v="2"/>
    <n v="1.4392991239048811"/>
  </r>
  <r>
    <x v="2"/>
    <x v="15"/>
    <n v="2.3333333330000001"/>
    <n v="5.31"/>
    <x v="1024"/>
    <n v="9.81"/>
    <n v="0.31"/>
    <n v="10.119999999999999"/>
    <n v="96.94"/>
    <n v="23.06"/>
    <x v="63"/>
    <n v="27.999999996000003"/>
    <x v="3"/>
    <n v="0.23056653488142295"/>
  </r>
  <r>
    <x v="2"/>
    <x v="16"/>
    <n v="2.09"/>
    <n v="3.65"/>
    <x v="1025"/>
    <n v="7.2"/>
    <n v="0.94"/>
    <n v="8.14"/>
    <n v="88.45"/>
    <n v="25.68"/>
    <x v="63"/>
    <n v="25.08"/>
    <x v="4"/>
    <n v="0.25675675675675674"/>
  </r>
  <r>
    <x v="2"/>
    <x v="17"/>
    <n v="0"/>
    <n v="0"/>
    <x v="0"/>
    <n v="6.45"/>
    <n v="3.66"/>
    <n v="10.11"/>
    <n v="63.8"/>
    <n v="0"/>
    <x v="63"/>
    <n v="0"/>
    <x v="3"/>
    <n v="0"/>
  </r>
  <r>
    <x v="2"/>
    <x v="18"/>
    <n v="1.3733333329999999"/>
    <n v="0.86"/>
    <x v="1026"/>
    <n v="6.7"/>
    <n v="1.42"/>
    <n v="8.1199999999999992"/>
    <n v="82.51"/>
    <n v="16.91"/>
    <x v="63"/>
    <n v="16.479999995999997"/>
    <x v="3"/>
    <n v="0.16912972081280789"/>
  </r>
  <r>
    <x v="2"/>
    <x v="20"/>
    <n v="4.2366666669999997"/>
    <n v="1.95"/>
    <x v="1027"/>
    <n v="7.56"/>
    <n v="1.04"/>
    <n v="8.6"/>
    <n v="87.91"/>
    <n v="49.26"/>
    <x v="63"/>
    <n v="50.840000003999997"/>
    <x v="5"/>
    <n v="0.49263565895348838"/>
  </r>
  <r>
    <x v="2"/>
    <x v="21"/>
    <n v="8.4766666669999999"/>
    <n v="6.76"/>
    <x v="1028"/>
    <n v="7.32"/>
    <n v="0.71"/>
    <n v="8.0299999999999994"/>
    <n v="91.16"/>
    <n v="105.56"/>
    <x v="63"/>
    <n v="101.720000004"/>
    <x v="2"/>
    <n v="1.0556247405977586"/>
  </r>
  <r>
    <x v="2"/>
    <x v="22"/>
    <n v="4.0833333329999997"/>
    <n v="3.98"/>
    <x v="1029"/>
    <n v="7.78"/>
    <n v="2.0099999999999998"/>
    <n v="9.7899999999999991"/>
    <n v="79.47"/>
    <n v="41.71"/>
    <x v="63"/>
    <n v="48.999999996"/>
    <x v="4"/>
    <n v="0.41709227099080692"/>
  </r>
  <r>
    <x v="2"/>
    <x v="23"/>
    <n v="0.25"/>
    <n v="1.3"/>
    <x v="1030"/>
    <n v="8.3800000000000008"/>
    <n v="1.74"/>
    <n v="10.119999999999999"/>
    <n v="82.81"/>
    <n v="2.4700000000000002"/>
    <x v="63"/>
    <n v="3"/>
    <x v="3"/>
    <n v="2.4703557312252968E-2"/>
  </r>
  <r>
    <x v="2"/>
    <x v="24"/>
    <n v="5.41"/>
    <n v="3.46"/>
    <x v="1031"/>
    <n v="7.28"/>
    <n v="0.6"/>
    <n v="7.88"/>
    <n v="92.39"/>
    <n v="68.650000000000006"/>
    <x v="63"/>
    <n v="64.92"/>
    <x v="5"/>
    <n v="0.68654822335025378"/>
  </r>
  <r>
    <x v="2"/>
    <x v="25"/>
    <n v="5.5066666670000002"/>
    <n v="4.05"/>
    <x v="1032"/>
    <n v="6.76"/>
    <n v="1.1399999999999999"/>
    <n v="7.9"/>
    <n v="85.57"/>
    <n v="69.7"/>
    <x v="63"/>
    <n v="66.080000003999999"/>
    <x v="2"/>
    <n v="0.69704641354430374"/>
  </r>
  <r>
    <x v="2"/>
    <x v="26"/>
    <n v="0"/>
    <n v="0"/>
    <x v="0"/>
    <n v="6.97"/>
    <n v="1.32"/>
    <n v="8.2899999999999991"/>
    <n v="84.08"/>
    <n v="0"/>
    <x v="63"/>
    <n v="0"/>
    <x v="3"/>
    <n v="0"/>
  </r>
  <r>
    <x v="2"/>
    <x v="27"/>
    <n v="8.1733333330000004"/>
    <n v="6.16"/>
    <x v="1033"/>
    <n v="7.25"/>
    <n v="0.63"/>
    <n v="7.88"/>
    <n v="92.01"/>
    <n v="103.72"/>
    <x v="63"/>
    <n v="98.079999995999998"/>
    <x v="5"/>
    <n v="1.0372250422588833"/>
  </r>
  <r>
    <x v="2"/>
    <x v="29"/>
    <n v="10.65666667"/>
    <n v="7.73"/>
    <x v="1034"/>
    <n v="6.88"/>
    <n v="1.01"/>
    <n v="7.89"/>
    <n v="87.2"/>
    <n v="135.07"/>
    <x v="63"/>
    <n v="127.88000004"/>
    <x v="5"/>
    <n v="1.3506548377693284"/>
  </r>
  <r>
    <x v="2"/>
    <x v="30"/>
    <n v="2.4166666669999999"/>
    <n v="2.89"/>
    <x v="1035"/>
    <n v="7.57"/>
    <n v="0.86"/>
    <n v="8.43"/>
    <n v="89.8"/>
    <n v="28.67"/>
    <x v="63"/>
    <n v="29.000000003999997"/>
    <x v="5"/>
    <n v="0.28667457497034399"/>
  </r>
  <r>
    <x v="2"/>
    <x v="31"/>
    <n v="8.25"/>
    <n v="6.36"/>
    <x v="1036"/>
    <n v="7.38"/>
    <n v="0.8"/>
    <n v="8.18"/>
    <n v="90.22"/>
    <n v="100.86"/>
    <x v="63"/>
    <n v="99"/>
    <x v="2"/>
    <n v="1.0085574572127141"/>
  </r>
  <r>
    <x v="2"/>
    <x v="32"/>
    <n v="1.6666666670000001"/>
    <n v="2.2400000000000002"/>
    <x v="731"/>
    <n v="8.06"/>
    <n v="2.06"/>
    <n v="10.119999999999999"/>
    <n v="79.64"/>
    <n v="16.47"/>
    <x v="63"/>
    <n v="20.000000004"/>
    <x v="3"/>
    <n v="0.16469038211462453"/>
  </r>
  <r>
    <x v="2"/>
    <x v="33"/>
    <n v="2.5833333330000001"/>
    <n v="3"/>
    <x v="1037"/>
    <n v="7.72"/>
    <n v="0.61"/>
    <n v="8.33"/>
    <n v="92.68"/>
    <n v="31.01"/>
    <x v="63"/>
    <n v="30.999999996000003"/>
    <x v="3"/>
    <n v="0.31012404957983192"/>
  </r>
  <r>
    <x v="2"/>
    <x v="34"/>
    <n v="4.3333333329999997"/>
    <n v="5.09"/>
    <x v="1038"/>
    <n v="7.06"/>
    <n v="3.16"/>
    <n v="10.220000000000001"/>
    <n v="69.08"/>
    <n v="42.4"/>
    <x v="63"/>
    <n v="51.999999996"/>
    <x v="4"/>
    <n v="0.42400521849315065"/>
  </r>
  <r>
    <x v="2"/>
    <x v="35"/>
    <n v="8.0833333330000006"/>
    <n v="4.7699999999999996"/>
    <x v="1039"/>
    <n v="9.67"/>
    <n v="0.86"/>
    <n v="10.53"/>
    <n v="91.83"/>
    <n v="76.760000000000005"/>
    <x v="63"/>
    <n v="96.999999996000014"/>
    <x v="2"/>
    <n v="0.76764798983855664"/>
  </r>
  <r>
    <x v="2"/>
    <x v="36"/>
    <n v="0"/>
    <n v="0"/>
    <x v="0"/>
    <n v="9.02"/>
    <n v="1.22"/>
    <n v="10.24"/>
    <n v="88.09"/>
    <n v="0"/>
    <x v="63"/>
    <n v="0"/>
    <x v="4"/>
    <n v="0"/>
  </r>
  <r>
    <x v="2"/>
    <x v="38"/>
    <n v="10.58333333"/>
    <n v="3.38"/>
    <x v="1040"/>
    <n v="5.08"/>
    <n v="0.83"/>
    <n v="5.91"/>
    <n v="85.96"/>
    <n v="179.08"/>
    <x v="63"/>
    <n v="126.99999996000001"/>
    <x v="2"/>
    <n v="1.7907501404399324"/>
  </r>
  <r>
    <x v="2"/>
    <x v="39"/>
    <n v="6.0833333329999997"/>
    <n v="5.3"/>
    <x v="1041"/>
    <n v="6.29"/>
    <n v="1.61"/>
    <n v="7.9"/>
    <n v="79.62"/>
    <n v="77"/>
    <x v="63"/>
    <n v="72.999999996"/>
    <x v="2"/>
    <n v="0.77004219405063279"/>
  </r>
  <r>
    <x v="2"/>
    <x v="40"/>
    <n v="0"/>
    <n v="0"/>
    <x v="0"/>
    <n v="7.44"/>
    <n v="0.71"/>
    <n v="8.15"/>
    <n v="91.29"/>
    <n v="0"/>
    <x v="63"/>
    <n v="0"/>
    <x v="3"/>
    <n v="0"/>
  </r>
  <r>
    <x v="2"/>
    <x v="41"/>
    <n v="4.38"/>
    <n v="5.36"/>
    <x v="1042"/>
    <n v="6.67"/>
    <n v="1.21"/>
    <n v="7.88"/>
    <n v="84.64"/>
    <n v="55.58"/>
    <x v="63"/>
    <n v="52.56"/>
    <x v="5"/>
    <n v="0.5558375634517766"/>
  </r>
  <r>
    <x v="2"/>
    <x v="42"/>
    <n v="6.75"/>
    <n v="7"/>
    <x v="1043"/>
    <n v="7.28"/>
    <n v="0.91"/>
    <n v="8.19"/>
    <n v="88.89"/>
    <n v="82.42"/>
    <x v="63"/>
    <n v="81"/>
    <x v="2"/>
    <n v="0.82417582417582425"/>
  </r>
  <r>
    <x v="2"/>
    <x v="44"/>
    <n v="0.91666666699999999"/>
    <n v="1.08"/>
    <x v="1044"/>
    <n v="7.36"/>
    <n v="1.02"/>
    <n v="8.3800000000000008"/>
    <n v="87.83"/>
    <n v="10.94"/>
    <x v="63"/>
    <n v="11.000000004"/>
    <x v="3"/>
    <n v="0.10938743042959426"/>
  </r>
  <r>
    <x v="2"/>
    <x v="45"/>
    <n v="0.91666666699999999"/>
    <n v="0.9"/>
    <x v="1045"/>
    <n v="4.3899999999999997"/>
    <n v="3.82"/>
    <n v="8.2100000000000009"/>
    <n v="53.47"/>
    <n v="11.17"/>
    <x v="63"/>
    <n v="11.000000004"/>
    <x v="4"/>
    <n v="0.11165245639464066"/>
  </r>
  <r>
    <x v="2"/>
    <x v="46"/>
    <n v="2.08"/>
    <n v="3.64"/>
    <x v="1046"/>
    <n v="7.2"/>
    <n v="0.94"/>
    <n v="8.14"/>
    <n v="88.45"/>
    <n v="25.55"/>
    <x v="63"/>
    <n v="24.96"/>
    <x v="4"/>
    <n v="0.25552825552825553"/>
  </r>
  <r>
    <x v="2"/>
    <x v="47"/>
    <n v="7.1433333330000002"/>
    <n v="6.06"/>
    <x v="1047"/>
    <n v="6.6"/>
    <n v="1.27"/>
    <n v="7.87"/>
    <n v="83.86"/>
    <n v="90.77"/>
    <x v="63"/>
    <n v="85.719999995999999"/>
    <x v="5"/>
    <n v="0.90766624307496824"/>
  </r>
  <r>
    <x v="2"/>
    <x v="48"/>
    <n v="0"/>
    <n v="0"/>
    <x v="0"/>
    <n v="0"/>
    <n v="0"/>
    <n v="0"/>
    <n v="0"/>
    <n v="0"/>
    <x v="63"/>
    <n v="0"/>
    <x v="6"/>
    <n v="0"/>
  </r>
  <r>
    <x v="0"/>
    <x v="0"/>
    <n v="0"/>
    <n v="0"/>
    <x v="0"/>
    <n v="6.9"/>
    <n v="1.1499999999999999"/>
    <n v="8.0500000000000007"/>
    <n v="85.71"/>
    <n v="0"/>
    <x v="64"/>
    <n v="0"/>
    <x v="0"/>
    <n v="0"/>
  </r>
  <r>
    <x v="0"/>
    <x v="1"/>
    <n v="1.31"/>
    <n v="3.98"/>
    <x v="1048"/>
    <n v="10.89"/>
    <n v="0.19"/>
    <n v="11.08"/>
    <n v="98.29"/>
    <n v="11.82"/>
    <x v="64"/>
    <n v="15.720000000000002"/>
    <x v="0"/>
    <n v="0.11823104693140794"/>
  </r>
  <r>
    <x v="0"/>
    <x v="2"/>
    <n v="1.31"/>
    <n v="3.98"/>
    <x v="1048"/>
    <n v="10.87"/>
    <n v="0.2"/>
    <n v="11.07"/>
    <n v="98.19"/>
    <n v="11.83"/>
    <x v="64"/>
    <n v="15.720000000000002"/>
    <x v="0"/>
    <n v="0.11833785004516711"/>
  </r>
  <r>
    <x v="0"/>
    <x v="3"/>
    <n v="0"/>
    <n v="0"/>
    <x v="0"/>
    <n v="6.97"/>
    <n v="1.1599999999999999"/>
    <n v="8.1300000000000008"/>
    <n v="85.73"/>
    <n v="0"/>
    <x v="64"/>
    <n v="0"/>
    <x v="0"/>
    <n v="0"/>
  </r>
  <r>
    <x v="0"/>
    <x v="4"/>
    <n v="0"/>
    <n v="0"/>
    <x v="0"/>
    <n v="10.85"/>
    <n v="0.17"/>
    <n v="11.02"/>
    <n v="98.46"/>
    <n v="0"/>
    <x v="64"/>
    <n v="0"/>
    <x v="0"/>
    <n v="0"/>
  </r>
  <r>
    <x v="0"/>
    <x v="5"/>
    <n v="1.31"/>
    <n v="3.98"/>
    <x v="1048"/>
    <n v="10.87"/>
    <n v="0.2"/>
    <n v="11.07"/>
    <n v="98.19"/>
    <n v="11.83"/>
    <x v="64"/>
    <n v="15.720000000000002"/>
    <x v="0"/>
    <n v="0.11833785004516711"/>
  </r>
  <r>
    <x v="0"/>
    <x v="6"/>
    <n v="0"/>
    <n v="0"/>
    <x v="0"/>
    <n v="10.85"/>
    <n v="0.17"/>
    <n v="11.02"/>
    <n v="98.46"/>
    <n v="0"/>
    <x v="64"/>
    <n v="0"/>
    <x v="0"/>
    <n v="0"/>
  </r>
  <r>
    <x v="0"/>
    <x v="7"/>
    <n v="0"/>
    <n v="0"/>
    <x v="0"/>
    <n v="10.39"/>
    <n v="0.71"/>
    <n v="11.1"/>
    <n v="93.6"/>
    <n v="0"/>
    <x v="64"/>
    <n v="0"/>
    <x v="0"/>
    <n v="0"/>
  </r>
  <r>
    <x v="0"/>
    <x v="8"/>
    <n v="0"/>
    <n v="0"/>
    <x v="0"/>
    <n v="6.93"/>
    <n v="1.1599999999999999"/>
    <n v="8.09"/>
    <n v="85.66"/>
    <n v="0"/>
    <x v="64"/>
    <n v="0"/>
    <x v="0"/>
    <n v="0"/>
  </r>
  <r>
    <x v="1"/>
    <x v="9"/>
    <n v="0"/>
    <n v="0"/>
    <x v="0"/>
    <n v="0"/>
    <n v="0"/>
    <n v="0"/>
    <n v="0"/>
    <n v="0"/>
    <x v="64"/>
    <n v="0"/>
    <x v="1"/>
    <n v="0"/>
  </r>
  <r>
    <x v="1"/>
    <x v="10"/>
    <n v="0"/>
    <n v="0"/>
    <x v="0"/>
    <n v="4.38"/>
    <n v="3.68"/>
    <n v="8.06"/>
    <n v="54.34"/>
    <n v="0"/>
    <x v="64"/>
    <n v="0"/>
    <x v="1"/>
    <n v="0"/>
  </r>
  <r>
    <x v="1"/>
    <x v="11"/>
    <n v="1.64"/>
    <n v="1.27"/>
    <x v="1049"/>
    <n v="6.62"/>
    <n v="1.45"/>
    <n v="8.07"/>
    <n v="82.03"/>
    <n v="20.32"/>
    <x v="64"/>
    <n v="19.68"/>
    <x v="1"/>
    <n v="0.20322180916976454"/>
  </r>
  <r>
    <x v="1"/>
    <x v="12"/>
    <n v="0.86"/>
    <n v="0.67"/>
    <x v="1050"/>
    <n v="6.04"/>
    <n v="2.0299999999999998"/>
    <n v="8.07"/>
    <n v="74.849999999999994"/>
    <n v="10.66"/>
    <x v="64"/>
    <n v="10.32"/>
    <x v="1"/>
    <n v="0.10656753407682776"/>
  </r>
  <r>
    <x v="1"/>
    <x v="13"/>
    <n v="0"/>
    <n v="0"/>
    <x v="0"/>
    <n v="6.05"/>
    <n v="2.02"/>
    <n v="8.07"/>
    <n v="74.97"/>
    <n v="0"/>
    <x v="64"/>
    <n v="0"/>
    <x v="1"/>
    <n v="0"/>
  </r>
  <r>
    <x v="2"/>
    <x v="14"/>
    <n v="9.5833333330000006"/>
    <n v="5.96"/>
    <x v="1051"/>
    <n v="6.94"/>
    <n v="1.4"/>
    <n v="8.34"/>
    <n v="83.21"/>
    <n v="114.91"/>
    <x v="64"/>
    <n v="114.999999996"/>
    <x v="2"/>
    <n v="1.1490807353717027"/>
  </r>
  <r>
    <x v="2"/>
    <x v="15"/>
    <n v="0"/>
    <n v="0"/>
    <x v="0"/>
    <n v="6.73"/>
    <n v="1.73"/>
    <n v="8.4600000000000009"/>
    <n v="79.55"/>
    <n v="0"/>
    <x v="64"/>
    <n v="0"/>
    <x v="3"/>
    <n v="0"/>
  </r>
  <r>
    <x v="2"/>
    <x v="17"/>
    <n v="0"/>
    <n v="0"/>
    <x v="0"/>
    <n v="6.48"/>
    <n v="3.82"/>
    <n v="10.3"/>
    <n v="62.91"/>
    <n v="0"/>
    <x v="64"/>
    <n v="0"/>
    <x v="3"/>
    <n v="0"/>
  </r>
  <r>
    <x v="2"/>
    <x v="19"/>
    <n v="16"/>
    <n v="6.92"/>
    <x v="1052"/>
    <n v="6.92"/>
    <n v="1.1499999999999999"/>
    <n v="8.07"/>
    <n v="85.75"/>
    <n v="198.27"/>
    <x v="64"/>
    <n v="192"/>
    <x v="2"/>
    <n v="1.9826517967781907"/>
  </r>
  <r>
    <x v="2"/>
    <x v="20"/>
    <n v="6.37"/>
    <n v="4.03"/>
    <x v="1053"/>
    <n v="7.59"/>
    <n v="0.62"/>
    <n v="8.2100000000000009"/>
    <n v="92.45"/>
    <n v="77.59"/>
    <x v="64"/>
    <n v="76.44"/>
    <x v="5"/>
    <n v="0.77588306942752738"/>
  </r>
  <r>
    <x v="2"/>
    <x v="21"/>
    <n v="5.33"/>
    <n v="4.59"/>
    <x v="1054"/>
    <n v="7.23"/>
    <n v="0.98"/>
    <n v="8.2100000000000009"/>
    <n v="88.06"/>
    <n v="64.92"/>
    <x v="64"/>
    <n v="63.96"/>
    <x v="2"/>
    <n v="0.64920828258221674"/>
  </r>
  <r>
    <x v="2"/>
    <x v="22"/>
    <n v="6.153333333"/>
    <n v="6.27"/>
    <x v="1055"/>
    <n v="8.3699999999999992"/>
    <n v="0.95"/>
    <n v="9.32"/>
    <n v="89.81"/>
    <n v="66.02"/>
    <x v="64"/>
    <n v="73.839999995999989"/>
    <x v="4"/>
    <n v="0.66022889839055787"/>
  </r>
  <r>
    <x v="2"/>
    <x v="23"/>
    <n v="0"/>
    <n v="0"/>
    <x v="0"/>
    <n v="0"/>
    <n v="0.15"/>
    <n v="0.15"/>
    <n v="0"/>
    <n v="0"/>
    <x v="64"/>
    <n v="0"/>
    <x v="3"/>
    <n v="0"/>
  </r>
  <r>
    <x v="2"/>
    <x v="25"/>
    <n v="10.99666667"/>
    <n v="6.91"/>
    <x v="1056"/>
    <n v="6.97"/>
    <n v="1.22"/>
    <n v="8.19"/>
    <n v="85.1"/>
    <n v="134.27000000000001"/>
    <x v="64"/>
    <n v="131.96000004000001"/>
    <x v="2"/>
    <n v="1.3426943431013432"/>
  </r>
  <r>
    <x v="2"/>
    <x v="31"/>
    <n v="10.25"/>
    <n v="7.4"/>
    <x v="1057"/>
    <n v="7.82"/>
    <n v="0.19"/>
    <n v="8.01"/>
    <n v="97.63"/>
    <n v="127.97"/>
    <x v="64"/>
    <n v="123"/>
    <x v="2"/>
    <n v="1.2796504369538078"/>
  </r>
  <r>
    <x v="2"/>
    <x v="32"/>
    <n v="0"/>
    <n v="0"/>
    <x v="0"/>
    <n v="9.3800000000000008"/>
    <n v="1.58"/>
    <n v="10.96"/>
    <n v="85.58"/>
    <n v="0"/>
    <x v="64"/>
    <n v="0"/>
    <x v="3"/>
    <n v="0"/>
  </r>
  <r>
    <x v="2"/>
    <x v="33"/>
    <n v="2.5"/>
    <n v="4.1500000000000004"/>
    <x v="536"/>
    <n v="3.36"/>
    <n v="5.03"/>
    <n v="8.39"/>
    <n v="40.049999999999997"/>
    <n v="29.8"/>
    <x v="64"/>
    <n v="30"/>
    <x v="3"/>
    <n v="0.29797377830750893"/>
  </r>
  <r>
    <x v="2"/>
    <x v="34"/>
    <n v="4.1666666670000003"/>
    <n v="3.81"/>
    <x v="1058"/>
    <n v="7.69"/>
    <n v="2.0699999999999998"/>
    <n v="9.76"/>
    <n v="78.790000000000006"/>
    <n v="42.69"/>
    <x v="64"/>
    <n v="50.000000004"/>
    <x v="4"/>
    <n v="0.426912568340164"/>
  </r>
  <r>
    <x v="2"/>
    <x v="35"/>
    <n v="10.41666667"/>
    <n v="9.48"/>
    <x v="1059"/>
    <n v="10.26"/>
    <n v="0.35"/>
    <n v="10.61"/>
    <n v="96.7"/>
    <n v="98.18"/>
    <x v="64"/>
    <n v="125.00000003999999"/>
    <x v="2"/>
    <n v="0.98177819698397739"/>
  </r>
  <r>
    <x v="2"/>
    <x v="37"/>
    <n v="0"/>
    <n v="0"/>
    <x v="0"/>
    <n v="7.58"/>
    <n v="2.16"/>
    <n v="9.74"/>
    <n v="77.819999999999993"/>
    <n v="0"/>
    <x v="64"/>
    <n v="0"/>
    <x v="4"/>
    <n v="0"/>
  </r>
  <r>
    <x v="2"/>
    <x v="38"/>
    <n v="12.66666667"/>
    <n v="6.32"/>
    <x v="1060"/>
    <n v="8.6199999999999992"/>
    <n v="1.81"/>
    <n v="10.43"/>
    <n v="82.65"/>
    <n v="121.44"/>
    <x v="64"/>
    <n v="152.00000003999997"/>
    <x v="2"/>
    <n v="1.2144455100671141"/>
  </r>
  <r>
    <x v="2"/>
    <x v="41"/>
    <n v="4.71"/>
    <n v="4.53"/>
    <x v="1061"/>
    <n v="5.99"/>
    <n v="2.15"/>
    <n v="8.14"/>
    <n v="73.59"/>
    <n v="57.86"/>
    <x v="64"/>
    <n v="56.52"/>
    <x v="5"/>
    <n v="0.57862407862407861"/>
  </r>
  <r>
    <x v="2"/>
    <x v="43"/>
    <n v="4.75"/>
    <n v="3.12"/>
    <x v="1062"/>
    <n v="7.25"/>
    <n v="3.06"/>
    <n v="10.31"/>
    <n v="70.319999999999993"/>
    <n v="46.07"/>
    <x v="64"/>
    <n v="57"/>
    <x v="3"/>
    <n v="0.46071774975751695"/>
  </r>
  <r>
    <x v="2"/>
    <x v="44"/>
    <n v="0"/>
    <n v="0"/>
    <x v="0"/>
    <n v="5.32"/>
    <n v="2.96"/>
    <n v="8.2799999999999994"/>
    <n v="64.25"/>
    <n v="0"/>
    <x v="64"/>
    <n v="0"/>
    <x v="3"/>
    <n v="0"/>
  </r>
  <r>
    <x v="2"/>
    <x v="45"/>
    <n v="1"/>
    <n v="0.67"/>
    <x v="711"/>
    <n v="6.42"/>
    <n v="1.69"/>
    <n v="8.11"/>
    <n v="79.16"/>
    <n v="12.33"/>
    <x v="64"/>
    <n v="12"/>
    <x v="4"/>
    <n v="0.12330456226880396"/>
  </r>
  <r>
    <x v="2"/>
    <x v="47"/>
    <n v="5.76"/>
    <n v="4.59"/>
    <x v="1063"/>
    <n v="7.54"/>
    <n v="0.61"/>
    <n v="8.15"/>
    <n v="92.52"/>
    <n v="70.67"/>
    <x v="64"/>
    <n v="69.11999999999999"/>
    <x v="5"/>
    <n v="0.70674846625766863"/>
  </r>
  <r>
    <x v="2"/>
    <x v="48"/>
    <n v="0"/>
    <n v="0"/>
    <x v="0"/>
    <n v="0"/>
    <n v="0"/>
    <n v="0"/>
    <n v="0"/>
    <n v="0"/>
    <x v="64"/>
    <n v="0"/>
    <x v="6"/>
    <n v="0"/>
  </r>
  <r>
    <x v="2"/>
    <x v="49"/>
    <n v="7.4166666670000003"/>
    <n v="6.61"/>
    <x v="1064"/>
    <n v="4.92"/>
    <n v="3.38"/>
    <n v="8.3000000000000007"/>
    <n v="59.28"/>
    <n v="89.36"/>
    <x v="64"/>
    <n v="89.000000004"/>
    <x v="3"/>
    <n v="0.89357429722891557"/>
  </r>
  <r>
    <x v="0"/>
    <x v="1"/>
    <n v="1.37"/>
    <n v="2.89"/>
    <x v="1065"/>
    <n v="11.34"/>
    <n v="0.08"/>
    <n v="11.42"/>
    <n v="99.3"/>
    <n v="12"/>
    <x v="65"/>
    <n v="16.440000000000001"/>
    <x v="0"/>
    <n v="0.11996497373029773"/>
  </r>
  <r>
    <x v="0"/>
    <x v="2"/>
    <n v="0.62"/>
    <n v="1.42"/>
    <x v="1066"/>
    <n v="11.34"/>
    <n v="0.08"/>
    <n v="11.42"/>
    <n v="99.3"/>
    <n v="5.43"/>
    <x v="65"/>
    <n v="7.44"/>
    <x v="0"/>
    <n v="5.4290718038528897E-2"/>
  </r>
  <r>
    <x v="0"/>
    <x v="4"/>
    <n v="3.9"/>
    <n v="9.4"/>
    <x v="1067"/>
    <n v="11.3"/>
    <n v="0.09"/>
    <n v="11.39"/>
    <n v="99.21"/>
    <n v="34.24"/>
    <x v="65"/>
    <n v="46.8"/>
    <x v="0"/>
    <n v="0.34240561896400351"/>
  </r>
  <r>
    <x v="0"/>
    <x v="5"/>
    <n v="0.62"/>
    <n v="1.42"/>
    <x v="1066"/>
    <n v="11.32"/>
    <n v="0.11"/>
    <n v="11.43"/>
    <n v="99.04"/>
    <n v="5.42"/>
    <x v="65"/>
    <n v="7.44"/>
    <x v="0"/>
    <n v="5.424321959755031E-2"/>
  </r>
  <r>
    <x v="0"/>
    <x v="6"/>
    <n v="3.9"/>
    <n v="9.4"/>
    <x v="1067"/>
    <n v="11.32"/>
    <n v="7.0000000000000007E-2"/>
    <n v="11.39"/>
    <n v="99.39"/>
    <n v="34.24"/>
    <x v="65"/>
    <n v="46.8"/>
    <x v="0"/>
    <n v="0.34240561896400351"/>
  </r>
  <r>
    <x v="0"/>
    <x v="8"/>
    <n v="1.3"/>
    <n v="3.55"/>
    <x v="1068"/>
    <n v="10.130000000000001"/>
    <n v="0.44"/>
    <n v="10.57"/>
    <n v="95.84"/>
    <n v="12.3"/>
    <x v="65"/>
    <n v="15.6"/>
    <x v="0"/>
    <n v="0.12298959318826869"/>
  </r>
  <r>
    <x v="1"/>
    <x v="10"/>
    <n v="7.3333333329999997"/>
    <n v="3.97"/>
    <x v="1069"/>
    <n v="6.52"/>
    <n v="3.45"/>
    <n v="9.9700000000000006"/>
    <n v="65.400000000000006"/>
    <n v="73.55"/>
    <x v="65"/>
    <n v="87.999999996"/>
    <x v="1"/>
    <n v="0.7355399531594784"/>
  </r>
  <r>
    <x v="1"/>
    <x v="12"/>
    <n v="3.3366666669999998"/>
    <n v="4.8600000000000003"/>
    <x v="1070"/>
    <n v="6.54"/>
    <n v="1.59"/>
    <n v="8.1300000000000008"/>
    <n v="80.44"/>
    <n v="41.04"/>
    <x v="65"/>
    <n v="40.040000003999992"/>
    <x v="1"/>
    <n v="0.41041410418204177"/>
  </r>
  <r>
    <x v="1"/>
    <x v="13"/>
    <n v="2.9466666670000001"/>
    <n v="5.8"/>
    <x v="1071"/>
    <n v="7.44"/>
    <n v="0.66"/>
    <n v="8.1"/>
    <n v="91.85"/>
    <n v="36.380000000000003"/>
    <x v="65"/>
    <n v="35.360000004"/>
    <x v="1"/>
    <n v="0.36378600827160495"/>
  </r>
  <r>
    <x v="2"/>
    <x v="14"/>
    <n v="15.5"/>
    <n v="5.97"/>
    <x v="1072"/>
    <n v="8.08"/>
    <n v="0.11"/>
    <n v="8.19"/>
    <n v="98.66"/>
    <n v="189.26"/>
    <x v="65"/>
    <n v="186"/>
    <x v="2"/>
    <n v="1.8925518925518927"/>
  </r>
  <r>
    <x v="2"/>
    <x v="16"/>
    <n v="5.24"/>
    <n v="4.74"/>
    <x v="1073"/>
    <n v="7.76"/>
    <n v="0.87"/>
    <n v="8.6300000000000008"/>
    <n v="89.92"/>
    <n v="60.72"/>
    <x v="65"/>
    <n v="62.88000000000001"/>
    <x v="4"/>
    <n v="0.6071842410196987"/>
  </r>
  <r>
    <x v="2"/>
    <x v="17"/>
    <n v="3.16"/>
    <n v="3.72"/>
    <x v="1074"/>
    <n v="8.23"/>
    <n v="1.83"/>
    <n v="10.06"/>
    <n v="81.81"/>
    <n v="31.41"/>
    <x v="65"/>
    <n v="37.92"/>
    <x v="3"/>
    <n v="0.31411530815109345"/>
  </r>
  <r>
    <x v="2"/>
    <x v="18"/>
    <n v="6"/>
    <n v="3.81"/>
    <x v="718"/>
    <n v="6.87"/>
    <n v="1.32"/>
    <n v="8.19"/>
    <n v="83.88"/>
    <n v="73.260000000000005"/>
    <x v="65"/>
    <n v="72"/>
    <x v="3"/>
    <n v="0.73260073260073266"/>
  </r>
  <r>
    <x v="2"/>
    <x v="19"/>
    <n v="13.08333333"/>
    <n v="7.83"/>
    <x v="1075"/>
    <n v="9.3000000000000007"/>
    <n v="0.88"/>
    <n v="10.18"/>
    <n v="91.36"/>
    <n v="128.52000000000001"/>
    <x v="65"/>
    <n v="156.99999996000003"/>
    <x v="2"/>
    <n v="1.2851997377210216"/>
  </r>
  <r>
    <x v="2"/>
    <x v="20"/>
    <n v="1.7833333330000001"/>
    <n v="0.62"/>
    <x v="1076"/>
    <n v="7.98"/>
    <n v="1.5"/>
    <n v="9.48"/>
    <n v="84.18"/>
    <n v="18.809999999999999"/>
    <x v="65"/>
    <n v="21.399999995999998"/>
    <x v="5"/>
    <n v="0.18811533048523207"/>
  </r>
  <r>
    <x v="2"/>
    <x v="21"/>
    <n v="15.82"/>
    <n v="7.83"/>
    <x v="1077"/>
    <n v="9.76"/>
    <n v="1.35"/>
    <n v="11.11"/>
    <n v="87.85"/>
    <n v="142.38999999999999"/>
    <x v="65"/>
    <n v="189.84"/>
    <x v="2"/>
    <n v="1.423942394239424"/>
  </r>
  <r>
    <x v="2"/>
    <x v="22"/>
    <n v="0.91666666699999999"/>
    <n v="1.28"/>
    <x v="1078"/>
    <n v="8.69"/>
    <n v="1.31"/>
    <n v="10"/>
    <n v="86.9"/>
    <n v="9.17"/>
    <x v="65"/>
    <n v="11.000000004"/>
    <x v="4"/>
    <n v="9.1666666699999996E-2"/>
  </r>
  <r>
    <x v="2"/>
    <x v="23"/>
    <n v="0.65"/>
    <n v="0.88"/>
    <x v="1079"/>
    <n v="4.91"/>
    <n v="5.07"/>
    <n v="9.98"/>
    <n v="49.2"/>
    <n v="6.51"/>
    <x v="65"/>
    <n v="7.8"/>
    <x v="3"/>
    <n v="6.513026052104208E-2"/>
  </r>
  <r>
    <x v="2"/>
    <x v="26"/>
    <n v="1.5833333329999999"/>
    <n v="2.65"/>
    <x v="1080"/>
    <n v="8.4"/>
    <n v="1.1399999999999999"/>
    <n v="9.5399999999999991"/>
    <n v="88.05"/>
    <n v="16.600000000000001"/>
    <x v="65"/>
    <n v="18.999999996"/>
    <x v="3"/>
    <n v="0.16596785461215932"/>
  </r>
  <r>
    <x v="2"/>
    <x v="29"/>
    <n v="1.5"/>
    <n v="0.34"/>
    <x v="1081"/>
    <n v="8.2799999999999994"/>
    <n v="1.18"/>
    <n v="9.4600000000000009"/>
    <n v="87.53"/>
    <n v="15.86"/>
    <x v="65"/>
    <n v="18"/>
    <x v="5"/>
    <n v="0.15856236786469344"/>
  </r>
  <r>
    <x v="2"/>
    <x v="30"/>
    <n v="4.903333333"/>
    <n v="3.26"/>
    <x v="1082"/>
    <n v="9.31"/>
    <n v="0.15"/>
    <n v="9.4600000000000009"/>
    <n v="98.41"/>
    <n v="51.83"/>
    <x v="65"/>
    <n v="58.839999995999996"/>
    <x v="5"/>
    <n v="0.5183227624735729"/>
  </r>
  <r>
    <x v="2"/>
    <x v="32"/>
    <n v="1.52"/>
    <n v="2.56"/>
    <x v="1083"/>
    <n v="6.41"/>
    <n v="3.58"/>
    <n v="9.99"/>
    <n v="64.16"/>
    <n v="15.22"/>
    <x v="65"/>
    <n v="18.240000000000002"/>
    <x v="3"/>
    <n v="0.15215215215215214"/>
  </r>
  <r>
    <x v="2"/>
    <x v="33"/>
    <n v="4.2"/>
    <n v="6.97"/>
    <x v="1084"/>
    <n v="9.52"/>
    <n v="0.5"/>
    <n v="10.02"/>
    <n v="95.01"/>
    <n v="41.92"/>
    <x v="65"/>
    <n v="50.4"/>
    <x v="3"/>
    <n v="0.41916167664670662"/>
  </r>
  <r>
    <x v="2"/>
    <x v="34"/>
    <n v="5"/>
    <n v="8.1300000000000008"/>
    <x v="1085"/>
    <n v="7.99"/>
    <n v="1.69"/>
    <n v="9.68"/>
    <n v="82.54"/>
    <n v="51.65"/>
    <x v="65"/>
    <n v="60"/>
    <x v="4"/>
    <n v="0.51652892561983477"/>
  </r>
  <r>
    <x v="2"/>
    <x v="36"/>
    <n v="7.4166666670000003"/>
    <n v="8.33"/>
    <x v="1086"/>
    <n v="7.33"/>
    <n v="2.66"/>
    <n v="9.99"/>
    <n v="73.37"/>
    <n v="74.239999999999995"/>
    <x v="65"/>
    <n v="89.000000004"/>
    <x v="4"/>
    <n v="0.74240907577577575"/>
  </r>
  <r>
    <x v="2"/>
    <x v="38"/>
    <n v="12.25"/>
    <n v="8.52"/>
    <x v="1087"/>
    <n v="10"/>
    <n v="1.01"/>
    <n v="11.01"/>
    <n v="90.83"/>
    <n v="111.26"/>
    <x v="65"/>
    <n v="147"/>
    <x v="2"/>
    <n v="1.1126248864668484"/>
  </r>
  <r>
    <x v="2"/>
    <x v="39"/>
    <n v="4.0766666669999996"/>
    <n v="3.27"/>
    <x v="1088"/>
    <n v="6.11"/>
    <n v="1.96"/>
    <n v="8.07"/>
    <n v="75.709999999999994"/>
    <n v="50.52"/>
    <x v="65"/>
    <n v="48.920000003999995"/>
    <x v="2"/>
    <n v="0.50516315576208171"/>
  </r>
  <r>
    <x v="2"/>
    <x v="40"/>
    <n v="3.2"/>
    <n v="6.38"/>
    <x v="1089"/>
    <n v="9.56"/>
    <n v="0.47"/>
    <n v="10.029999999999999"/>
    <n v="95.31"/>
    <n v="31.9"/>
    <x v="65"/>
    <n v="38.4"/>
    <x v="3"/>
    <n v="0.31904287138584253"/>
  </r>
  <r>
    <x v="2"/>
    <x v="41"/>
    <n v="5.74"/>
    <n v="3.63"/>
    <x v="1090"/>
    <n v="8.44"/>
    <n v="0.49"/>
    <n v="8.93"/>
    <n v="94.51"/>
    <n v="64.28"/>
    <x v="65"/>
    <n v="68.88000000000001"/>
    <x v="5"/>
    <n v="0.64277715565509519"/>
  </r>
  <r>
    <x v="2"/>
    <x v="42"/>
    <n v="11"/>
    <n v="5.38"/>
    <x v="1091"/>
    <n v="6.93"/>
    <n v="1.26"/>
    <n v="8.19"/>
    <n v="84.62"/>
    <n v="134.31"/>
    <x v="65"/>
    <n v="132"/>
    <x v="2"/>
    <n v="1.3431013431013432"/>
  </r>
  <r>
    <x v="2"/>
    <x v="43"/>
    <n v="3.1666666669999999"/>
    <n v="5.87"/>
    <x v="1092"/>
    <n v="7.9"/>
    <n v="1.63"/>
    <n v="9.5299999999999994"/>
    <n v="82.9"/>
    <n v="33.229999999999997"/>
    <x v="65"/>
    <n v="38.000000004"/>
    <x v="3"/>
    <n v="0.33228401542497377"/>
  </r>
  <r>
    <x v="2"/>
    <x v="44"/>
    <n v="8.1666666669999994"/>
    <n v="7.4"/>
    <x v="1093"/>
    <n v="7.28"/>
    <n v="0.75"/>
    <n v="8.0299999999999994"/>
    <n v="90.66"/>
    <n v="101.7"/>
    <x v="65"/>
    <n v="98.000000003999986"/>
    <x v="3"/>
    <n v="1.0170195102117061"/>
  </r>
  <r>
    <x v="2"/>
    <x v="45"/>
    <n v="1"/>
    <n v="0.77"/>
    <x v="1094"/>
    <n v="8.1"/>
    <n v="1.9"/>
    <n v="10"/>
    <n v="81"/>
    <n v="10"/>
    <x v="65"/>
    <n v="12"/>
    <x v="4"/>
    <n v="0.1"/>
  </r>
  <r>
    <x v="2"/>
    <x v="46"/>
    <n v="4.91"/>
    <n v="4.37"/>
    <x v="1095"/>
    <n v="8.74"/>
    <n v="0.83"/>
    <n v="9.57"/>
    <n v="91.33"/>
    <n v="51.31"/>
    <x v="65"/>
    <n v="58.92"/>
    <x v="4"/>
    <n v="0.51306165099268553"/>
  </r>
  <r>
    <x v="2"/>
    <x v="47"/>
    <n v="10.28"/>
    <n v="5.13"/>
    <x v="1096"/>
    <n v="7.49"/>
    <n v="0.51"/>
    <n v="8"/>
    <n v="93.63"/>
    <n v="128.5"/>
    <x v="65"/>
    <n v="123.35999999999999"/>
    <x v="5"/>
    <n v="1.2849999999999999"/>
  </r>
  <r>
    <x v="2"/>
    <x v="48"/>
    <n v="0"/>
    <n v="0"/>
    <x v="0"/>
    <n v="0"/>
    <n v="0"/>
    <n v="0"/>
    <n v="0"/>
    <n v="0"/>
    <x v="65"/>
    <n v="0"/>
    <x v="6"/>
    <n v="0"/>
  </r>
  <r>
    <x v="2"/>
    <x v="49"/>
    <n v="2"/>
    <n v="1.1200000000000001"/>
    <x v="962"/>
    <n v="6.92"/>
    <n v="1.1599999999999999"/>
    <n v="8.08"/>
    <n v="85.64"/>
    <n v="24.75"/>
    <x v="65"/>
    <n v="24"/>
    <x v="3"/>
    <n v="0.24752475247524752"/>
  </r>
  <r>
    <x v="2"/>
    <x v="50"/>
    <n v="0.33333333300000001"/>
    <n v="1.28"/>
    <x v="1097"/>
    <n v="9.48"/>
    <n v="0.5"/>
    <n v="9.98"/>
    <n v="94.99"/>
    <n v="3.34"/>
    <x v="65"/>
    <n v="3.9999999960000006"/>
    <x v="4"/>
    <n v="3.3400133567134269E-2"/>
  </r>
  <r>
    <x v="0"/>
    <x v="0"/>
    <n v="0"/>
    <n v="0"/>
    <x v="0"/>
    <n v="0"/>
    <n v="0"/>
    <n v="0"/>
    <n v="0"/>
    <n v="0"/>
    <x v="66"/>
    <n v="0"/>
    <x v="0"/>
    <n v="0"/>
  </r>
  <r>
    <x v="0"/>
    <x v="1"/>
    <n v="0"/>
    <n v="0"/>
    <x v="0"/>
    <n v="10.93"/>
    <n v="0.17"/>
    <n v="11.1"/>
    <n v="98.47"/>
    <n v="0"/>
    <x v="66"/>
    <n v="0"/>
    <x v="0"/>
    <n v="0"/>
  </r>
  <r>
    <x v="0"/>
    <x v="2"/>
    <n v="0"/>
    <n v="0"/>
    <x v="0"/>
    <n v="10.92"/>
    <n v="0.16"/>
    <n v="11.08"/>
    <n v="98.56"/>
    <n v="0"/>
    <x v="66"/>
    <n v="0"/>
    <x v="0"/>
    <n v="0"/>
  </r>
  <r>
    <x v="0"/>
    <x v="3"/>
    <n v="0.32"/>
    <n v="3.55"/>
    <x v="1098"/>
    <n v="9.5"/>
    <n v="0.53"/>
    <n v="10.029999999999999"/>
    <n v="94.72"/>
    <n v="3.19"/>
    <x v="66"/>
    <n v="3.84"/>
    <x v="0"/>
    <n v="3.1904287138584252E-2"/>
  </r>
  <r>
    <x v="0"/>
    <x v="5"/>
    <n v="0"/>
    <n v="0"/>
    <x v="0"/>
    <n v="10.92"/>
    <n v="0.17"/>
    <n v="11.09"/>
    <n v="98.47"/>
    <n v="0"/>
    <x v="66"/>
    <n v="0"/>
    <x v="0"/>
    <n v="0"/>
  </r>
  <r>
    <x v="0"/>
    <x v="6"/>
    <n v="5.67"/>
    <n v="9.2799999999999994"/>
    <x v="1099"/>
    <n v="10.95"/>
    <n v="0.14000000000000001"/>
    <n v="11.09"/>
    <n v="98.74"/>
    <n v="51.13"/>
    <x v="66"/>
    <n v="68.039999999999992"/>
    <x v="0"/>
    <n v="0.5112714156898106"/>
  </r>
  <r>
    <x v="0"/>
    <x v="7"/>
    <n v="0.18"/>
    <n v="2.0499999999999998"/>
    <x v="1100"/>
    <n v="7.65"/>
    <n v="0.4"/>
    <n v="8.0500000000000007"/>
    <n v="95.03"/>
    <n v="2.2400000000000002"/>
    <x v="66"/>
    <n v="2.1599999999999997"/>
    <x v="0"/>
    <n v="2.2360248447204967E-2"/>
  </r>
  <r>
    <x v="0"/>
    <x v="8"/>
    <n v="0"/>
    <n v="0"/>
    <x v="0"/>
    <n v="9.5399999999999991"/>
    <n v="0.54"/>
    <n v="10.08"/>
    <n v="94.64"/>
    <n v="0"/>
    <x v="66"/>
    <n v="0"/>
    <x v="0"/>
    <n v="0"/>
  </r>
  <r>
    <x v="1"/>
    <x v="9"/>
    <n v="0"/>
    <n v="0"/>
    <x v="0"/>
    <n v="0"/>
    <n v="0"/>
    <n v="0"/>
    <n v="0"/>
    <n v="0"/>
    <x v="66"/>
    <n v="0"/>
    <x v="1"/>
    <n v="0"/>
  </r>
  <r>
    <x v="1"/>
    <x v="11"/>
    <n v="0"/>
    <n v="0"/>
    <x v="0"/>
    <n v="7.09"/>
    <n v="1.0900000000000001"/>
    <n v="8.18"/>
    <n v="86.67"/>
    <n v="0"/>
    <x v="66"/>
    <n v="0"/>
    <x v="1"/>
    <n v="0"/>
  </r>
  <r>
    <x v="1"/>
    <x v="12"/>
    <n v="1.0833333329999999"/>
    <n v="1.63"/>
    <x v="1101"/>
    <n v="6.4"/>
    <n v="1.77"/>
    <n v="8.17"/>
    <n v="78.34"/>
    <n v="13.26"/>
    <x v="66"/>
    <n v="12.999999996"/>
    <x v="1"/>
    <n v="0.13259893916768664"/>
  </r>
  <r>
    <x v="1"/>
    <x v="13"/>
    <n v="0"/>
    <n v="0"/>
    <x v="0"/>
    <n v="4.6399999999999997"/>
    <n v="3.53"/>
    <n v="8.17"/>
    <n v="56.79"/>
    <n v="0"/>
    <x v="66"/>
    <n v="0"/>
    <x v="1"/>
    <n v="0"/>
  </r>
  <r>
    <x v="2"/>
    <x v="17"/>
    <n v="0"/>
    <n v="0"/>
    <x v="0"/>
    <n v="1.1200000000000001"/>
    <n v="8.83"/>
    <n v="9.9499999999999993"/>
    <n v="11.26"/>
    <n v="0"/>
    <x v="66"/>
    <n v="0"/>
    <x v="3"/>
    <n v="0"/>
  </r>
  <r>
    <x v="2"/>
    <x v="23"/>
    <n v="1"/>
    <n v="1.1000000000000001"/>
    <x v="1102"/>
    <n v="4.66"/>
    <n v="5.32"/>
    <n v="9.98"/>
    <n v="46.69"/>
    <n v="10.02"/>
    <x v="66"/>
    <n v="12"/>
    <x v="3"/>
    <n v="0.1002004008016032"/>
  </r>
  <r>
    <x v="2"/>
    <x v="24"/>
    <n v="4.33"/>
    <n v="4.87"/>
    <x v="1103"/>
    <n v="9.84"/>
    <n v="0.25"/>
    <n v="10.09"/>
    <n v="97.52"/>
    <n v="42.91"/>
    <x v="66"/>
    <n v="51.96"/>
    <x v="5"/>
    <n v="0.42913776015857286"/>
  </r>
  <r>
    <x v="2"/>
    <x v="25"/>
    <n v="12.91666667"/>
    <n v="9.4"/>
    <x v="1104"/>
    <n v="8.82"/>
    <n v="0.68"/>
    <n v="9.5"/>
    <n v="92.84"/>
    <n v="135.96"/>
    <x v="66"/>
    <n v="155.00000003999997"/>
    <x v="2"/>
    <n v="1.3596491231578947"/>
  </r>
  <r>
    <x v="2"/>
    <x v="27"/>
    <n v="4.51"/>
    <n v="3.95"/>
    <x v="1105"/>
    <n v="9.82"/>
    <n v="0.28000000000000003"/>
    <n v="10.1"/>
    <n v="97.23"/>
    <n v="44.65"/>
    <x v="66"/>
    <n v="54.11999999999999"/>
    <x v="5"/>
    <n v="0.44653465346534654"/>
  </r>
  <r>
    <x v="2"/>
    <x v="30"/>
    <n v="9.3333333330000006"/>
    <n v="6.56"/>
    <x v="1106"/>
    <n v="6.66"/>
    <n v="2.91"/>
    <n v="9.57"/>
    <n v="69.59"/>
    <n v="97.53"/>
    <x v="66"/>
    <n v="111.999999996"/>
    <x v="5"/>
    <n v="0.97526994075235107"/>
  </r>
  <r>
    <x v="2"/>
    <x v="31"/>
    <n v="7"/>
    <n v="4.13"/>
    <x v="1107"/>
    <n v="8.18"/>
    <n v="0.32"/>
    <n v="8.5"/>
    <n v="96.24"/>
    <n v="82.35"/>
    <x v="66"/>
    <n v="84"/>
    <x v="2"/>
    <n v="0.82352941176470584"/>
  </r>
  <r>
    <x v="2"/>
    <x v="32"/>
    <n v="3.6666666669999999"/>
    <n v="7.42"/>
    <x v="1108"/>
    <n v="5.95"/>
    <n v="4.01"/>
    <n v="9.9600000000000009"/>
    <n v="59.74"/>
    <n v="36.81"/>
    <x v="66"/>
    <n v="44.000000004"/>
    <x v="3"/>
    <n v="0.36813922359437745"/>
  </r>
  <r>
    <x v="2"/>
    <x v="33"/>
    <n v="0.75"/>
    <n v="0.01"/>
    <x v="1109"/>
    <n v="7.32"/>
    <n v="0.73"/>
    <n v="8.0500000000000007"/>
    <n v="90.93"/>
    <n v="9.32"/>
    <x v="66"/>
    <n v="9"/>
    <x v="3"/>
    <n v="9.3167701863354033E-2"/>
  </r>
  <r>
    <x v="2"/>
    <x v="37"/>
    <n v="7.8333333329999997"/>
    <n v="7.1"/>
    <x v="1110"/>
    <n v="5.98"/>
    <n v="2.15"/>
    <n v="8.1300000000000008"/>
    <n v="73.55"/>
    <n v="96.35"/>
    <x v="66"/>
    <n v="93.999999996"/>
    <x v="4"/>
    <n v="0.96350963505535037"/>
  </r>
  <r>
    <x v="2"/>
    <x v="38"/>
    <n v="18.25"/>
    <n v="10.01"/>
    <x v="1111"/>
    <n v="9.93"/>
    <n v="0.6"/>
    <n v="10.53"/>
    <n v="94.3"/>
    <n v="173.31"/>
    <x v="66"/>
    <n v="219"/>
    <x v="2"/>
    <n v="1.7331433998100665"/>
  </r>
  <r>
    <x v="2"/>
    <x v="40"/>
    <n v="0"/>
    <n v="0"/>
    <x v="0"/>
    <n v="7.36"/>
    <n v="0.71"/>
    <n v="8.07"/>
    <n v="91.2"/>
    <n v="0"/>
    <x v="66"/>
    <n v="0"/>
    <x v="3"/>
    <n v="0"/>
  </r>
  <r>
    <x v="2"/>
    <x v="42"/>
    <n v="12.91666667"/>
    <n v="6.13"/>
    <x v="1112"/>
    <n v="7.78"/>
    <n v="0.44"/>
    <n v="8.2200000000000006"/>
    <n v="94.65"/>
    <n v="157.13999999999999"/>
    <x v="66"/>
    <n v="155.00000003999997"/>
    <x v="2"/>
    <n v="1.5713706411192212"/>
  </r>
  <r>
    <x v="2"/>
    <x v="44"/>
    <n v="3.5"/>
    <n v="5.2"/>
    <x v="1011"/>
    <n v="6.65"/>
    <n v="1.36"/>
    <n v="8.01"/>
    <n v="83.02"/>
    <n v="43.7"/>
    <x v="66"/>
    <n v="42"/>
    <x v="3"/>
    <n v="0.43695380774032461"/>
  </r>
  <r>
    <x v="2"/>
    <x v="50"/>
    <n v="3.0433333330000001"/>
    <n v="2.58"/>
    <x v="1113"/>
    <n v="8.67"/>
    <n v="1.44"/>
    <n v="10.11"/>
    <n v="85.76"/>
    <n v="30.1"/>
    <x v="66"/>
    <n v="36.519999996000003"/>
    <x v="4"/>
    <n v="0.30102209030662713"/>
  </r>
  <r>
    <x v="0"/>
    <x v="0"/>
    <n v="5.0999999999999996"/>
    <n v="7.48"/>
    <x v="1114"/>
    <n v="1.4"/>
    <n v="6.64"/>
    <n v="8.0399999999999991"/>
    <n v="17.41"/>
    <n v="63.43"/>
    <x v="67"/>
    <n v="61.2"/>
    <x v="0"/>
    <n v="0.63432835820895528"/>
  </r>
  <r>
    <x v="0"/>
    <x v="3"/>
    <n v="1.88"/>
    <n v="5.56"/>
    <x v="1115"/>
    <n v="1.42"/>
    <n v="6.65"/>
    <n v="8.07"/>
    <n v="17.600000000000001"/>
    <n v="23.3"/>
    <x v="67"/>
    <n v="22.56"/>
    <x v="0"/>
    <n v="0.23296158612143741"/>
  </r>
  <r>
    <x v="0"/>
    <x v="7"/>
    <n v="1.88"/>
    <n v="5.56"/>
    <x v="1115"/>
    <n v="1.4"/>
    <n v="6.67"/>
    <n v="8.07"/>
    <n v="17.350000000000001"/>
    <n v="23.3"/>
    <x v="67"/>
    <n v="22.56"/>
    <x v="0"/>
    <n v="0.23296158612143741"/>
  </r>
  <r>
    <x v="1"/>
    <x v="9"/>
    <n v="0"/>
    <n v="0"/>
    <x v="0"/>
    <n v="0"/>
    <n v="0"/>
    <n v="0"/>
    <n v="0"/>
    <n v="0"/>
    <x v="67"/>
    <n v="0"/>
    <x v="1"/>
    <n v="0"/>
  </r>
  <r>
    <x v="1"/>
    <x v="10"/>
    <n v="9.8333333330000006"/>
    <n v="6.86"/>
    <x v="1116"/>
    <n v="7.72"/>
    <n v="0.38"/>
    <n v="8.1"/>
    <n v="95.31"/>
    <n v="121.4"/>
    <x v="67"/>
    <n v="117.999999996"/>
    <x v="1"/>
    <n v="1.213991769506173"/>
  </r>
  <r>
    <x v="1"/>
    <x v="11"/>
    <n v="9.7066666670000004"/>
    <n v="7.33"/>
    <x v="1117"/>
    <n v="7.54"/>
    <n v="0.52"/>
    <n v="8.06"/>
    <n v="93.55"/>
    <n v="120.43"/>
    <x v="67"/>
    <n v="116.480000004"/>
    <x v="1"/>
    <n v="1.2043010753101737"/>
  </r>
  <r>
    <x v="1"/>
    <x v="13"/>
    <n v="10.286666670000001"/>
    <n v="7.82"/>
    <x v="1118"/>
    <n v="7.55"/>
    <n v="0.52"/>
    <n v="8.07"/>
    <n v="93.56"/>
    <n v="127.47"/>
    <x v="67"/>
    <n v="123.44000004000002"/>
    <x v="1"/>
    <n v="1.2746798847583642"/>
  </r>
  <r>
    <x v="2"/>
    <x v="15"/>
    <n v="1.49"/>
    <n v="2.62"/>
    <x v="1119"/>
    <n v="6.94"/>
    <n v="1.25"/>
    <n v="8.19"/>
    <n v="84.74"/>
    <n v="18.190000000000001"/>
    <x v="67"/>
    <n v="17.880000000000003"/>
    <x v="3"/>
    <n v="0.18192918192918195"/>
  </r>
  <r>
    <x v="2"/>
    <x v="17"/>
    <n v="0"/>
    <n v="0"/>
    <x v="0"/>
    <n v="1.92"/>
    <n v="6.38"/>
    <n v="8.3000000000000007"/>
    <n v="23.13"/>
    <n v="0"/>
    <x v="67"/>
    <n v="0"/>
    <x v="3"/>
    <n v="0"/>
  </r>
  <r>
    <x v="2"/>
    <x v="21"/>
    <n v="11.33333333"/>
    <n v="6.61"/>
    <x v="1120"/>
    <n v="6.86"/>
    <n v="1.03"/>
    <n v="7.89"/>
    <n v="86.95"/>
    <n v="143.63999999999999"/>
    <x v="67"/>
    <n v="135.99999996000003"/>
    <x v="2"/>
    <n v="1.4364174055766794"/>
  </r>
  <r>
    <x v="2"/>
    <x v="23"/>
    <n v="0.99"/>
    <n v="3.17"/>
    <x v="1121"/>
    <n v="3.08"/>
    <n v="5.1100000000000003"/>
    <n v="8.19"/>
    <n v="37.61"/>
    <n v="12.09"/>
    <x v="67"/>
    <n v="11.879999999999999"/>
    <x v="3"/>
    <n v="0.12087912087912088"/>
  </r>
  <r>
    <x v="2"/>
    <x v="25"/>
    <n v="12.16666667"/>
    <n v="5.99"/>
    <x v="1122"/>
    <n v="5.99"/>
    <n v="2"/>
    <n v="7.99"/>
    <n v="74.97"/>
    <n v="152.27000000000001"/>
    <x v="67"/>
    <n v="146.00000003999997"/>
    <x v="2"/>
    <n v="1.5227367546933666"/>
  </r>
  <r>
    <x v="2"/>
    <x v="27"/>
    <n v="11.71666667"/>
    <n v="5.7"/>
    <x v="1123"/>
    <n v="6.69"/>
    <n v="1.3"/>
    <n v="7.99"/>
    <n v="83.73"/>
    <n v="146.63999999999999"/>
    <x v="67"/>
    <n v="140.60000004"/>
    <x v="5"/>
    <n v="1.4664163541927409"/>
  </r>
  <r>
    <x v="2"/>
    <x v="30"/>
    <n v="7.02"/>
    <n v="7.13"/>
    <x v="1124"/>
    <n v="8.2899999999999991"/>
    <n v="1.32"/>
    <n v="9.61"/>
    <n v="86.26"/>
    <n v="73.05"/>
    <x v="67"/>
    <n v="84.24"/>
    <x v="5"/>
    <n v="0.73048907388137352"/>
  </r>
  <r>
    <x v="2"/>
    <x v="32"/>
    <n v="8.3333332999999996E-2"/>
    <n v="1.02"/>
    <x v="1125"/>
    <n v="6.47"/>
    <n v="1.82"/>
    <n v="8.2899999999999991"/>
    <n v="78.05"/>
    <n v="1.01"/>
    <x v="67"/>
    <n v="0.999999996"/>
    <x v="3"/>
    <n v="1.0052271773220748E-2"/>
  </r>
  <r>
    <x v="2"/>
    <x v="33"/>
    <n v="3.9266666670000001"/>
    <n v="4.9400000000000004"/>
    <x v="1126"/>
    <n v="7.84"/>
    <n v="0.38"/>
    <n v="8.2200000000000006"/>
    <n v="95.38"/>
    <n v="47.77"/>
    <x v="67"/>
    <n v="47.120000004000005"/>
    <x v="3"/>
    <n v="0.47769667481751821"/>
  </r>
  <r>
    <x v="2"/>
    <x v="34"/>
    <n v="5.5"/>
    <n v="4.6900000000000004"/>
    <x v="1127"/>
    <n v="4.32"/>
    <n v="3.81"/>
    <n v="8.1300000000000008"/>
    <n v="53.14"/>
    <n v="67.650000000000006"/>
    <x v="67"/>
    <n v="66"/>
    <x v="4"/>
    <n v="0.67650676506765062"/>
  </r>
  <r>
    <x v="2"/>
    <x v="35"/>
    <n v="12.58333333"/>
    <n v="7.93"/>
    <x v="1128"/>
    <n v="7.12"/>
    <n v="1.1000000000000001"/>
    <n v="8.2200000000000006"/>
    <n v="86.62"/>
    <n v="153.08000000000001"/>
    <x v="67"/>
    <n v="150.99999996000003"/>
    <x v="2"/>
    <n v="1.5308191399026763"/>
  </r>
  <r>
    <x v="2"/>
    <x v="36"/>
    <n v="2.91"/>
    <n v="1.83"/>
    <x v="1129"/>
    <n v="3.58"/>
    <n v="4.58"/>
    <n v="8.16"/>
    <n v="43.87"/>
    <n v="35.659999999999997"/>
    <x v="67"/>
    <n v="34.92"/>
    <x v="4"/>
    <n v="0.35661764705882354"/>
  </r>
  <r>
    <x v="2"/>
    <x v="37"/>
    <n v="4.5833333329999997"/>
    <n v="5.18"/>
    <x v="1130"/>
    <n v="6.37"/>
    <n v="1.78"/>
    <n v="8.15"/>
    <n v="78.16"/>
    <n v="56.24"/>
    <x v="67"/>
    <n v="54.999999996"/>
    <x v="4"/>
    <n v="0.56237218809815948"/>
  </r>
  <r>
    <x v="2"/>
    <x v="40"/>
    <n v="5.25"/>
    <n v="7.07"/>
    <x v="1131"/>
    <n v="8.06"/>
    <n v="0.17"/>
    <n v="8.23"/>
    <n v="97.93"/>
    <n v="63.79"/>
    <x v="67"/>
    <n v="63"/>
    <x v="3"/>
    <n v="0.63791008505467794"/>
  </r>
  <r>
    <x v="2"/>
    <x v="42"/>
    <n v="15.473333330000001"/>
    <n v="7.61"/>
    <x v="1132"/>
    <n v="6.03"/>
    <n v="2.12"/>
    <n v="8.15"/>
    <n v="73.989999999999995"/>
    <n v="189.86"/>
    <x v="67"/>
    <n v="185.67999996"/>
    <x v="2"/>
    <n v="1.8985685067484663"/>
  </r>
  <r>
    <x v="2"/>
    <x v="44"/>
    <n v="2.5"/>
    <n v="4.05"/>
    <x v="1133"/>
    <n v="6.05"/>
    <n v="2.13"/>
    <n v="8.18"/>
    <n v="73.959999999999994"/>
    <n v="30.56"/>
    <x v="67"/>
    <n v="30"/>
    <x v="3"/>
    <n v="0.30562347188264061"/>
  </r>
  <r>
    <x v="2"/>
    <x v="46"/>
    <n v="4.346666667"/>
    <n v="4.54"/>
    <x v="1134"/>
    <n v="8.15"/>
    <n v="0.02"/>
    <n v="8.17"/>
    <n v="99.76"/>
    <n v="53.2"/>
    <x v="67"/>
    <n v="52.160000004000004"/>
    <x v="4"/>
    <n v="0.53202774381884943"/>
  </r>
  <r>
    <x v="2"/>
    <x v="47"/>
    <n v="5.0999999999999996"/>
    <n v="4.96"/>
    <x v="1135"/>
    <n v="7.94"/>
    <n v="7.0000000000000007E-2"/>
    <n v="8.01"/>
    <n v="99.13"/>
    <n v="63.67"/>
    <x v="67"/>
    <n v="61.2"/>
    <x v="5"/>
    <n v="0.63670411985018727"/>
  </r>
  <r>
    <x v="2"/>
    <x v="48"/>
    <n v="0"/>
    <n v="0"/>
    <x v="0"/>
    <n v="0"/>
    <n v="0"/>
    <n v="0"/>
    <n v="0"/>
    <n v="0"/>
    <x v="67"/>
    <n v="0"/>
    <x v="6"/>
    <n v="0"/>
  </r>
  <r>
    <x v="0"/>
    <x v="1"/>
    <n v="0"/>
    <n v="0"/>
    <x v="0"/>
    <n v="4.3"/>
    <n v="4.01"/>
    <n v="8.31"/>
    <n v="51.74"/>
    <n v="0"/>
    <x v="68"/>
    <n v="0"/>
    <x v="0"/>
    <n v="0"/>
  </r>
  <r>
    <x v="0"/>
    <x v="2"/>
    <n v="0"/>
    <n v="0"/>
    <x v="0"/>
    <n v="4.3"/>
    <n v="4.01"/>
    <n v="8.31"/>
    <n v="51.74"/>
    <n v="0"/>
    <x v="68"/>
    <n v="0"/>
    <x v="0"/>
    <n v="0"/>
  </r>
  <r>
    <x v="0"/>
    <x v="3"/>
    <n v="0"/>
    <n v="0"/>
    <x v="0"/>
    <n v="0"/>
    <n v="0"/>
    <n v="0"/>
    <n v="0"/>
    <n v="0"/>
    <x v="68"/>
    <n v="0"/>
    <x v="0"/>
    <n v="0"/>
  </r>
  <r>
    <x v="0"/>
    <x v="4"/>
    <n v="0"/>
    <n v="0"/>
    <x v="0"/>
    <n v="4.32"/>
    <n v="4"/>
    <n v="8.32"/>
    <n v="51.92"/>
    <n v="0"/>
    <x v="68"/>
    <n v="0"/>
    <x v="0"/>
    <n v="0"/>
  </r>
  <r>
    <x v="0"/>
    <x v="5"/>
    <n v="0"/>
    <n v="0"/>
    <x v="0"/>
    <n v="0"/>
    <n v="0"/>
    <n v="0"/>
    <n v="0"/>
    <n v="0"/>
    <x v="68"/>
    <n v="0"/>
    <x v="0"/>
    <n v="0"/>
  </r>
  <r>
    <x v="0"/>
    <x v="6"/>
    <n v="0"/>
    <n v="0"/>
    <x v="0"/>
    <n v="4.32"/>
    <n v="4"/>
    <n v="8.32"/>
    <n v="51.92"/>
    <n v="0"/>
    <x v="68"/>
    <n v="0"/>
    <x v="0"/>
    <n v="0"/>
  </r>
  <r>
    <x v="0"/>
    <x v="7"/>
    <n v="0"/>
    <n v="0"/>
    <x v="0"/>
    <n v="0"/>
    <n v="0"/>
    <n v="0"/>
    <n v="0"/>
    <n v="0"/>
    <x v="68"/>
    <n v="0"/>
    <x v="0"/>
    <n v="0"/>
  </r>
  <r>
    <x v="0"/>
    <x v="8"/>
    <n v="0"/>
    <n v="0"/>
    <x v="0"/>
    <n v="0"/>
    <n v="0"/>
    <n v="0"/>
    <n v="0"/>
    <n v="0"/>
    <x v="68"/>
    <n v="0"/>
    <x v="0"/>
    <n v="0"/>
  </r>
  <r>
    <x v="1"/>
    <x v="9"/>
    <n v="0"/>
    <n v="0"/>
    <x v="0"/>
    <n v="0"/>
    <n v="0"/>
    <n v="0"/>
    <n v="0"/>
    <n v="0"/>
    <x v="68"/>
    <n v="0"/>
    <x v="1"/>
    <n v="0"/>
  </r>
  <r>
    <x v="1"/>
    <x v="10"/>
    <n v="0"/>
    <n v="0"/>
    <x v="0"/>
    <n v="0"/>
    <n v="0"/>
    <n v="0"/>
    <n v="0"/>
    <n v="0"/>
    <x v="68"/>
    <n v="0"/>
    <x v="1"/>
    <n v="0"/>
  </r>
  <r>
    <x v="1"/>
    <x v="12"/>
    <n v="1.6"/>
    <n v="1.1299999999999999"/>
    <x v="1136"/>
    <n v="6.47"/>
    <n v="1.8"/>
    <n v="8.27"/>
    <n v="78.23"/>
    <n v="19.350000000000001"/>
    <x v="68"/>
    <n v="19.2"/>
    <x v="1"/>
    <n v="0.1934703748488513"/>
  </r>
  <r>
    <x v="1"/>
    <x v="13"/>
    <n v="0"/>
    <n v="0"/>
    <x v="0"/>
    <n v="0"/>
    <n v="0"/>
    <n v="0"/>
    <n v="0"/>
    <n v="0"/>
    <x v="68"/>
    <n v="0"/>
    <x v="1"/>
    <n v="0"/>
  </r>
  <r>
    <x v="2"/>
    <x v="14"/>
    <n v="6.5833333329999997"/>
    <n v="3.24"/>
    <x v="1137"/>
    <n v="4.74"/>
    <n v="3.2"/>
    <n v="7.94"/>
    <n v="59.7"/>
    <n v="82.91"/>
    <x v="68"/>
    <n v="78.999999996"/>
    <x v="2"/>
    <n v="0.82913518047858936"/>
  </r>
  <r>
    <x v="2"/>
    <x v="15"/>
    <n v="3"/>
    <n v="2.38"/>
    <x v="1138"/>
    <n v="4.3600000000000003"/>
    <n v="3.51"/>
    <n v="7.87"/>
    <n v="55.4"/>
    <n v="38.119999999999997"/>
    <x v="68"/>
    <n v="36"/>
    <x v="3"/>
    <n v="0.38119440914866581"/>
  </r>
  <r>
    <x v="2"/>
    <x v="16"/>
    <n v="4.47"/>
    <n v="5.14"/>
    <x v="1139"/>
    <n v="3.52"/>
    <n v="4.3499999999999996"/>
    <n v="7.87"/>
    <n v="44.73"/>
    <n v="56.8"/>
    <x v="68"/>
    <n v="53.64"/>
    <x v="4"/>
    <n v="0.56797966963151203"/>
  </r>
  <r>
    <x v="2"/>
    <x v="17"/>
    <n v="0"/>
    <n v="0"/>
    <x v="0"/>
    <n v="4.18"/>
    <n v="3.72"/>
    <n v="7.9"/>
    <n v="52.91"/>
    <n v="0"/>
    <x v="68"/>
    <n v="0"/>
    <x v="3"/>
    <n v="0"/>
  </r>
  <r>
    <x v="2"/>
    <x v="18"/>
    <n v="0"/>
    <n v="0"/>
    <x v="0"/>
    <n v="0"/>
    <n v="0"/>
    <n v="0"/>
    <n v="0"/>
    <n v="0"/>
    <x v="68"/>
    <n v="0"/>
    <x v="3"/>
    <n v="0"/>
  </r>
  <r>
    <x v="2"/>
    <x v="19"/>
    <n v="4.9000000000000004"/>
    <n v="5.67"/>
    <x v="1140"/>
    <n v="5.67"/>
    <n v="1.68"/>
    <n v="7.35"/>
    <n v="77.14"/>
    <n v="66.67"/>
    <x v="68"/>
    <n v="58.8"/>
    <x v="2"/>
    <n v="0.66666666666666674"/>
  </r>
  <r>
    <x v="2"/>
    <x v="21"/>
    <n v="7.7233333330000002"/>
    <n v="7.2"/>
    <x v="1141"/>
    <n v="5.85"/>
    <n v="2.12"/>
    <n v="7.97"/>
    <n v="73.400000000000006"/>
    <n v="96.91"/>
    <x v="68"/>
    <n v="92.679999996000006"/>
    <x v="2"/>
    <n v="0.96905060639899632"/>
  </r>
  <r>
    <x v="2"/>
    <x v="22"/>
    <n v="3.76"/>
    <n v="3.53"/>
    <x v="1142"/>
    <n v="3.53"/>
    <n v="4.33"/>
    <n v="7.86"/>
    <n v="44.91"/>
    <n v="47.84"/>
    <x v="68"/>
    <n v="45.12"/>
    <x v="4"/>
    <n v="0.47837150127226458"/>
  </r>
  <r>
    <x v="2"/>
    <x v="23"/>
    <n v="0"/>
    <n v="0"/>
    <x v="0"/>
    <n v="0"/>
    <n v="0"/>
    <n v="0"/>
    <n v="0"/>
    <n v="0"/>
    <x v="68"/>
    <n v="0"/>
    <x v="3"/>
    <n v="0"/>
  </r>
  <r>
    <x v="2"/>
    <x v="24"/>
    <n v="0"/>
    <n v="0"/>
    <x v="0"/>
    <n v="0"/>
    <n v="0"/>
    <n v="0"/>
    <n v="0"/>
    <n v="0"/>
    <x v="68"/>
    <n v="0"/>
    <x v="5"/>
    <n v="0"/>
  </r>
  <r>
    <x v="2"/>
    <x v="25"/>
    <n v="0"/>
    <n v="0"/>
    <x v="0"/>
    <n v="0"/>
    <n v="0"/>
    <n v="0"/>
    <n v="0"/>
    <n v="0"/>
    <x v="68"/>
    <n v="0"/>
    <x v="2"/>
    <n v="0"/>
  </r>
  <r>
    <x v="2"/>
    <x v="26"/>
    <n v="0"/>
    <n v="0"/>
    <x v="0"/>
    <n v="0"/>
    <n v="0"/>
    <n v="0"/>
    <n v="0"/>
    <n v="0"/>
    <x v="68"/>
    <n v="0"/>
    <x v="3"/>
    <n v="0"/>
  </r>
  <r>
    <x v="2"/>
    <x v="27"/>
    <n v="0"/>
    <n v="0"/>
    <x v="0"/>
    <n v="0"/>
    <n v="0"/>
    <n v="0"/>
    <n v="0"/>
    <n v="0"/>
    <x v="68"/>
    <n v="0"/>
    <x v="5"/>
    <n v="0"/>
  </r>
  <r>
    <x v="2"/>
    <x v="29"/>
    <n v="12.186666669999999"/>
    <n v="5.42"/>
    <x v="1143"/>
    <n v="4.26"/>
    <n v="3.61"/>
    <n v="7.87"/>
    <n v="54.13"/>
    <n v="154.85"/>
    <x v="68"/>
    <n v="146.24000003999998"/>
    <x v="5"/>
    <n v="1.5484964002541295"/>
  </r>
  <r>
    <x v="2"/>
    <x v="31"/>
    <n v="9.1666666669999994"/>
    <n v="3.85"/>
    <x v="1144"/>
    <n v="3.85"/>
    <n v="4.0199999999999996"/>
    <n v="7.87"/>
    <n v="48.92"/>
    <n v="116.48"/>
    <x v="68"/>
    <n v="110.000000004"/>
    <x v="2"/>
    <n v="1.1647606946632783"/>
  </r>
  <r>
    <x v="2"/>
    <x v="32"/>
    <n v="0"/>
    <n v="0"/>
    <x v="0"/>
    <n v="5.57"/>
    <n v="2.3199999999999998"/>
    <n v="7.89"/>
    <n v="70.599999999999994"/>
    <n v="0"/>
    <x v="68"/>
    <n v="0"/>
    <x v="3"/>
    <n v="0"/>
  </r>
  <r>
    <x v="2"/>
    <x v="33"/>
    <n v="0"/>
    <n v="0"/>
    <x v="0"/>
    <n v="0"/>
    <n v="0"/>
    <n v="0"/>
    <n v="0"/>
    <n v="0"/>
    <x v="68"/>
    <n v="0"/>
    <x v="3"/>
    <n v="0"/>
  </r>
  <r>
    <x v="2"/>
    <x v="34"/>
    <n v="3.7833333329999999"/>
    <n v="5.3"/>
    <x v="1145"/>
    <n v="5.2"/>
    <n v="2.69"/>
    <n v="7.89"/>
    <n v="65.91"/>
    <n v="47.95"/>
    <x v="68"/>
    <n v="45.399999995999998"/>
    <x v="4"/>
    <n v="0.47950992813688215"/>
  </r>
  <r>
    <x v="2"/>
    <x v="35"/>
    <n v="3.23"/>
    <n v="4.5599999999999996"/>
    <x v="1146"/>
    <n v="5.13"/>
    <n v="2.74"/>
    <n v="7.87"/>
    <n v="65.180000000000007"/>
    <n v="41.04"/>
    <x v="68"/>
    <n v="38.760000000000005"/>
    <x v="2"/>
    <n v="0.41041931385006353"/>
  </r>
  <r>
    <x v="2"/>
    <x v="38"/>
    <n v="5.3666666669999996"/>
    <n v="4.8499999999999996"/>
    <x v="1147"/>
    <n v="5.68"/>
    <n v="2.17"/>
    <n v="7.85"/>
    <n v="72.36"/>
    <n v="68.37"/>
    <x v="68"/>
    <n v="64.400000003999992"/>
    <x v="2"/>
    <n v="0.68365180471337583"/>
  </r>
  <r>
    <x v="2"/>
    <x v="39"/>
    <n v="0"/>
    <n v="0"/>
    <x v="0"/>
    <n v="0"/>
    <n v="0"/>
    <n v="0"/>
    <n v="0"/>
    <n v="0"/>
    <x v="68"/>
    <n v="0"/>
    <x v="2"/>
    <n v="0"/>
  </r>
  <r>
    <x v="2"/>
    <x v="40"/>
    <n v="1.4166666670000001"/>
    <n v="2.1"/>
    <x v="1148"/>
    <n v="5.52"/>
    <n v="2.39"/>
    <n v="7.91"/>
    <n v="69.790000000000006"/>
    <n v="17.91"/>
    <x v="68"/>
    <n v="17.000000004"/>
    <x v="3"/>
    <n v="0.17909818798988622"/>
  </r>
  <r>
    <x v="2"/>
    <x v="41"/>
    <n v="0"/>
    <n v="0"/>
    <x v="0"/>
    <n v="0"/>
    <n v="0"/>
    <n v="0"/>
    <n v="0"/>
    <n v="0"/>
    <x v="68"/>
    <n v="0"/>
    <x v="5"/>
    <n v="0"/>
  </r>
  <r>
    <x v="2"/>
    <x v="43"/>
    <n v="3.5833333330000001"/>
    <n v="1.05"/>
    <x v="1149"/>
    <n v="2.69"/>
    <n v="5.2"/>
    <n v="7.89"/>
    <n v="34.090000000000003"/>
    <n v="45.42"/>
    <x v="68"/>
    <n v="42.999999996"/>
    <x v="3"/>
    <n v="0.45416138567807357"/>
  </r>
  <r>
    <x v="2"/>
    <x v="44"/>
    <n v="7.0833333329999997"/>
    <n v="6.06"/>
    <x v="1150"/>
    <n v="3.24"/>
    <n v="4.6500000000000004"/>
    <n v="7.89"/>
    <n v="41.06"/>
    <n v="89.78"/>
    <x v="68"/>
    <n v="84.999999996"/>
    <x v="3"/>
    <n v="0.89776087870722432"/>
  </r>
  <r>
    <x v="2"/>
    <x v="45"/>
    <n v="0"/>
    <n v="0"/>
    <x v="0"/>
    <n v="0"/>
    <n v="0"/>
    <n v="0"/>
    <n v="0"/>
    <n v="0"/>
    <x v="68"/>
    <n v="0"/>
    <x v="4"/>
    <n v="0"/>
  </r>
  <r>
    <x v="2"/>
    <x v="47"/>
    <n v="0"/>
    <n v="0"/>
    <x v="0"/>
    <n v="0"/>
    <n v="0"/>
    <n v="0"/>
    <n v="0"/>
    <n v="0"/>
    <x v="68"/>
    <n v="0"/>
    <x v="5"/>
    <n v="0"/>
  </r>
  <r>
    <x v="2"/>
    <x v="48"/>
    <n v="0"/>
    <n v="0"/>
    <x v="0"/>
    <n v="0"/>
    <n v="0"/>
    <n v="0"/>
    <n v="0"/>
    <n v="0"/>
    <x v="68"/>
    <n v="0"/>
    <x v="6"/>
    <n v="0"/>
  </r>
  <r>
    <x v="2"/>
    <x v="49"/>
    <n v="0"/>
    <n v="0"/>
    <x v="0"/>
    <n v="0"/>
    <n v="0"/>
    <n v="0"/>
    <n v="0"/>
    <n v="0"/>
    <x v="68"/>
    <n v="0"/>
    <x v="3"/>
    <n v="0"/>
  </r>
  <r>
    <x v="2"/>
    <x v="50"/>
    <n v="3.97"/>
    <n v="3.88"/>
    <x v="1151"/>
    <n v="5.65"/>
    <n v="2.23"/>
    <n v="7.88"/>
    <n v="71.7"/>
    <n v="50.38"/>
    <x v="68"/>
    <n v="47.64"/>
    <x v="4"/>
    <n v="0.50380710659898476"/>
  </r>
  <r>
    <x v="0"/>
    <x v="0"/>
    <n v="0"/>
    <n v="0"/>
    <x v="0"/>
    <n v="0"/>
    <n v="0"/>
    <n v="0"/>
    <n v="0"/>
    <n v="0"/>
    <x v="69"/>
    <n v="0"/>
    <x v="0"/>
    <n v="0"/>
  </r>
  <r>
    <x v="0"/>
    <x v="1"/>
    <n v="0"/>
    <n v="0"/>
    <x v="0"/>
    <n v="0"/>
    <n v="0"/>
    <n v="0"/>
    <n v="0"/>
    <n v="0"/>
    <x v="69"/>
    <n v="0"/>
    <x v="0"/>
    <n v="0"/>
  </r>
  <r>
    <x v="0"/>
    <x v="2"/>
    <n v="0"/>
    <n v="0"/>
    <x v="0"/>
    <n v="0"/>
    <n v="0"/>
    <n v="0"/>
    <n v="0"/>
    <n v="0"/>
    <x v="69"/>
    <n v="0"/>
    <x v="0"/>
    <n v="0"/>
  </r>
  <r>
    <x v="0"/>
    <x v="3"/>
    <n v="0"/>
    <n v="0"/>
    <x v="0"/>
    <n v="0"/>
    <n v="0"/>
    <n v="0"/>
    <n v="0"/>
    <n v="0"/>
    <x v="69"/>
    <n v="0"/>
    <x v="0"/>
    <n v="0"/>
  </r>
  <r>
    <x v="0"/>
    <x v="4"/>
    <n v="0"/>
    <n v="0"/>
    <x v="0"/>
    <n v="0"/>
    <n v="0"/>
    <n v="0"/>
    <n v="0"/>
    <n v="0"/>
    <x v="69"/>
    <n v="0"/>
    <x v="0"/>
    <n v="0"/>
  </r>
  <r>
    <x v="0"/>
    <x v="5"/>
    <n v="0"/>
    <n v="0"/>
    <x v="0"/>
    <n v="0"/>
    <n v="0"/>
    <n v="0"/>
    <n v="0"/>
    <n v="0"/>
    <x v="69"/>
    <n v="0"/>
    <x v="0"/>
    <n v="0"/>
  </r>
  <r>
    <x v="0"/>
    <x v="6"/>
    <n v="0"/>
    <n v="0"/>
    <x v="0"/>
    <n v="0"/>
    <n v="0"/>
    <n v="0"/>
    <n v="0"/>
    <n v="0"/>
    <x v="69"/>
    <n v="0"/>
    <x v="0"/>
    <n v="0"/>
  </r>
  <r>
    <x v="0"/>
    <x v="7"/>
    <n v="0"/>
    <n v="0"/>
    <x v="0"/>
    <n v="0"/>
    <n v="0"/>
    <n v="0"/>
    <n v="0"/>
    <n v="0"/>
    <x v="69"/>
    <n v="0"/>
    <x v="0"/>
    <n v="0"/>
  </r>
  <r>
    <x v="0"/>
    <x v="8"/>
    <n v="0"/>
    <n v="0"/>
    <x v="0"/>
    <n v="0"/>
    <n v="0"/>
    <n v="0"/>
    <n v="0"/>
    <n v="0"/>
    <x v="69"/>
    <n v="0"/>
    <x v="0"/>
    <n v="0"/>
  </r>
  <r>
    <x v="1"/>
    <x v="9"/>
    <n v="0"/>
    <n v="0"/>
    <x v="0"/>
    <n v="0"/>
    <n v="0"/>
    <n v="0"/>
    <n v="0"/>
    <n v="0"/>
    <x v="69"/>
    <n v="0"/>
    <x v="1"/>
    <n v="0"/>
  </r>
  <r>
    <x v="1"/>
    <x v="10"/>
    <n v="0"/>
    <n v="0"/>
    <x v="0"/>
    <n v="0"/>
    <n v="0"/>
    <n v="0"/>
    <n v="0"/>
    <n v="0"/>
    <x v="69"/>
    <n v="0"/>
    <x v="1"/>
    <n v="0"/>
  </r>
  <r>
    <x v="1"/>
    <x v="11"/>
    <n v="0"/>
    <n v="0"/>
    <x v="0"/>
    <n v="0"/>
    <n v="0"/>
    <n v="0"/>
    <n v="0"/>
    <n v="0"/>
    <x v="69"/>
    <n v="0"/>
    <x v="1"/>
    <n v="0"/>
  </r>
  <r>
    <x v="1"/>
    <x v="12"/>
    <n v="0"/>
    <n v="0"/>
    <x v="0"/>
    <n v="0"/>
    <n v="0"/>
    <n v="0"/>
    <n v="0"/>
    <n v="0"/>
    <x v="69"/>
    <n v="0"/>
    <x v="1"/>
    <n v="0"/>
  </r>
  <r>
    <x v="1"/>
    <x v="13"/>
    <n v="0"/>
    <n v="0"/>
    <x v="0"/>
    <n v="0"/>
    <n v="0"/>
    <n v="0"/>
    <n v="0"/>
    <n v="0"/>
    <x v="69"/>
    <n v="0"/>
    <x v="1"/>
    <n v="0"/>
  </r>
  <r>
    <x v="2"/>
    <x v="14"/>
    <n v="0"/>
    <n v="0"/>
    <x v="0"/>
    <n v="0"/>
    <n v="0"/>
    <n v="0"/>
    <n v="0"/>
    <n v="0"/>
    <x v="69"/>
    <n v="0"/>
    <x v="2"/>
    <n v="0"/>
  </r>
  <r>
    <x v="2"/>
    <x v="15"/>
    <n v="0"/>
    <n v="0"/>
    <x v="0"/>
    <n v="0"/>
    <n v="0"/>
    <n v="0"/>
    <n v="0"/>
    <n v="0"/>
    <x v="69"/>
    <n v="0"/>
    <x v="3"/>
    <n v="0"/>
  </r>
  <r>
    <x v="2"/>
    <x v="16"/>
    <n v="0"/>
    <n v="0"/>
    <x v="0"/>
    <n v="0"/>
    <n v="0"/>
    <n v="0"/>
    <n v="0"/>
    <n v="0"/>
    <x v="69"/>
    <n v="0"/>
    <x v="4"/>
    <n v="0"/>
  </r>
  <r>
    <x v="2"/>
    <x v="17"/>
    <n v="0"/>
    <n v="0"/>
    <x v="0"/>
    <n v="0"/>
    <n v="0"/>
    <n v="0"/>
    <n v="0"/>
    <n v="0"/>
    <x v="69"/>
    <n v="0"/>
    <x v="3"/>
    <n v="0"/>
  </r>
  <r>
    <x v="2"/>
    <x v="18"/>
    <n v="0"/>
    <n v="0"/>
    <x v="0"/>
    <n v="0"/>
    <n v="0"/>
    <n v="0"/>
    <n v="0"/>
    <n v="0"/>
    <x v="69"/>
    <n v="0"/>
    <x v="3"/>
    <n v="0"/>
  </r>
  <r>
    <x v="2"/>
    <x v="19"/>
    <n v="0"/>
    <n v="0"/>
    <x v="0"/>
    <n v="0"/>
    <n v="0"/>
    <n v="0"/>
    <n v="0"/>
    <n v="0"/>
    <x v="69"/>
    <n v="0"/>
    <x v="2"/>
    <n v="0"/>
  </r>
  <r>
    <x v="2"/>
    <x v="20"/>
    <n v="0"/>
    <n v="0"/>
    <x v="0"/>
    <n v="0"/>
    <n v="0"/>
    <n v="0"/>
    <n v="0"/>
    <n v="0"/>
    <x v="69"/>
    <n v="0"/>
    <x v="5"/>
    <n v="0"/>
  </r>
  <r>
    <x v="2"/>
    <x v="21"/>
    <n v="0"/>
    <n v="0"/>
    <x v="0"/>
    <n v="0"/>
    <n v="0"/>
    <n v="0"/>
    <n v="0"/>
    <n v="0"/>
    <x v="69"/>
    <n v="0"/>
    <x v="2"/>
    <n v="0"/>
  </r>
  <r>
    <x v="2"/>
    <x v="22"/>
    <n v="0"/>
    <n v="0"/>
    <x v="0"/>
    <n v="0"/>
    <n v="0"/>
    <n v="0"/>
    <n v="0"/>
    <n v="0"/>
    <x v="69"/>
    <n v="0"/>
    <x v="4"/>
    <n v="0"/>
  </r>
  <r>
    <x v="2"/>
    <x v="23"/>
    <n v="0"/>
    <n v="0"/>
    <x v="0"/>
    <n v="0"/>
    <n v="0"/>
    <n v="0"/>
    <n v="0"/>
    <n v="0"/>
    <x v="69"/>
    <n v="0"/>
    <x v="3"/>
    <n v="0"/>
  </r>
  <r>
    <x v="2"/>
    <x v="24"/>
    <n v="0"/>
    <n v="0"/>
    <x v="0"/>
    <n v="0"/>
    <n v="0"/>
    <n v="0"/>
    <n v="0"/>
    <n v="0"/>
    <x v="69"/>
    <n v="0"/>
    <x v="5"/>
    <n v="0"/>
  </r>
  <r>
    <x v="2"/>
    <x v="25"/>
    <n v="0"/>
    <n v="0"/>
    <x v="0"/>
    <n v="0"/>
    <n v="0"/>
    <n v="0"/>
    <n v="0"/>
    <n v="0"/>
    <x v="69"/>
    <n v="0"/>
    <x v="2"/>
    <n v="0"/>
  </r>
  <r>
    <x v="2"/>
    <x v="26"/>
    <n v="0"/>
    <n v="0"/>
    <x v="0"/>
    <n v="0"/>
    <n v="0"/>
    <n v="0"/>
    <n v="0"/>
    <n v="0"/>
    <x v="69"/>
    <n v="0"/>
    <x v="3"/>
    <n v="0"/>
  </r>
  <r>
    <x v="2"/>
    <x v="27"/>
    <n v="0"/>
    <n v="0"/>
    <x v="0"/>
    <n v="0"/>
    <n v="0"/>
    <n v="0"/>
    <n v="0"/>
    <n v="0"/>
    <x v="69"/>
    <n v="0"/>
    <x v="5"/>
    <n v="0"/>
  </r>
  <r>
    <x v="2"/>
    <x v="29"/>
    <n v="0"/>
    <n v="0"/>
    <x v="0"/>
    <n v="0"/>
    <n v="0"/>
    <n v="0"/>
    <n v="0"/>
    <n v="0"/>
    <x v="69"/>
    <n v="0"/>
    <x v="5"/>
    <n v="0"/>
  </r>
  <r>
    <x v="2"/>
    <x v="30"/>
    <n v="0"/>
    <n v="0"/>
    <x v="0"/>
    <n v="0"/>
    <n v="0"/>
    <n v="0"/>
    <n v="0"/>
    <n v="0"/>
    <x v="69"/>
    <n v="0"/>
    <x v="5"/>
    <n v="0"/>
  </r>
  <r>
    <x v="2"/>
    <x v="31"/>
    <n v="0"/>
    <n v="0"/>
    <x v="0"/>
    <n v="0"/>
    <n v="0"/>
    <n v="0"/>
    <n v="0"/>
    <n v="0"/>
    <x v="69"/>
    <n v="0"/>
    <x v="2"/>
    <n v="0"/>
  </r>
  <r>
    <x v="2"/>
    <x v="32"/>
    <n v="0"/>
    <n v="0"/>
    <x v="0"/>
    <n v="0"/>
    <n v="0"/>
    <n v="0"/>
    <n v="0"/>
    <n v="0"/>
    <x v="69"/>
    <n v="0"/>
    <x v="3"/>
    <n v="0"/>
  </r>
  <r>
    <x v="2"/>
    <x v="33"/>
    <n v="0"/>
    <n v="0"/>
    <x v="0"/>
    <n v="0"/>
    <n v="0"/>
    <n v="0"/>
    <n v="0"/>
    <n v="0"/>
    <x v="69"/>
    <n v="0"/>
    <x v="3"/>
    <n v="0"/>
  </r>
  <r>
    <x v="2"/>
    <x v="34"/>
    <n v="0"/>
    <n v="0"/>
    <x v="0"/>
    <n v="0"/>
    <n v="0"/>
    <n v="0"/>
    <n v="0"/>
    <n v="0"/>
    <x v="69"/>
    <n v="0"/>
    <x v="4"/>
    <n v="0"/>
  </r>
  <r>
    <x v="2"/>
    <x v="35"/>
    <n v="0"/>
    <n v="0"/>
    <x v="0"/>
    <n v="0"/>
    <n v="0"/>
    <n v="0"/>
    <n v="0"/>
    <n v="0"/>
    <x v="69"/>
    <n v="0"/>
    <x v="2"/>
    <n v="0"/>
  </r>
  <r>
    <x v="2"/>
    <x v="36"/>
    <n v="0"/>
    <n v="0"/>
    <x v="0"/>
    <n v="0"/>
    <n v="0"/>
    <n v="0"/>
    <n v="0"/>
    <n v="0"/>
    <x v="69"/>
    <n v="0"/>
    <x v="4"/>
    <n v="0"/>
  </r>
  <r>
    <x v="2"/>
    <x v="37"/>
    <n v="0"/>
    <n v="0"/>
    <x v="0"/>
    <n v="0"/>
    <n v="0"/>
    <n v="0"/>
    <n v="0"/>
    <n v="0"/>
    <x v="69"/>
    <n v="0"/>
    <x v="4"/>
    <n v="0"/>
  </r>
  <r>
    <x v="2"/>
    <x v="38"/>
    <n v="0"/>
    <n v="0"/>
    <x v="0"/>
    <n v="0"/>
    <n v="0"/>
    <n v="0"/>
    <n v="0"/>
    <n v="0"/>
    <x v="69"/>
    <n v="0"/>
    <x v="2"/>
    <n v="0"/>
  </r>
  <r>
    <x v="2"/>
    <x v="39"/>
    <n v="0"/>
    <n v="0"/>
    <x v="0"/>
    <n v="0"/>
    <n v="0"/>
    <n v="0"/>
    <n v="0"/>
    <n v="0"/>
    <x v="69"/>
    <n v="0"/>
    <x v="2"/>
    <n v="0"/>
  </r>
  <r>
    <x v="2"/>
    <x v="40"/>
    <n v="0"/>
    <n v="0"/>
    <x v="0"/>
    <n v="0"/>
    <n v="0"/>
    <n v="0"/>
    <n v="0"/>
    <n v="0"/>
    <x v="69"/>
    <n v="0"/>
    <x v="3"/>
    <n v="0"/>
  </r>
  <r>
    <x v="2"/>
    <x v="41"/>
    <n v="0"/>
    <n v="0"/>
    <x v="0"/>
    <n v="0"/>
    <n v="0"/>
    <n v="0"/>
    <n v="0"/>
    <n v="0"/>
    <x v="69"/>
    <n v="0"/>
    <x v="5"/>
    <n v="0"/>
  </r>
  <r>
    <x v="2"/>
    <x v="42"/>
    <n v="0"/>
    <n v="0"/>
    <x v="0"/>
    <n v="0"/>
    <n v="0"/>
    <n v="0"/>
    <n v="0"/>
    <n v="0"/>
    <x v="69"/>
    <n v="0"/>
    <x v="2"/>
    <n v="0"/>
  </r>
  <r>
    <x v="2"/>
    <x v="43"/>
    <n v="0"/>
    <n v="0"/>
    <x v="0"/>
    <n v="0"/>
    <n v="0"/>
    <n v="0"/>
    <n v="0"/>
    <n v="0"/>
    <x v="69"/>
    <n v="0"/>
    <x v="3"/>
    <n v="0"/>
  </r>
  <r>
    <x v="2"/>
    <x v="44"/>
    <n v="0"/>
    <n v="0"/>
    <x v="0"/>
    <n v="0"/>
    <n v="0"/>
    <n v="0"/>
    <n v="0"/>
    <n v="0"/>
    <x v="69"/>
    <n v="0"/>
    <x v="3"/>
    <n v="0"/>
  </r>
  <r>
    <x v="2"/>
    <x v="45"/>
    <n v="0"/>
    <n v="0"/>
    <x v="0"/>
    <n v="0"/>
    <n v="0"/>
    <n v="0"/>
    <n v="0"/>
    <n v="0"/>
    <x v="69"/>
    <n v="0"/>
    <x v="4"/>
    <n v="0"/>
  </r>
  <r>
    <x v="2"/>
    <x v="46"/>
    <n v="0"/>
    <n v="0"/>
    <x v="0"/>
    <n v="0"/>
    <n v="0"/>
    <n v="0"/>
    <n v="0"/>
    <n v="0"/>
    <x v="69"/>
    <n v="0"/>
    <x v="4"/>
    <n v="0"/>
  </r>
  <r>
    <x v="2"/>
    <x v="47"/>
    <n v="0"/>
    <n v="0"/>
    <x v="0"/>
    <n v="0"/>
    <n v="0"/>
    <n v="0"/>
    <n v="0"/>
    <n v="0"/>
    <x v="69"/>
    <n v="0"/>
    <x v="5"/>
    <n v="0"/>
  </r>
  <r>
    <x v="2"/>
    <x v="48"/>
    <n v="0"/>
    <n v="0"/>
    <x v="0"/>
    <n v="0"/>
    <n v="0"/>
    <n v="0"/>
    <n v="0"/>
    <n v="0"/>
    <x v="69"/>
    <n v="0"/>
    <x v="6"/>
    <n v="0"/>
  </r>
  <r>
    <x v="2"/>
    <x v="49"/>
    <n v="0"/>
    <n v="0"/>
    <x v="0"/>
    <n v="0"/>
    <n v="0"/>
    <n v="0"/>
    <n v="0"/>
    <n v="0"/>
    <x v="69"/>
    <n v="0"/>
    <x v="3"/>
    <n v="0"/>
  </r>
  <r>
    <x v="2"/>
    <x v="50"/>
    <n v="0"/>
    <n v="0"/>
    <x v="0"/>
    <n v="0"/>
    <n v="0"/>
    <n v="0"/>
    <n v="0"/>
    <n v="0"/>
    <x v="69"/>
    <n v="0"/>
    <x v="4"/>
    <n v="0"/>
  </r>
  <r>
    <x v="0"/>
    <x v="0"/>
    <n v="0"/>
    <n v="0"/>
    <x v="0"/>
    <n v="0"/>
    <n v="0"/>
    <n v="0"/>
    <n v="0"/>
    <n v="0"/>
    <x v="70"/>
    <n v="0"/>
    <x v="0"/>
    <n v="0"/>
  </r>
  <r>
    <x v="0"/>
    <x v="1"/>
    <n v="1.19"/>
    <n v="6.95"/>
    <x v="1152"/>
    <n v="10.24"/>
    <n v="0.14000000000000001"/>
    <n v="10.38"/>
    <n v="98.65"/>
    <n v="11.46"/>
    <x v="70"/>
    <n v="14.279999999999998"/>
    <x v="0"/>
    <n v="0.11464354527938342"/>
  </r>
  <r>
    <x v="0"/>
    <x v="2"/>
    <n v="1.19"/>
    <n v="6.95"/>
    <x v="1152"/>
    <n v="10.25"/>
    <n v="0.14000000000000001"/>
    <n v="10.39"/>
    <n v="98.65"/>
    <n v="11.45"/>
    <x v="70"/>
    <n v="14.279999999999998"/>
    <x v="0"/>
    <n v="0.1145332050048123"/>
  </r>
  <r>
    <x v="0"/>
    <x v="3"/>
    <n v="0.75"/>
    <n v="6"/>
    <x v="1153"/>
    <n v="7.9"/>
    <n v="0.09"/>
    <n v="7.99"/>
    <n v="98.87"/>
    <n v="9.39"/>
    <x v="70"/>
    <n v="9"/>
    <x v="0"/>
    <n v="9.3867334167709635E-2"/>
  </r>
  <r>
    <x v="0"/>
    <x v="4"/>
    <n v="5.55"/>
    <n v="8.41"/>
    <x v="1154"/>
    <n v="10.27"/>
    <n v="0.16"/>
    <n v="10.43"/>
    <n v="98.47"/>
    <n v="53.21"/>
    <x v="70"/>
    <n v="66.599999999999994"/>
    <x v="0"/>
    <n v="0.53211888782358585"/>
  </r>
  <r>
    <x v="0"/>
    <x v="5"/>
    <n v="1.19"/>
    <n v="6.95"/>
    <x v="1152"/>
    <n v="10.23"/>
    <n v="0.14000000000000001"/>
    <n v="10.37"/>
    <n v="98.65"/>
    <n v="11.48"/>
    <x v="70"/>
    <n v="14.279999999999998"/>
    <x v="0"/>
    <n v="0.11475409836065574"/>
  </r>
  <r>
    <x v="0"/>
    <x v="6"/>
    <n v="7.2166666670000001"/>
    <n v="8.91"/>
    <x v="1155"/>
    <n v="10.26"/>
    <n v="0.16"/>
    <n v="10.42"/>
    <n v="98.46"/>
    <n v="69.260000000000005"/>
    <x v="70"/>
    <n v="86.600000004000009"/>
    <x v="0"/>
    <n v="0.69257837495201535"/>
  </r>
  <r>
    <x v="0"/>
    <x v="7"/>
    <n v="3.29"/>
    <n v="9.61"/>
    <x v="1156"/>
    <n v="10.18"/>
    <n v="0.09"/>
    <n v="10.27"/>
    <n v="99.12"/>
    <n v="32.04"/>
    <x v="70"/>
    <n v="39.480000000000004"/>
    <x v="0"/>
    <n v="0.32035053554040899"/>
  </r>
  <r>
    <x v="0"/>
    <x v="8"/>
    <n v="4.37"/>
    <n v="6.23"/>
    <x v="1157"/>
    <n v="10.31"/>
    <n v="0.19"/>
    <n v="10.5"/>
    <n v="98.19"/>
    <n v="41.62"/>
    <x v="70"/>
    <n v="52.44"/>
    <x v="0"/>
    <n v="0.41619047619047622"/>
  </r>
  <r>
    <x v="1"/>
    <x v="9"/>
    <n v="0"/>
    <n v="0"/>
    <x v="0"/>
    <n v="0"/>
    <n v="0"/>
    <n v="0"/>
    <n v="0"/>
    <n v="0"/>
    <x v="70"/>
    <n v="0"/>
    <x v="1"/>
    <n v="0"/>
  </r>
  <r>
    <x v="1"/>
    <x v="10"/>
    <n v="0"/>
    <n v="0"/>
    <x v="0"/>
    <n v="5.39"/>
    <n v="2.56"/>
    <n v="7.95"/>
    <n v="67.8"/>
    <n v="0"/>
    <x v="70"/>
    <n v="0"/>
    <x v="1"/>
    <n v="0"/>
  </r>
  <r>
    <x v="1"/>
    <x v="12"/>
    <n v="6.86"/>
    <n v="6.35"/>
    <x v="1158"/>
    <n v="3.55"/>
    <n v="4.45"/>
    <n v="8"/>
    <n v="44.38"/>
    <n v="85.75"/>
    <x v="70"/>
    <n v="82.320000000000007"/>
    <x v="1"/>
    <n v="0.85750000000000004"/>
  </r>
  <r>
    <x v="2"/>
    <x v="14"/>
    <n v="11.41666667"/>
    <n v="4.7300000000000004"/>
    <x v="1159"/>
    <n v="6.33"/>
    <n v="1.68"/>
    <n v="8.01"/>
    <n v="79.03"/>
    <n v="142.53"/>
    <x v="70"/>
    <n v="137.00000003999997"/>
    <x v="2"/>
    <n v="1.4253017066167291"/>
  </r>
  <r>
    <x v="2"/>
    <x v="15"/>
    <n v="1.6666666670000001"/>
    <n v="3.87"/>
    <x v="1160"/>
    <n v="7.93"/>
    <n v="0.2"/>
    <n v="8.1300000000000008"/>
    <n v="97.54"/>
    <n v="20.5"/>
    <x v="70"/>
    <n v="20.000000004"/>
    <x v="3"/>
    <n v="0.2050020500615006"/>
  </r>
  <r>
    <x v="2"/>
    <x v="16"/>
    <n v="1.01"/>
    <n v="0.9"/>
    <x v="836"/>
    <n v="7.84"/>
    <n v="0.27"/>
    <n v="8.11"/>
    <n v="96.67"/>
    <n v="12.45"/>
    <x v="70"/>
    <n v="12.120000000000001"/>
    <x v="4"/>
    <n v="0.124537607891492"/>
  </r>
  <r>
    <x v="2"/>
    <x v="17"/>
    <n v="1.25"/>
    <n v="4.05"/>
    <x v="1161"/>
    <n v="6.69"/>
    <n v="3.15"/>
    <n v="9.84"/>
    <n v="67.989999999999995"/>
    <n v="12.7"/>
    <x v="70"/>
    <n v="15"/>
    <x v="3"/>
    <n v="0.12703252032520326"/>
  </r>
  <r>
    <x v="2"/>
    <x v="18"/>
    <n v="0"/>
    <n v="0"/>
    <x v="0"/>
    <n v="4.88"/>
    <n v="3.04"/>
    <n v="7.92"/>
    <n v="61.62"/>
    <n v="0"/>
    <x v="70"/>
    <n v="0"/>
    <x v="3"/>
    <n v="0"/>
  </r>
  <r>
    <x v="2"/>
    <x v="19"/>
    <n v="7.1666666670000003"/>
    <n v="5.32"/>
    <x v="1162"/>
    <n v="7.12"/>
    <n v="0.84"/>
    <n v="7.96"/>
    <n v="89.45"/>
    <n v="90.03"/>
    <x v="70"/>
    <n v="86.000000004"/>
    <x v="2"/>
    <n v="0.90033500841708547"/>
  </r>
  <r>
    <x v="2"/>
    <x v="20"/>
    <n v="7.2866666670000004"/>
    <n v="5.87"/>
    <x v="1163"/>
    <n v="6.99"/>
    <n v="1.1100000000000001"/>
    <n v="8.1"/>
    <n v="86.3"/>
    <n v="89.96"/>
    <x v="70"/>
    <n v="87.440000003999998"/>
    <x v="5"/>
    <n v="0.89958847740740755"/>
  </r>
  <r>
    <x v="2"/>
    <x v="21"/>
    <n v="11.91666667"/>
    <n v="6.88"/>
    <x v="1164"/>
    <n v="6.87"/>
    <n v="1.07"/>
    <n v="7.94"/>
    <n v="86.52"/>
    <n v="150.08000000000001"/>
    <x v="70"/>
    <n v="143.00000003999997"/>
    <x v="2"/>
    <n v="1.5008396309823677"/>
  </r>
  <r>
    <x v="2"/>
    <x v="22"/>
    <n v="0"/>
    <n v="0"/>
    <x v="0"/>
    <n v="6.97"/>
    <n v="1.1100000000000001"/>
    <n v="8.08"/>
    <n v="86.26"/>
    <n v="0"/>
    <x v="70"/>
    <n v="0"/>
    <x v="4"/>
    <n v="0"/>
  </r>
  <r>
    <x v="2"/>
    <x v="23"/>
    <n v="0"/>
    <n v="0"/>
    <x v="0"/>
    <n v="2.02"/>
    <n v="7.85"/>
    <n v="9.8699999999999992"/>
    <n v="20.47"/>
    <n v="0"/>
    <x v="70"/>
    <n v="0"/>
    <x v="3"/>
    <n v="0"/>
  </r>
  <r>
    <x v="2"/>
    <x v="24"/>
    <n v="1.04"/>
    <n v="0.82"/>
    <x v="1165"/>
    <n v="7.53"/>
    <n v="0.41"/>
    <n v="7.94"/>
    <n v="94.84"/>
    <n v="13.1"/>
    <x v="70"/>
    <n v="12.48"/>
    <x v="5"/>
    <n v="0.13098236775818639"/>
  </r>
  <r>
    <x v="2"/>
    <x v="25"/>
    <n v="6.8333333329999997"/>
    <n v="6.21"/>
    <x v="1166"/>
    <n v="6.21"/>
    <n v="1.74"/>
    <n v="7.95"/>
    <n v="78.11"/>
    <n v="85.95"/>
    <x v="70"/>
    <n v="81.999999996"/>
    <x v="2"/>
    <n v="0.85953878402515715"/>
  </r>
  <r>
    <x v="2"/>
    <x v="26"/>
    <n v="6.1666666670000003"/>
    <n v="5.24"/>
    <x v="1167"/>
    <n v="5.23"/>
    <n v="2.85"/>
    <n v="8.08"/>
    <n v="64.73"/>
    <n v="76.319999999999993"/>
    <x v="70"/>
    <n v="74.000000004"/>
    <x v="3"/>
    <n v="0.76320132017326736"/>
  </r>
  <r>
    <x v="2"/>
    <x v="27"/>
    <n v="9.5399999999999991"/>
    <n v="4.74"/>
    <x v="1168"/>
    <n v="7.55"/>
    <n v="0.39"/>
    <n v="7.94"/>
    <n v="95.09"/>
    <n v="120.15"/>
    <x v="70"/>
    <n v="114.47999999999999"/>
    <x v="5"/>
    <n v="1.2015113350125943"/>
  </r>
  <r>
    <x v="2"/>
    <x v="31"/>
    <n v="9.443333333"/>
    <n v="5.42"/>
    <x v="1169"/>
    <n v="6.57"/>
    <n v="1.35"/>
    <n v="7.92"/>
    <n v="82.95"/>
    <n v="119.23"/>
    <x v="70"/>
    <n v="113.31999999600001"/>
    <x v="2"/>
    <n v="1.1923400672979798"/>
  </r>
  <r>
    <x v="2"/>
    <x v="32"/>
    <n v="0.66666666699999999"/>
    <n v="3.49"/>
    <x v="1170"/>
    <n v="4.6500000000000004"/>
    <n v="4.76"/>
    <n v="9.41"/>
    <n v="49.42"/>
    <n v="7.08"/>
    <x v="70"/>
    <n v="8.0000000040000003"/>
    <x v="3"/>
    <n v="7.0846617109458027E-2"/>
  </r>
  <r>
    <x v="2"/>
    <x v="33"/>
    <n v="1.76"/>
    <n v="2.1800000000000002"/>
    <x v="1171"/>
    <n v="1.1200000000000001"/>
    <n v="4.45"/>
    <n v="5.57"/>
    <n v="20.11"/>
    <n v="31.6"/>
    <x v="70"/>
    <n v="21.119999999999997"/>
    <x v="3"/>
    <n v="0.31597845601436264"/>
  </r>
  <r>
    <x v="2"/>
    <x v="35"/>
    <n v="6.0833333329999997"/>
    <n v="4.7699999999999996"/>
    <x v="1172"/>
    <n v="9.31"/>
    <n v="0.67"/>
    <n v="9.98"/>
    <n v="93.29"/>
    <n v="60.96"/>
    <x v="70"/>
    <n v="72.999999996"/>
    <x v="2"/>
    <n v="0.60955243817635263"/>
  </r>
  <r>
    <x v="2"/>
    <x v="37"/>
    <n v="0"/>
    <n v="0"/>
    <x v="0"/>
    <n v="0"/>
    <n v="0"/>
    <n v="0"/>
    <n v="0"/>
    <n v="0"/>
    <x v="70"/>
    <n v="0"/>
    <x v="4"/>
    <n v="0"/>
  </r>
  <r>
    <x v="2"/>
    <x v="38"/>
    <n v="15.08333333"/>
    <n v="7.26"/>
    <x v="1173"/>
    <n v="8.58"/>
    <n v="1.37"/>
    <n v="9.9499999999999993"/>
    <n v="86.23"/>
    <n v="151.59"/>
    <x v="70"/>
    <n v="180.99999996000003"/>
    <x v="2"/>
    <n v="1.5159128974874374"/>
  </r>
  <r>
    <x v="2"/>
    <x v="39"/>
    <n v="3.9166666669999999"/>
    <n v="3.43"/>
    <x v="1174"/>
    <n v="6.24"/>
    <n v="1.69"/>
    <n v="7.93"/>
    <n v="78.69"/>
    <n v="49.39"/>
    <x v="70"/>
    <n v="47.000000004"/>
    <x v="2"/>
    <n v="0.49390500214375788"/>
  </r>
  <r>
    <x v="2"/>
    <x v="40"/>
    <n v="1.74"/>
    <n v="2.15"/>
    <x v="1175"/>
    <n v="2.97"/>
    <n v="4.8899999999999997"/>
    <n v="7.86"/>
    <n v="37.79"/>
    <n v="22.14"/>
    <x v="70"/>
    <n v="20.880000000000003"/>
    <x v="3"/>
    <n v="0.2213740458015267"/>
  </r>
  <r>
    <x v="2"/>
    <x v="41"/>
    <n v="3.23"/>
    <n v="2.6"/>
    <x v="1176"/>
    <n v="8.0500000000000007"/>
    <n v="1.93"/>
    <n v="9.98"/>
    <n v="80.66"/>
    <n v="32.36"/>
    <x v="70"/>
    <n v="38.760000000000005"/>
    <x v="5"/>
    <n v="0.32364729458917835"/>
  </r>
  <r>
    <x v="2"/>
    <x v="42"/>
    <n v="10.963333329999999"/>
    <n v="8"/>
    <x v="1177"/>
    <n v="7.25"/>
    <n v="0.76"/>
    <n v="8.01"/>
    <n v="90.51"/>
    <n v="136.87"/>
    <x v="70"/>
    <n v="131.55999995999997"/>
    <x v="2"/>
    <n v="1.368705784019975"/>
  </r>
  <r>
    <x v="2"/>
    <x v="43"/>
    <n v="0"/>
    <n v="0"/>
    <x v="0"/>
    <n v="5.94"/>
    <n v="2.21"/>
    <n v="8.15"/>
    <n v="72.88"/>
    <n v="0"/>
    <x v="70"/>
    <n v="0"/>
    <x v="3"/>
    <n v="0"/>
  </r>
  <r>
    <x v="2"/>
    <x v="44"/>
    <n v="4"/>
    <n v="4.59"/>
    <x v="1178"/>
    <n v="4.58"/>
    <n v="3.54"/>
    <n v="8.1199999999999992"/>
    <n v="56.4"/>
    <n v="49.26"/>
    <x v="70"/>
    <n v="48"/>
    <x v="3"/>
    <n v="0.49261083743842371"/>
  </r>
  <r>
    <x v="2"/>
    <x v="45"/>
    <n v="0"/>
    <n v="0"/>
    <x v="0"/>
    <n v="2.82"/>
    <n v="5.17"/>
    <n v="7.99"/>
    <n v="35.29"/>
    <n v="0"/>
    <x v="70"/>
    <n v="0"/>
    <x v="4"/>
    <n v="0"/>
  </r>
  <r>
    <x v="2"/>
    <x v="46"/>
    <n v="0.99"/>
    <n v="0.88"/>
    <x v="1179"/>
    <n v="7.78"/>
    <n v="0.28999999999999998"/>
    <n v="8.07"/>
    <n v="96.41"/>
    <n v="12.27"/>
    <x v="70"/>
    <n v="11.879999999999999"/>
    <x v="4"/>
    <n v="0.12267657992565055"/>
  </r>
  <r>
    <x v="2"/>
    <x v="47"/>
    <n v="4.0433333329999996"/>
    <n v="4.18"/>
    <x v="1180"/>
    <n v="7.68"/>
    <n v="0.3"/>
    <n v="7.98"/>
    <n v="96.24"/>
    <n v="50.67"/>
    <x v="70"/>
    <n v="48.519999995999996"/>
    <x v="5"/>
    <n v="0.50668337506265659"/>
  </r>
  <r>
    <x v="2"/>
    <x v="48"/>
    <n v="0"/>
    <n v="0"/>
    <x v="0"/>
    <n v="0"/>
    <n v="0"/>
    <n v="0"/>
    <n v="0"/>
    <n v="0"/>
    <x v="70"/>
    <n v="0"/>
    <x v="6"/>
    <n v="0"/>
  </r>
  <r>
    <x v="2"/>
    <x v="50"/>
    <n v="0"/>
    <n v="0"/>
    <x v="0"/>
    <n v="7.77"/>
    <n v="0.43"/>
    <n v="8.1999999999999993"/>
    <n v="94.76"/>
    <n v="0"/>
    <x v="70"/>
    <n v="0"/>
    <x v="4"/>
    <n v="0"/>
  </r>
  <r>
    <x v="0"/>
    <x v="0"/>
    <n v="0"/>
    <n v="0"/>
    <x v="0"/>
    <n v="0"/>
    <n v="0"/>
    <n v="0"/>
    <n v="0"/>
    <n v="0"/>
    <x v="71"/>
    <n v="0"/>
    <x v="0"/>
    <n v="0"/>
  </r>
  <r>
    <x v="0"/>
    <x v="1"/>
    <n v="1.92"/>
    <n v="5.6"/>
    <x v="1181"/>
    <n v="10.88"/>
    <n v="0.13"/>
    <n v="11.01"/>
    <n v="98.82"/>
    <n v="17.440000000000001"/>
    <x v="71"/>
    <n v="23.04"/>
    <x v="0"/>
    <n v="0.17438692098092642"/>
  </r>
  <r>
    <x v="0"/>
    <x v="2"/>
    <n v="3.21"/>
    <n v="9.59"/>
    <x v="1182"/>
    <n v="10.93"/>
    <n v="0.09"/>
    <n v="11.02"/>
    <n v="99.18"/>
    <n v="29.13"/>
    <x v="71"/>
    <n v="38.519999999999996"/>
    <x v="0"/>
    <n v="0.29128856624319421"/>
  </r>
  <r>
    <x v="0"/>
    <x v="3"/>
    <n v="0"/>
    <n v="0"/>
    <x v="0"/>
    <n v="7.71"/>
    <n v="0.36"/>
    <n v="8.07"/>
    <n v="95.54"/>
    <n v="0"/>
    <x v="71"/>
    <n v="0"/>
    <x v="0"/>
    <n v="0"/>
  </r>
  <r>
    <x v="0"/>
    <x v="4"/>
    <n v="3.58"/>
    <n v="4.03"/>
    <x v="1183"/>
    <n v="10.48"/>
    <n v="0.13"/>
    <n v="10.61"/>
    <n v="98.77"/>
    <n v="33.74"/>
    <x v="71"/>
    <n v="42.96"/>
    <x v="0"/>
    <n v="0.33741753063147978"/>
  </r>
  <r>
    <x v="0"/>
    <x v="5"/>
    <n v="3.21"/>
    <n v="9.59"/>
    <x v="1182"/>
    <n v="10.55"/>
    <n v="0.08"/>
    <n v="10.63"/>
    <n v="99.25"/>
    <n v="30.2"/>
    <x v="71"/>
    <n v="38.519999999999996"/>
    <x v="0"/>
    <n v="0.30197554092191908"/>
  </r>
  <r>
    <x v="0"/>
    <x v="7"/>
    <n v="2.19"/>
    <n v="3.9"/>
    <x v="1184"/>
    <n v="7.67"/>
    <n v="0.35"/>
    <n v="8.02"/>
    <n v="95.64"/>
    <n v="27.31"/>
    <x v="71"/>
    <n v="26.28"/>
    <x v="0"/>
    <n v="0.27306733167082298"/>
  </r>
  <r>
    <x v="1"/>
    <x v="10"/>
    <n v="4.8333333329999997"/>
    <n v="1.97"/>
    <x v="1185"/>
    <n v="10.01"/>
    <n v="0.56000000000000005"/>
    <n v="10.57"/>
    <n v="94.7"/>
    <n v="45.73"/>
    <x v="71"/>
    <n v="57.999999996"/>
    <x v="1"/>
    <n v="0.45726900028382211"/>
  </r>
  <r>
    <x v="1"/>
    <x v="11"/>
    <n v="5.3633333329999999"/>
    <n v="3.44"/>
    <x v="1186"/>
    <n v="6.99"/>
    <n v="1.05"/>
    <n v="8.0399999999999991"/>
    <n v="86.94"/>
    <n v="66.709999999999994"/>
    <x v="71"/>
    <n v="64.359999995999999"/>
    <x v="1"/>
    <n v="0.66708126032338311"/>
  </r>
  <r>
    <x v="1"/>
    <x v="12"/>
    <n v="6.43"/>
    <n v="7.66"/>
    <x v="1187"/>
    <n v="8.93"/>
    <n v="1.25"/>
    <n v="10.18"/>
    <n v="87.72"/>
    <n v="63.16"/>
    <x v="71"/>
    <n v="77.16"/>
    <x v="1"/>
    <n v="0.63163064833005889"/>
  </r>
  <r>
    <x v="2"/>
    <x v="14"/>
    <n v="15.83333333"/>
    <n v="6.61"/>
    <x v="1188"/>
    <n v="7.43"/>
    <n v="0.5"/>
    <n v="7.93"/>
    <n v="93.69"/>
    <n v="199.66"/>
    <x v="71"/>
    <n v="189.99999996000003"/>
    <x v="2"/>
    <n v="1.9966372421185372"/>
  </r>
  <r>
    <x v="2"/>
    <x v="15"/>
    <n v="1.1666666670000001"/>
    <n v="3.03"/>
    <x v="1189"/>
    <n v="8.01"/>
    <n v="1.25"/>
    <n v="9.26"/>
    <n v="86.5"/>
    <n v="12.6"/>
    <x v="71"/>
    <n v="14.000000004"/>
    <x v="3"/>
    <n v="0.12598992084233263"/>
  </r>
  <r>
    <x v="2"/>
    <x v="17"/>
    <n v="0"/>
    <n v="0"/>
    <x v="0"/>
    <n v="0"/>
    <n v="11.13"/>
    <n v="11.13"/>
    <n v="0"/>
    <n v="0"/>
    <x v="71"/>
    <n v="0"/>
    <x v="3"/>
    <n v="0"/>
  </r>
  <r>
    <x v="2"/>
    <x v="20"/>
    <n v="1.7"/>
    <n v="1.03"/>
    <x v="1190"/>
    <n v="7.88"/>
    <n v="0.37"/>
    <n v="8.25"/>
    <n v="95.52"/>
    <n v="20.61"/>
    <x v="71"/>
    <n v="20.399999999999999"/>
    <x v="5"/>
    <n v="0.20606060606060606"/>
  </r>
  <r>
    <x v="2"/>
    <x v="21"/>
    <n v="10.83333333"/>
    <n v="4.8099999999999996"/>
    <x v="1191"/>
    <n v="7.14"/>
    <n v="0.85"/>
    <n v="7.99"/>
    <n v="89.36"/>
    <n v="135.59"/>
    <x v="71"/>
    <n v="129.99999996000003"/>
    <x v="2"/>
    <n v="1.3558614931163955"/>
  </r>
  <r>
    <x v="2"/>
    <x v="23"/>
    <n v="0"/>
    <n v="0"/>
    <x v="0"/>
    <n v="8.81"/>
    <n v="2.29"/>
    <n v="11.1"/>
    <n v="79.37"/>
    <n v="0"/>
    <x v="71"/>
    <n v="0"/>
    <x v="3"/>
    <n v="0"/>
  </r>
  <r>
    <x v="2"/>
    <x v="25"/>
    <n v="7.4166666670000003"/>
    <n v="6.28"/>
    <x v="1192"/>
    <n v="6.28"/>
    <n v="1.74"/>
    <n v="8.02"/>
    <n v="78.3"/>
    <n v="92.48"/>
    <x v="71"/>
    <n v="89.000000004"/>
    <x v="2"/>
    <n v="0.92477140486284293"/>
  </r>
  <r>
    <x v="2"/>
    <x v="30"/>
    <n v="8.1633333330000006"/>
    <n v="7.6"/>
    <x v="1193"/>
    <n v="7.77"/>
    <n v="0.46"/>
    <n v="8.23"/>
    <n v="94.41"/>
    <n v="99.19"/>
    <x v="71"/>
    <n v="97.959999996000008"/>
    <x v="5"/>
    <n v="0.991899554434994"/>
  </r>
  <r>
    <x v="2"/>
    <x v="32"/>
    <n v="0.3"/>
    <n v="1.98"/>
    <x v="1194"/>
    <n v="9.51"/>
    <n v="1.61"/>
    <n v="11.12"/>
    <n v="85.52"/>
    <n v="2.7"/>
    <x v="71"/>
    <n v="3.6"/>
    <x v="3"/>
    <n v="2.6978417266187053E-2"/>
  </r>
  <r>
    <x v="2"/>
    <x v="33"/>
    <n v="2.41"/>
    <n v="3.71"/>
    <x v="1195"/>
    <n v="6.78"/>
    <n v="2.2799999999999998"/>
    <n v="9.06"/>
    <n v="74.83"/>
    <n v="26.6"/>
    <x v="71"/>
    <n v="28.920000000000005"/>
    <x v="3"/>
    <n v="0.26600441501103755"/>
  </r>
  <r>
    <x v="2"/>
    <x v="34"/>
    <n v="0.66666666699999999"/>
    <n v="0.82"/>
    <x v="587"/>
    <n v="8.4700000000000006"/>
    <n v="1.64"/>
    <n v="10.11"/>
    <n v="83.78"/>
    <n v="6.59"/>
    <x v="71"/>
    <n v="8.0000000040000003"/>
    <x v="4"/>
    <n v="6.5941312265084082E-2"/>
  </r>
  <r>
    <x v="2"/>
    <x v="36"/>
    <n v="0"/>
    <n v="0"/>
    <x v="0"/>
    <n v="8.69"/>
    <n v="1.41"/>
    <n v="10.1"/>
    <n v="86.04"/>
    <n v="0"/>
    <x v="71"/>
    <n v="0"/>
    <x v="4"/>
    <n v="0"/>
  </r>
  <r>
    <x v="2"/>
    <x v="37"/>
    <n v="0"/>
    <n v="0"/>
    <x v="0"/>
    <n v="8.1999999999999993"/>
    <n v="0.96"/>
    <n v="9.16"/>
    <n v="89.52"/>
    <n v="0"/>
    <x v="71"/>
    <n v="0"/>
    <x v="4"/>
    <n v="0"/>
  </r>
  <r>
    <x v="2"/>
    <x v="38"/>
    <n v="11.33333333"/>
    <n v="6.77"/>
    <x v="1196"/>
    <n v="9.23"/>
    <n v="0.4"/>
    <n v="9.6300000000000008"/>
    <n v="95.85"/>
    <n v="117.69"/>
    <x v="71"/>
    <n v="135.99999996000003"/>
    <x v="2"/>
    <n v="1.1768778120456904"/>
  </r>
  <r>
    <x v="2"/>
    <x v="39"/>
    <n v="9.3333333330000006"/>
    <n v="7.84"/>
    <x v="1197"/>
    <n v="7.03"/>
    <n v="0.96"/>
    <n v="7.99"/>
    <n v="87.98"/>
    <n v="116.81"/>
    <x v="71"/>
    <n v="111.999999996"/>
    <x v="2"/>
    <n v="1.1681268251564456"/>
  </r>
  <r>
    <x v="2"/>
    <x v="40"/>
    <n v="3.43"/>
    <n v="4.41"/>
    <x v="528"/>
    <n v="8.82"/>
    <n v="2.2799999999999998"/>
    <n v="11.1"/>
    <n v="79.459999999999994"/>
    <n v="30.9"/>
    <x v="71"/>
    <n v="41.160000000000004"/>
    <x v="3"/>
    <n v="0.30900900900900902"/>
  </r>
  <r>
    <x v="2"/>
    <x v="41"/>
    <n v="5.23"/>
    <n v="4.41"/>
    <x v="1198"/>
    <n v="7.96"/>
    <n v="0.12"/>
    <n v="8.08"/>
    <n v="98.51"/>
    <n v="64.73"/>
    <x v="71"/>
    <n v="62.760000000000005"/>
    <x v="5"/>
    <n v="0.6472772277227723"/>
  </r>
  <r>
    <x v="2"/>
    <x v="46"/>
    <n v="0.51"/>
    <n v="0.8"/>
    <x v="1199"/>
    <n v="7.53"/>
    <n v="0.56999999999999995"/>
    <n v="8.1"/>
    <n v="92.96"/>
    <n v="6.3"/>
    <x v="71"/>
    <n v="6.12"/>
    <x v="4"/>
    <n v="6.2962962962962971E-2"/>
  </r>
  <r>
    <x v="2"/>
    <x v="47"/>
    <n v="6.7566666670000002"/>
    <n v="5.47"/>
    <x v="1200"/>
    <n v="8.01"/>
    <n v="0.1"/>
    <n v="8.11"/>
    <n v="98.77"/>
    <n v="83.31"/>
    <x v="71"/>
    <n v="81.080000003999999"/>
    <x v="5"/>
    <n v="0.83312782577065359"/>
  </r>
  <r>
    <x v="2"/>
    <x v="48"/>
    <n v="0"/>
    <n v="0"/>
    <x v="0"/>
    <n v="0"/>
    <n v="0"/>
    <n v="0"/>
    <n v="0"/>
    <n v="0"/>
    <x v="71"/>
    <n v="0"/>
    <x v="6"/>
    <n v="0"/>
  </r>
  <r>
    <x v="2"/>
    <x v="49"/>
    <n v="1"/>
    <n v="1.25"/>
    <x v="1201"/>
    <n v="7.68"/>
    <n v="1.31"/>
    <n v="8.99"/>
    <n v="85.43"/>
    <n v="11.12"/>
    <x v="71"/>
    <n v="12"/>
    <x v="3"/>
    <n v="0.11123470522803114"/>
  </r>
  <r>
    <x v="2"/>
    <x v="50"/>
    <n v="1.9566666669999999"/>
    <n v="2"/>
    <x v="1202"/>
    <n v="8.06"/>
    <n v="0.15"/>
    <n v="8.2100000000000009"/>
    <n v="98.17"/>
    <n v="23.83"/>
    <x v="71"/>
    <n v="23.480000003999997"/>
    <x v="4"/>
    <n v="0.23832724323995125"/>
  </r>
  <r>
    <x v="0"/>
    <x v="0"/>
    <n v="0"/>
    <n v="0"/>
    <x v="0"/>
    <n v="0"/>
    <n v="0"/>
    <n v="0"/>
    <n v="0"/>
    <n v="0"/>
    <x v="72"/>
    <n v="0"/>
    <x v="0"/>
    <n v="0"/>
  </r>
  <r>
    <x v="0"/>
    <x v="1"/>
    <n v="2.78"/>
    <n v="10.220000000000001"/>
    <x v="1203"/>
    <n v="10.55"/>
    <n v="0.03"/>
    <n v="10.58"/>
    <n v="99.72"/>
    <n v="26.28"/>
    <x v="72"/>
    <n v="33.36"/>
    <x v="0"/>
    <n v="0.26275992438563323"/>
  </r>
  <r>
    <x v="0"/>
    <x v="4"/>
    <n v="1.25"/>
    <n v="3.48"/>
    <x v="1204"/>
    <n v="9.61"/>
    <n v="0.86"/>
    <n v="10.47"/>
    <n v="91.79"/>
    <n v="11.94"/>
    <x v="72"/>
    <n v="15"/>
    <x v="0"/>
    <n v="0.11938872970391594"/>
  </r>
  <r>
    <x v="0"/>
    <x v="5"/>
    <n v="2.78"/>
    <n v="10.199999999999999"/>
    <x v="1205"/>
    <n v="10.55"/>
    <n v="0.03"/>
    <n v="10.58"/>
    <n v="99.72"/>
    <n v="26.28"/>
    <x v="72"/>
    <n v="33.36"/>
    <x v="0"/>
    <n v="0.26275992438563323"/>
  </r>
  <r>
    <x v="1"/>
    <x v="9"/>
    <n v="0"/>
    <n v="0"/>
    <x v="0"/>
    <n v="1.66"/>
    <n v="6.4"/>
    <n v="8.06"/>
    <n v="20.6"/>
    <n v="0"/>
    <x v="72"/>
    <n v="0"/>
    <x v="1"/>
    <n v="0"/>
  </r>
  <r>
    <x v="1"/>
    <x v="10"/>
    <n v="2.4166666669999999"/>
    <n v="2.2599999999999998"/>
    <x v="1206"/>
    <n v="6.76"/>
    <n v="1.3"/>
    <n v="8.06"/>
    <n v="83.87"/>
    <n v="29.98"/>
    <x v="72"/>
    <n v="29.000000003999997"/>
    <x v="1"/>
    <n v="0.29983457406947889"/>
  </r>
  <r>
    <x v="1"/>
    <x v="12"/>
    <n v="6.55"/>
    <n v="6.25"/>
    <x v="1207"/>
    <n v="7.08"/>
    <n v="1"/>
    <n v="8.08"/>
    <n v="87.62"/>
    <n v="81.06"/>
    <x v="72"/>
    <n v="78.599999999999994"/>
    <x v="1"/>
    <n v="0.81064356435643559"/>
  </r>
  <r>
    <x v="1"/>
    <x v="13"/>
    <n v="4.1100000000000003"/>
    <n v="4.29"/>
    <x v="1208"/>
    <n v="6.84"/>
    <n v="1.25"/>
    <n v="8.09"/>
    <n v="84.55"/>
    <n v="50.8"/>
    <x v="72"/>
    <n v="49.320000000000007"/>
    <x v="1"/>
    <n v="0.508034610630408"/>
  </r>
  <r>
    <x v="2"/>
    <x v="14"/>
    <n v="15.91666667"/>
    <n v="7.15"/>
    <x v="1209"/>
    <n v="7.85"/>
    <n v="0.28999999999999998"/>
    <n v="8.14"/>
    <n v="96.44"/>
    <n v="195.54"/>
    <x v="72"/>
    <n v="191.00000003999997"/>
    <x v="2"/>
    <n v="1.9553644557739556"/>
  </r>
  <r>
    <x v="2"/>
    <x v="16"/>
    <n v="0.49"/>
    <n v="0.65"/>
    <x v="1210"/>
    <n v="7.81"/>
    <n v="0.24"/>
    <n v="8.0500000000000007"/>
    <n v="97.02"/>
    <n v="6.09"/>
    <x v="72"/>
    <n v="5.88"/>
    <x v="4"/>
    <n v="6.08695652173913E-2"/>
  </r>
  <r>
    <x v="2"/>
    <x v="17"/>
    <n v="0.33333333300000001"/>
    <n v="0.43"/>
    <x v="1211"/>
    <n v="5.56"/>
    <n v="4.03"/>
    <n v="9.59"/>
    <n v="57.98"/>
    <n v="3.48"/>
    <x v="72"/>
    <n v="3.9999999960000006"/>
    <x v="3"/>
    <n v="3.4758428884254434E-2"/>
  </r>
  <r>
    <x v="2"/>
    <x v="18"/>
    <n v="2"/>
    <n v="5.23"/>
    <x v="1212"/>
    <n v="6.59"/>
    <n v="2.1800000000000002"/>
    <n v="8.77"/>
    <n v="75.14"/>
    <n v="22.81"/>
    <x v="72"/>
    <n v="24"/>
    <x v="3"/>
    <n v="0.22805017103762829"/>
  </r>
  <r>
    <x v="2"/>
    <x v="19"/>
    <n v="6"/>
    <n v="3.77"/>
    <x v="1213"/>
    <n v="8.65"/>
    <n v="1.1399999999999999"/>
    <n v="9.7899999999999991"/>
    <n v="88.36"/>
    <n v="61.29"/>
    <x v="72"/>
    <n v="72"/>
    <x v="2"/>
    <n v="0.61287027579162412"/>
  </r>
  <r>
    <x v="2"/>
    <x v="20"/>
    <n v="8.943333333"/>
    <n v="5.58"/>
    <x v="1214"/>
    <n v="11.08"/>
    <n v="0.39"/>
    <n v="11.47"/>
    <n v="96.6"/>
    <n v="77.97"/>
    <x v="72"/>
    <n v="107.31999999600001"/>
    <x v="5"/>
    <n v="0.77971519904097641"/>
  </r>
  <r>
    <x v="2"/>
    <x v="21"/>
    <n v="9"/>
    <n v="5.77"/>
    <x v="1215"/>
    <n v="5.56"/>
    <n v="0.94"/>
    <n v="6.5"/>
    <n v="85.54"/>
    <n v="138.46"/>
    <x v="72"/>
    <n v="108"/>
    <x v="2"/>
    <n v="1.3846153846153846"/>
  </r>
  <r>
    <x v="2"/>
    <x v="22"/>
    <n v="0"/>
    <n v="0"/>
    <x v="0"/>
    <n v="7.05"/>
    <n v="1.48"/>
    <n v="8.5299999999999994"/>
    <n v="82.65"/>
    <n v="0"/>
    <x v="72"/>
    <n v="0"/>
    <x v="4"/>
    <n v="0"/>
  </r>
  <r>
    <x v="2"/>
    <x v="23"/>
    <n v="3.23"/>
    <n v="8.7100000000000009"/>
    <x v="1216"/>
    <n v="4.3499999999999996"/>
    <n v="5.21"/>
    <n v="9.56"/>
    <n v="45.5"/>
    <n v="33.79"/>
    <x v="72"/>
    <n v="38.760000000000005"/>
    <x v="3"/>
    <n v="0.33786610878661089"/>
  </r>
  <r>
    <x v="2"/>
    <x v="25"/>
    <n v="7.5"/>
    <n v="4.4400000000000004"/>
    <x v="1217"/>
    <n v="7.02"/>
    <n v="1.1000000000000001"/>
    <n v="8.1199999999999992"/>
    <n v="86.45"/>
    <n v="92.36"/>
    <x v="72"/>
    <n v="90"/>
    <x v="2"/>
    <n v="0.92364532019704437"/>
  </r>
  <r>
    <x v="2"/>
    <x v="26"/>
    <n v="4.7866666670000004"/>
    <n v="6.04"/>
    <x v="1218"/>
    <n v="7.26"/>
    <n v="0.93"/>
    <n v="8.19"/>
    <n v="88.64"/>
    <n v="58.45"/>
    <x v="72"/>
    <n v="57.440000003999998"/>
    <x v="3"/>
    <n v="0.58445258449328463"/>
  </r>
  <r>
    <x v="2"/>
    <x v="27"/>
    <n v="7.47"/>
    <n v="5.34"/>
    <x v="1219"/>
    <n v="9.66"/>
    <n v="0.51"/>
    <n v="10.17"/>
    <n v="94.99"/>
    <n v="73.45"/>
    <x v="72"/>
    <n v="89.64"/>
    <x v="5"/>
    <n v="0.73451327433628322"/>
  </r>
  <r>
    <x v="2"/>
    <x v="29"/>
    <n v="0"/>
    <n v="0"/>
    <x v="0"/>
    <n v="0"/>
    <n v="0"/>
    <n v="0"/>
    <n v="0"/>
    <n v="0"/>
    <x v="72"/>
    <n v="0"/>
    <x v="5"/>
    <n v="0"/>
  </r>
  <r>
    <x v="2"/>
    <x v="30"/>
    <n v="12.963333329999999"/>
    <n v="11.04"/>
    <x v="1220"/>
    <n v="10.92"/>
    <n v="0.6"/>
    <n v="11.52"/>
    <n v="94.79"/>
    <n v="112.53"/>
    <x v="72"/>
    <n v="155.55999995999997"/>
    <x v="5"/>
    <n v="1.1252893515625"/>
  </r>
  <r>
    <x v="2"/>
    <x v="31"/>
    <n v="8.8333333330000006"/>
    <n v="8.06"/>
    <x v="1221"/>
    <n v="6.96"/>
    <n v="1.27"/>
    <n v="8.23"/>
    <n v="84.57"/>
    <n v="107.33"/>
    <x v="72"/>
    <n v="105.999999996"/>
    <x v="2"/>
    <n v="1.0733090319562577"/>
  </r>
  <r>
    <x v="2"/>
    <x v="32"/>
    <n v="1.1033333329999999"/>
    <n v="9.33"/>
    <x v="1222"/>
    <n v="8.1300000000000008"/>
    <n v="1.45"/>
    <n v="9.58"/>
    <n v="84.86"/>
    <n v="11.52"/>
    <x v="72"/>
    <n v="13.239999996"/>
    <x v="3"/>
    <n v="0.11517049405010438"/>
  </r>
  <r>
    <x v="2"/>
    <x v="33"/>
    <n v="3.3433333329999999"/>
    <n v="8.06"/>
    <x v="1223"/>
    <n v="8.14"/>
    <n v="1.1499999999999999"/>
    <n v="9.2899999999999991"/>
    <n v="87.62"/>
    <n v="35.99"/>
    <x v="72"/>
    <n v="40.119999996000004"/>
    <x v="3"/>
    <n v="0.35988518116254037"/>
  </r>
  <r>
    <x v="2"/>
    <x v="35"/>
    <n v="12.91666667"/>
    <n v="7.08"/>
    <x v="1224"/>
    <n v="9.98"/>
    <n v="1.27"/>
    <n v="11.25"/>
    <n v="88.71"/>
    <n v="114.81"/>
    <x v="72"/>
    <n v="155.00000003999997"/>
    <x v="2"/>
    <n v="1.1481481484444445"/>
  </r>
  <r>
    <x v="2"/>
    <x v="36"/>
    <n v="0"/>
    <n v="0"/>
    <x v="0"/>
    <n v="7.2"/>
    <n v="3.71"/>
    <n v="10.91"/>
    <n v="65.989999999999995"/>
    <n v="0"/>
    <x v="72"/>
    <n v="0"/>
    <x v="4"/>
    <n v="0"/>
  </r>
  <r>
    <x v="2"/>
    <x v="37"/>
    <n v="0"/>
    <n v="0"/>
    <x v="0"/>
    <n v="8.02"/>
    <n v="0.56999999999999995"/>
    <n v="8.59"/>
    <n v="93.36"/>
    <n v="0"/>
    <x v="72"/>
    <n v="0"/>
    <x v="4"/>
    <n v="0"/>
  </r>
  <r>
    <x v="2"/>
    <x v="38"/>
    <n v="8.5833333330000006"/>
    <n v="7.67"/>
    <x v="1225"/>
    <n v="9.27"/>
    <n v="0.51"/>
    <n v="9.7799999999999994"/>
    <n v="94.79"/>
    <n v="87.76"/>
    <x v="72"/>
    <n v="102.999999996"/>
    <x v="2"/>
    <n v="0.87764144509202469"/>
  </r>
  <r>
    <x v="2"/>
    <x v="40"/>
    <n v="1.01"/>
    <n v="5.51"/>
    <x v="1226"/>
    <n v="8.0500000000000007"/>
    <n v="1.1599999999999999"/>
    <n v="9.2100000000000009"/>
    <n v="87.4"/>
    <n v="10.97"/>
    <x v="72"/>
    <n v="12.120000000000001"/>
    <x v="3"/>
    <n v="0.10966340933767643"/>
  </r>
  <r>
    <x v="2"/>
    <x v="41"/>
    <n v="6.57"/>
    <n v="5.21"/>
    <x v="1227"/>
    <n v="7.19"/>
    <n v="0.83"/>
    <n v="8.02"/>
    <n v="89.65"/>
    <n v="81.92"/>
    <x v="72"/>
    <n v="78.84"/>
    <x v="5"/>
    <n v="0.81920199501246893"/>
  </r>
  <r>
    <x v="2"/>
    <x v="42"/>
    <n v="9.5833333330000006"/>
    <n v="5.37"/>
    <x v="1228"/>
    <n v="6.97"/>
    <n v="1.31"/>
    <n v="8.2799999999999994"/>
    <n v="84.18"/>
    <n v="115.74"/>
    <x v="72"/>
    <n v="114.999999996"/>
    <x v="2"/>
    <n v="1.1574074073671499"/>
  </r>
  <r>
    <x v="2"/>
    <x v="44"/>
    <n v="3.6666666669999999"/>
    <n v="2.5099999999999998"/>
    <x v="1229"/>
    <n v="6.8"/>
    <n v="1.31"/>
    <n v="8.11"/>
    <n v="83.85"/>
    <n v="45.21"/>
    <x v="72"/>
    <n v="44.000000004"/>
    <x v="3"/>
    <n v="0.45211672836004935"/>
  </r>
  <r>
    <x v="2"/>
    <x v="45"/>
    <n v="1.4166666670000001"/>
    <n v="3.68"/>
    <x v="1230"/>
    <n v="3.15"/>
    <n v="5.78"/>
    <n v="8.93"/>
    <n v="35.270000000000003"/>
    <n v="15.86"/>
    <x v="72"/>
    <n v="17.000000004"/>
    <x v="4"/>
    <n v="0.15864128409854425"/>
  </r>
  <r>
    <x v="2"/>
    <x v="47"/>
    <n v="8.58"/>
    <n v="6.1"/>
    <x v="1231"/>
    <n v="7.21"/>
    <n v="0.81"/>
    <n v="8.02"/>
    <n v="89.9"/>
    <n v="106.98"/>
    <x v="72"/>
    <n v="102.96"/>
    <x v="5"/>
    <n v="1.0698254364089776"/>
  </r>
  <r>
    <x v="2"/>
    <x v="48"/>
    <n v="0"/>
    <n v="0"/>
    <x v="0"/>
    <n v="0"/>
    <n v="0"/>
    <n v="0"/>
    <n v="0"/>
    <n v="0"/>
    <x v="72"/>
    <n v="0"/>
    <x v="6"/>
    <n v="0"/>
  </r>
  <r>
    <x v="2"/>
    <x v="49"/>
    <n v="10.16666667"/>
    <n v="7.23"/>
    <x v="1232"/>
    <n v="7.7"/>
    <n v="0.42"/>
    <n v="8.1199999999999992"/>
    <n v="94.83"/>
    <n v="125.21"/>
    <x v="72"/>
    <n v="122.00000003999999"/>
    <x v="3"/>
    <n v="1.2520525455665026"/>
  </r>
  <r>
    <x v="0"/>
    <x v="0"/>
    <n v="0"/>
    <n v="0"/>
    <x v="0"/>
    <n v="7.33"/>
    <n v="0.68"/>
    <n v="8.01"/>
    <n v="91.51"/>
    <n v="0"/>
    <x v="73"/>
    <n v="0"/>
    <x v="0"/>
    <n v="0"/>
  </r>
  <r>
    <x v="0"/>
    <x v="1"/>
    <n v="0"/>
    <n v="0"/>
    <x v="0"/>
    <n v="9.4499999999999993"/>
    <n v="0.09"/>
    <n v="9.5399999999999991"/>
    <n v="99.06"/>
    <n v="0"/>
    <x v="73"/>
    <n v="0"/>
    <x v="0"/>
    <n v="0"/>
  </r>
  <r>
    <x v="0"/>
    <x v="2"/>
    <n v="0"/>
    <n v="0"/>
    <x v="0"/>
    <n v="9.4499999999999993"/>
    <n v="0.08"/>
    <n v="9.5299999999999994"/>
    <n v="99.16"/>
    <n v="0"/>
    <x v="73"/>
    <n v="0"/>
    <x v="0"/>
    <n v="0"/>
  </r>
  <r>
    <x v="0"/>
    <x v="5"/>
    <n v="0"/>
    <n v="0"/>
    <x v="0"/>
    <n v="9.4499999999999993"/>
    <n v="0.08"/>
    <n v="9.5299999999999994"/>
    <n v="99.16"/>
    <n v="0"/>
    <x v="73"/>
    <n v="0"/>
    <x v="0"/>
    <n v="0"/>
  </r>
  <r>
    <x v="0"/>
    <x v="8"/>
    <n v="2.2200000000000002"/>
    <n v="4.54"/>
    <x v="1233"/>
    <n v="7.5"/>
    <n v="0.6"/>
    <n v="8.1"/>
    <n v="92.59"/>
    <n v="27.41"/>
    <x v="73"/>
    <n v="26.640000000000004"/>
    <x v="0"/>
    <n v="0.27407407407407414"/>
  </r>
  <r>
    <x v="1"/>
    <x v="9"/>
    <n v="1"/>
    <n v="0.57999999999999996"/>
    <x v="1234"/>
    <n v="0.7"/>
    <n v="7.4"/>
    <n v="8.1"/>
    <n v="8.64"/>
    <n v="12.35"/>
    <x v="73"/>
    <n v="12"/>
    <x v="1"/>
    <n v="0.1234567901234568"/>
  </r>
  <r>
    <x v="1"/>
    <x v="10"/>
    <n v="10.25"/>
    <n v="8.33"/>
    <x v="1235"/>
    <n v="10.86"/>
    <n v="0.26"/>
    <n v="11.12"/>
    <n v="97.66"/>
    <n v="92.18"/>
    <x v="73"/>
    <n v="123"/>
    <x v="1"/>
    <n v="0.9217625899280576"/>
  </r>
  <r>
    <x v="1"/>
    <x v="12"/>
    <n v="5.97"/>
    <n v="7.09"/>
    <x v="1236"/>
    <n v="5"/>
    <n v="3.09"/>
    <n v="8.09"/>
    <n v="61.8"/>
    <n v="73.790000000000006"/>
    <x v="73"/>
    <n v="71.64"/>
    <x v="1"/>
    <n v="0.73794808405438816"/>
  </r>
  <r>
    <x v="2"/>
    <x v="14"/>
    <n v="15.456666670000001"/>
    <n v="6.11"/>
    <x v="1237"/>
    <n v="7.37"/>
    <n v="0.79"/>
    <n v="8.16"/>
    <n v="90.32"/>
    <n v="189.42"/>
    <x v="73"/>
    <n v="185.48000003999999"/>
    <x v="2"/>
    <n v="1.8941993468137255"/>
  </r>
  <r>
    <x v="2"/>
    <x v="15"/>
    <n v="2.5"/>
    <n v="6.73"/>
    <x v="1238"/>
    <n v="9.25"/>
    <n v="0.22"/>
    <n v="9.4700000000000006"/>
    <n v="97.68"/>
    <n v="26.4"/>
    <x v="73"/>
    <n v="30"/>
    <x v="3"/>
    <n v="0.26399155227032733"/>
  </r>
  <r>
    <x v="2"/>
    <x v="17"/>
    <n v="0.83333333300000001"/>
    <n v="0.73"/>
    <x v="1239"/>
    <n v="0"/>
    <n v="5.48"/>
    <n v="5.48"/>
    <n v="0"/>
    <n v="15.21"/>
    <x v="73"/>
    <n v="9.9999999959999997"/>
    <x v="3"/>
    <n v="0.15206812645985401"/>
  </r>
  <r>
    <x v="2"/>
    <x v="18"/>
    <n v="6.75"/>
    <n v="8.65"/>
    <x v="1240"/>
    <n v="5.84"/>
    <n v="3.38"/>
    <n v="9.2200000000000006"/>
    <n v="63.34"/>
    <n v="73.209999999999994"/>
    <x v="73"/>
    <n v="81"/>
    <x v="3"/>
    <n v="0.73210412147505421"/>
  </r>
  <r>
    <x v="2"/>
    <x v="19"/>
    <n v="6"/>
    <n v="3.98"/>
    <x v="1241"/>
    <n v="8.58"/>
    <n v="0.44"/>
    <n v="9.02"/>
    <n v="95.12"/>
    <n v="66.52"/>
    <x v="73"/>
    <n v="72"/>
    <x v="2"/>
    <n v="0.66518847006651893"/>
  </r>
  <r>
    <x v="2"/>
    <x v="20"/>
    <n v="12.6"/>
    <n v="6.11"/>
    <x v="1242"/>
    <n v="7.65"/>
    <n v="0.99"/>
    <n v="8.64"/>
    <n v="88.54"/>
    <n v="145.83000000000001"/>
    <x v="73"/>
    <n v="151.19999999999999"/>
    <x v="5"/>
    <n v="1.4583333333333333"/>
  </r>
  <r>
    <x v="2"/>
    <x v="21"/>
    <n v="4.6333333330000004"/>
    <n v="4.75"/>
    <x v="1243"/>
    <n v="9.35"/>
    <n v="0.88"/>
    <n v="10.23"/>
    <n v="91.4"/>
    <n v="45.29"/>
    <x v="73"/>
    <n v="55.599999996000008"/>
    <x v="2"/>
    <n v="0.4529162593352884"/>
  </r>
  <r>
    <x v="2"/>
    <x v="22"/>
    <n v="2.6666666669999999"/>
    <n v="3.87"/>
    <x v="1244"/>
    <n v="7.85"/>
    <n v="2.0099999999999998"/>
    <n v="9.86"/>
    <n v="79.61"/>
    <n v="27.05"/>
    <x v="73"/>
    <n v="32.000000004"/>
    <x v="4"/>
    <n v="0.27045300882352941"/>
  </r>
  <r>
    <x v="2"/>
    <x v="23"/>
    <n v="0.5"/>
    <n v="0.01"/>
    <x v="192"/>
    <n v="0"/>
    <n v="4.43"/>
    <n v="4.43"/>
    <n v="0"/>
    <n v="11.29"/>
    <x v="73"/>
    <n v="6"/>
    <x v="3"/>
    <n v="0.11286681715575622"/>
  </r>
  <r>
    <x v="2"/>
    <x v="24"/>
    <n v="6.17"/>
    <n v="5.48"/>
    <x v="1245"/>
    <n v="8.5299999999999994"/>
    <n v="1.52"/>
    <n v="10.050000000000001"/>
    <n v="84.88"/>
    <n v="61.39"/>
    <x v="73"/>
    <n v="74.039999999999992"/>
    <x v="5"/>
    <n v="0.6139303482587064"/>
  </r>
  <r>
    <x v="2"/>
    <x v="25"/>
    <n v="10.58333333"/>
    <n v="5.27"/>
    <x v="1246"/>
    <n v="6.98"/>
    <n v="1.07"/>
    <n v="8.0500000000000007"/>
    <n v="86.71"/>
    <n v="131.47"/>
    <x v="73"/>
    <n v="126.99999996000001"/>
    <x v="2"/>
    <n v="1.3146997925465838"/>
  </r>
  <r>
    <x v="2"/>
    <x v="26"/>
    <n v="2"/>
    <n v="1.99"/>
    <x v="1247"/>
    <n v="7.22"/>
    <n v="0.95"/>
    <n v="8.17"/>
    <n v="88.37"/>
    <n v="24.48"/>
    <x v="73"/>
    <n v="24"/>
    <x v="3"/>
    <n v="0.24479804161566707"/>
  </r>
  <r>
    <x v="2"/>
    <x v="27"/>
    <n v="17.68"/>
    <n v="9.23"/>
    <x v="1248"/>
    <n v="9.74"/>
    <n v="0.33"/>
    <n v="10.07"/>
    <n v="96.72"/>
    <n v="175.57"/>
    <x v="73"/>
    <n v="212.16"/>
    <x v="5"/>
    <n v="1.7557100297914596"/>
  </r>
  <r>
    <x v="2"/>
    <x v="29"/>
    <n v="0"/>
    <n v="0"/>
    <x v="0"/>
    <n v="0"/>
    <n v="0"/>
    <n v="0"/>
    <n v="0"/>
    <n v="0"/>
    <x v="73"/>
    <n v="0"/>
    <x v="5"/>
    <n v="0"/>
  </r>
  <r>
    <x v="2"/>
    <x v="31"/>
    <n v="11.16666667"/>
    <n v="7.07"/>
    <x v="1249"/>
    <n v="9.02"/>
    <n v="0.53"/>
    <n v="9.5500000000000007"/>
    <n v="94.45"/>
    <n v="116.93"/>
    <x v="73"/>
    <n v="134.00000003999997"/>
    <x v="2"/>
    <n v="1.1692844680628272"/>
  </r>
  <r>
    <x v="2"/>
    <x v="32"/>
    <n v="2.75"/>
    <n v="3.8"/>
    <x v="1250"/>
    <n v="6.43"/>
    <n v="3.1"/>
    <n v="9.5299999999999994"/>
    <n v="67.47"/>
    <n v="28.86"/>
    <x v="73"/>
    <n v="33"/>
    <x v="3"/>
    <n v="0.28856243441762858"/>
  </r>
  <r>
    <x v="2"/>
    <x v="33"/>
    <n v="0.16"/>
    <n v="1.1000000000000001"/>
    <x v="1251"/>
    <n v="6.23"/>
    <n v="2.14"/>
    <n v="8.3699999999999992"/>
    <n v="74.430000000000007"/>
    <n v="1.91"/>
    <x v="73"/>
    <n v="1.92"/>
    <x v="3"/>
    <n v="1.9115890083632021E-2"/>
  </r>
  <r>
    <x v="2"/>
    <x v="34"/>
    <n v="1.5"/>
    <n v="1.67"/>
    <x v="1252"/>
    <n v="4.82"/>
    <n v="3.1"/>
    <n v="7.92"/>
    <n v="60.86"/>
    <n v="18.940000000000001"/>
    <x v="73"/>
    <n v="18"/>
    <x v="4"/>
    <n v="0.18939393939393939"/>
  </r>
  <r>
    <x v="2"/>
    <x v="35"/>
    <n v="16.329999999999998"/>
    <n v="5.91"/>
    <x v="1253"/>
    <n v="8.89"/>
    <n v="0.1"/>
    <n v="8.99"/>
    <n v="98.89"/>
    <n v="181.65"/>
    <x v="73"/>
    <n v="195.95999999999998"/>
    <x v="2"/>
    <n v="1.8164627363737484"/>
  </r>
  <r>
    <x v="2"/>
    <x v="36"/>
    <n v="0.83333333300000001"/>
    <n v="0.55000000000000004"/>
    <x v="1254"/>
    <n v="4.83"/>
    <n v="5.0999999999999996"/>
    <n v="9.93"/>
    <n v="48.64"/>
    <n v="8.39"/>
    <x v="73"/>
    <n v="9.9999999959999997"/>
    <x v="4"/>
    <n v="8.392077875125882E-2"/>
  </r>
  <r>
    <x v="2"/>
    <x v="37"/>
    <n v="0"/>
    <n v="0"/>
    <x v="0"/>
    <n v="8.59"/>
    <n v="1.22"/>
    <n v="9.81"/>
    <n v="87.56"/>
    <n v="0"/>
    <x v="73"/>
    <n v="0"/>
    <x v="4"/>
    <n v="0"/>
  </r>
  <r>
    <x v="2"/>
    <x v="39"/>
    <n v="5.8333333329999997"/>
    <n v="4.82"/>
    <x v="1255"/>
    <n v="6.02"/>
    <n v="1.95"/>
    <n v="7.97"/>
    <n v="75.53"/>
    <n v="73.19"/>
    <x v="73"/>
    <n v="69.999999996"/>
    <x v="2"/>
    <n v="0.73191133412797993"/>
  </r>
  <r>
    <x v="2"/>
    <x v="40"/>
    <n v="1.67"/>
    <n v="4.03"/>
    <x v="1256"/>
    <n v="6.26"/>
    <n v="1.84"/>
    <n v="8.1"/>
    <n v="77.28"/>
    <n v="20.62"/>
    <x v="73"/>
    <n v="20.04"/>
    <x v="3"/>
    <n v="0.20617283950617285"/>
  </r>
  <r>
    <x v="2"/>
    <x v="42"/>
    <n v="5.5833333329999997"/>
    <n v="3.3"/>
    <x v="1257"/>
    <n v="7.15"/>
    <n v="2.61"/>
    <n v="9.76"/>
    <n v="73.260000000000005"/>
    <n v="57.21"/>
    <x v="73"/>
    <n v="66.999999996"/>
    <x v="2"/>
    <n v="0.57206284149590159"/>
  </r>
  <r>
    <x v="2"/>
    <x v="44"/>
    <n v="1.71"/>
    <n v="2.25"/>
    <x v="1258"/>
    <n v="6.27"/>
    <n v="1.83"/>
    <n v="8.1"/>
    <n v="77.41"/>
    <n v="21.11"/>
    <x v="73"/>
    <n v="20.52"/>
    <x v="3"/>
    <n v="0.21111111111111111"/>
  </r>
  <r>
    <x v="2"/>
    <x v="45"/>
    <n v="0"/>
    <n v="0"/>
    <x v="0"/>
    <n v="6.08"/>
    <n v="2.14"/>
    <n v="8.2200000000000006"/>
    <n v="73.97"/>
    <n v="0"/>
    <x v="73"/>
    <n v="0"/>
    <x v="4"/>
    <n v="0"/>
  </r>
  <r>
    <x v="2"/>
    <x v="48"/>
    <n v="0"/>
    <n v="0"/>
    <x v="0"/>
    <n v="0"/>
    <n v="0"/>
    <n v="0"/>
    <n v="0"/>
    <n v="0"/>
    <x v="73"/>
    <n v="0"/>
    <x v="6"/>
    <n v="0"/>
  </r>
  <r>
    <x v="2"/>
    <x v="49"/>
    <n v="1.3333333329999999"/>
    <n v="4.1500000000000004"/>
    <x v="1259"/>
    <n v="5.9"/>
    <n v="0.01"/>
    <n v="5.91"/>
    <n v="99.83"/>
    <n v="22.56"/>
    <x v="73"/>
    <n v="15.999999996"/>
    <x v="3"/>
    <n v="0.22560631692047375"/>
  </r>
  <r>
    <x v="0"/>
    <x v="0"/>
    <n v="0"/>
    <n v="0"/>
    <x v="0"/>
    <n v="3.54"/>
    <n v="4.46"/>
    <n v="8"/>
    <n v="44.25"/>
    <n v="0"/>
    <x v="74"/>
    <n v="0"/>
    <x v="0"/>
    <n v="0"/>
  </r>
  <r>
    <x v="0"/>
    <x v="3"/>
    <n v="0"/>
    <n v="0"/>
    <x v="0"/>
    <n v="4.08"/>
    <n v="3.93"/>
    <n v="8.01"/>
    <n v="50.94"/>
    <n v="0"/>
    <x v="74"/>
    <n v="0"/>
    <x v="0"/>
    <n v="0"/>
  </r>
  <r>
    <x v="0"/>
    <x v="7"/>
    <n v="1.89"/>
    <n v="3.63"/>
    <x v="1260"/>
    <n v="4.0599999999999996"/>
    <n v="3.93"/>
    <n v="7.99"/>
    <n v="50.81"/>
    <n v="23.65"/>
    <x v="74"/>
    <n v="22.68"/>
    <x v="0"/>
    <n v="0.23654568210262827"/>
  </r>
  <r>
    <x v="1"/>
    <x v="9"/>
    <n v="4.8333333329999997"/>
    <n v="4.5999999999999996"/>
    <x v="1261"/>
    <n v="5.14"/>
    <n v="2.91"/>
    <n v="8.0500000000000007"/>
    <n v="63.85"/>
    <n v="60.04"/>
    <x v="74"/>
    <n v="57.999999996"/>
    <x v="1"/>
    <n v="0.60041407863354024"/>
  </r>
  <r>
    <x v="1"/>
    <x v="10"/>
    <n v="9"/>
    <n v="5.89"/>
    <x v="1262"/>
    <n v="5.19"/>
    <n v="2.87"/>
    <n v="8.06"/>
    <n v="64.39"/>
    <n v="111.66"/>
    <x v="74"/>
    <n v="108"/>
    <x v="1"/>
    <n v="1.1166253101736971"/>
  </r>
  <r>
    <x v="1"/>
    <x v="11"/>
    <n v="0"/>
    <n v="0"/>
    <x v="0"/>
    <n v="0"/>
    <n v="0"/>
    <n v="0"/>
    <n v="0"/>
    <n v="0"/>
    <x v="74"/>
    <n v="0"/>
    <x v="1"/>
    <n v="0"/>
  </r>
  <r>
    <x v="1"/>
    <x v="12"/>
    <n v="11.876666670000001"/>
    <n v="6.75"/>
    <x v="1263"/>
    <n v="5.4"/>
    <n v="2.65"/>
    <n v="8.0500000000000007"/>
    <n v="67.08"/>
    <n v="147.54"/>
    <x v="74"/>
    <n v="142.52000004000001"/>
    <x v="1"/>
    <n v="1.4753623192546583"/>
  </r>
  <r>
    <x v="1"/>
    <x v="13"/>
    <n v="2.46"/>
    <n v="0.86"/>
    <x v="1264"/>
    <n v="7.17"/>
    <n v="0.89"/>
    <n v="8.06"/>
    <n v="88.96"/>
    <n v="30.52"/>
    <x v="74"/>
    <n v="29.52"/>
    <x v="1"/>
    <n v="0.30521091811414391"/>
  </r>
  <r>
    <x v="2"/>
    <x v="15"/>
    <n v="5.2133333329999996"/>
    <n v="6.01"/>
    <x v="1265"/>
    <n v="7.12"/>
    <n v="0.87"/>
    <n v="7.99"/>
    <n v="89.11"/>
    <n v="65.25"/>
    <x v="74"/>
    <n v="62.559999996000002"/>
    <x v="3"/>
    <n v="0.65248226946182719"/>
  </r>
  <r>
    <x v="2"/>
    <x v="16"/>
    <n v="0.46"/>
    <n v="1.55"/>
    <x v="1266"/>
    <n v="6.76"/>
    <n v="1.29"/>
    <n v="8.0500000000000007"/>
    <n v="83.98"/>
    <n v="5.71"/>
    <x v="74"/>
    <n v="5.5200000000000005"/>
    <x v="4"/>
    <n v="5.7142857142857141E-2"/>
  </r>
  <r>
    <x v="2"/>
    <x v="17"/>
    <n v="1.0833333329999999"/>
    <n v="4.57"/>
    <x v="1267"/>
    <n v="0"/>
    <n v="8.8000000000000007"/>
    <n v="8.8000000000000007"/>
    <n v="0"/>
    <n v="12.31"/>
    <x v="74"/>
    <n v="12.999999996"/>
    <x v="3"/>
    <n v="0.1231060605681818"/>
  </r>
  <r>
    <x v="2"/>
    <x v="20"/>
    <n v="6.3766666670000003"/>
    <n v="6.5"/>
    <x v="1268"/>
    <n v="5.95"/>
    <n v="2.16"/>
    <n v="8.11"/>
    <n v="73.37"/>
    <n v="78.63"/>
    <x v="74"/>
    <n v="76.520000004000011"/>
    <x v="5"/>
    <n v="0.78627209210850812"/>
  </r>
  <r>
    <x v="2"/>
    <x v="22"/>
    <n v="2.71"/>
    <n v="5.58"/>
    <x v="1269"/>
    <n v="5.93"/>
    <n v="2.12"/>
    <n v="8.0500000000000007"/>
    <n v="73.66"/>
    <n v="33.659999999999997"/>
    <x v="74"/>
    <n v="32.519999999999996"/>
    <x v="4"/>
    <n v="0.33664596273291925"/>
  </r>
  <r>
    <x v="2"/>
    <x v="23"/>
    <n v="0"/>
    <n v="0"/>
    <x v="0"/>
    <n v="0"/>
    <n v="8.8000000000000007"/>
    <n v="8.8000000000000007"/>
    <n v="0"/>
    <n v="0"/>
    <x v="74"/>
    <n v="0"/>
    <x v="3"/>
    <n v="0"/>
  </r>
  <r>
    <x v="2"/>
    <x v="24"/>
    <n v="7.903333333"/>
    <n v="4.95"/>
    <x v="1270"/>
    <n v="7.7"/>
    <n v="0.42"/>
    <n v="8.1199999999999992"/>
    <n v="94.83"/>
    <n v="97.33"/>
    <x v="74"/>
    <n v="94.839999995999989"/>
    <x v="5"/>
    <n v="0.97331691293103462"/>
  </r>
  <r>
    <x v="2"/>
    <x v="26"/>
    <n v="8.6666666669999994"/>
    <n v="7.65"/>
    <x v="1271"/>
    <n v="7.84"/>
    <n v="0.11"/>
    <n v="7.95"/>
    <n v="98.62"/>
    <n v="109.01"/>
    <x v="74"/>
    <n v="104.000000004"/>
    <x v="3"/>
    <n v="1.0901467505660376"/>
  </r>
  <r>
    <x v="2"/>
    <x v="27"/>
    <n v="18.09333333"/>
    <n v="7.44"/>
    <x v="1272"/>
    <n v="7.32"/>
    <n v="0.83"/>
    <n v="8.15"/>
    <n v="89.82"/>
    <n v="222"/>
    <x v="74"/>
    <n v="217.11999996"/>
    <x v="5"/>
    <n v="2.2200408993865031"/>
  </r>
  <r>
    <x v="2"/>
    <x v="29"/>
    <n v="0"/>
    <n v="0"/>
    <x v="0"/>
    <n v="0"/>
    <n v="0"/>
    <n v="0"/>
    <n v="0"/>
    <n v="0"/>
    <x v="74"/>
    <n v="0"/>
    <x v="5"/>
    <n v="0"/>
  </r>
  <r>
    <x v="2"/>
    <x v="30"/>
    <n v="11.206666670000001"/>
    <n v="6.88"/>
    <x v="1273"/>
    <n v="6.81"/>
    <n v="1.31"/>
    <n v="8.1199999999999992"/>
    <n v="83.87"/>
    <n v="138.01"/>
    <x v="74"/>
    <n v="134.48000003999999"/>
    <x v="5"/>
    <n v="1.3801313633004928"/>
  </r>
  <r>
    <x v="2"/>
    <x v="32"/>
    <n v="4"/>
    <n v="4.9400000000000004"/>
    <x v="1274"/>
    <n v="4.46"/>
    <n v="4.66"/>
    <n v="9.1199999999999992"/>
    <n v="48.9"/>
    <n v="43.86"/>
    <x v="74"/>
    <n v="48"/>
    <x v="3"/>
    <n v="0.43859649122807021"/>
  </r>
  <r>
    <x v="2"/>
    <x v="34"/>
    <n v="0"/>
    <n v="0"/>
    <x v="0"/>
    <n v="5.12"/>
    <n v="2.95"/>
    <n v="8.07"/>
    <n v="63.44"/>
    <n v="0"/>
    <x v="74"/>
    <n v="0"/>
    <x v="4"/>
    <n v="0"/>
  </r>
  <r>
    <x v="2"/>
    <x v="38"/>
    <n v="18"/>
    <n v="7.32"/>
    <x v="1275"/>
    <n v="9.3699999999999992"/>
    <n v="0.26"/>
    <n v="9.6300000000000008"/>
    <n v="97.3"/>
    <n v="186.92"/>
    <x v="74"/>
    <n v="216"/>
    <x v="2"/>
    <n v="1.8691588785046727"/>
  </r>
  <r>
    <x v="2"/>
    <x v="43"/>
    <n v="5"/>
    <n v="3.51"/>
    <x v="1276"/>
    <n v="4.34"/>
    <n v="3.66"/>
    <n v="8"/>
    <n v="54.25"/>
    <n v="62.5"/>
    <x v="74"/>
    <n v="60"/>
    <x v="3"/>
    <n v="0.625"/>
  </r>
  <r>
    <x v="2"/>
    <x v="44"/>
    <n v="4"/>
    <n v="2.85"/>
    <x v="1277"/>
    <n v="6.38"/>
    <n v="1.65"/>
    <n v="8.0299999999999994"/>
    <n v="79.45"/>
    <n v="49.81"/>
    <x v="74"/>
    <n v="48"/>
    <x v="3"/>
    <n v="0.4981320049813201"/>
  </r>
  <r>
    <x v="2"/>
    <x v="45"/>
    <n v="0.85"/>
    <n v="1.6"/>
    <x v="1278"/>
    <n v="4.18"/>
    <n v="3.98"/>
    <n v="8.16"/>
    <n v="51.23"/>
    <n v="10.42"/>
    <x v="74"/>
    <n v="10.199999999999999"/>
    <x v="4"/>
    <n v="0.10416666666666666"/>
  </r>
  <r>
    <x v="2"/>
    <x v="46"/>
    <n v="0"/>
    <n v="0"/>
    <x v="0"/>
    <n v="6.74"/>
    <n v="1.32"/>
    <n v="8.06"/>
    <n v="83.62"/>
    <n v="0"/>
    <x v="74"/>
    <n v="0"/>
    <x v="4"/>
    <n v="0"/>
  </r>
  <r>
    <x v="2"/>
    <x v="47"/>
    <n v="13.096666669999999"/>
    <n v="9.36"/>
    <x v="1279"/>
    <n v="9.76"/>
    <n v="0.3"/>
    <n v="10.06"/>
    <n v="97.02"/>
    <n v="130.19"/>
    <x v="74"/>
    <n v="157.16000004"/>
    <x v="5"/>
    <n v="1.3018555337972166"/>
  </r>
  <r>
    <x v="2"/>
    <x v="48"/>
    <n v="0"/>
    <n v="0"/>
    <x v="0"/>
    <n v="0"/>
    <n v="0"/>
    <n v="0"/>
    <n v="0"/>
    <n v="0"/>
    <x v="74"/>
    <n v="0"/>
    <x v="6"/>
    <n v="0"/>
  </r>
  <r>
    <x v="2"/>
    <x v="49"/>
    <n v="0"/>
    <n v="0"/>
    <x v="0"/>
    <n v="6.34"/>
    <n v="1.6"/>
    <n v="7.94"/>
    <n v="79.849999999999994"/>
    <n v="0"/>
    <x v="74"/>
    <n v="0"/>
    <x v="3"/>
    <n v="0"/>
  </r>
  <r>
    <x v="2"/>
    <x v="50"/>
    <n v="11.233333330000001"/>
    <n v="7.59"/>
    <x v="1280"/>
    <n v="6.27"/>
    <n v="1.8"/>
    <n v="8.07"/>
    <n v="77.7"/>
    <n v="139.19999999999999"/>
    <x v="74"/>
    <n v="134.79999996000001"/>
    <x v="4"/>
    <n v="1.3919867819083025"/>
  </r>
  <r>
    <x v="0"/>
    <x v="0"/>
    <n v="0"/>
    <n v="0"/>
    <x v="0"/>
    <n v="6.38"/>
    <n v="1.61"/>
    <n v="7.99"/>
    <n v="79.849999999999994"/>
    <n v="0"/>
    <x v="75"/>
    <n v="0"/>
    <x v="0"/>
    <n v="0"/>
  </r>
  <r>
    <x v="0"/>
    <x v="1"/>
    <n v="0"/>
    <n v="0"/>
    <x v="0"/>
    <n v="0"/>
    <n v="0"/>
    <n v="0"/>
    <n v="0"/>
    <n v="0"/>
    <x v="75"/>
    <n v="0"/>
    <x v="0"/>
    <n v="0"/>
  </r>
  <r>
    <x v="0"/>
    <x v="2"/>
    <n v="0"/>
    <n v="0"/>
    <x v="0"/>
    <n v="0"/>
    <n v="0"/>
    <n v="0"/>
    <n v="0"/>
    <n v="0"/>
    <x v="75"/>
    <n v="0"/>
    <x v="0"/>
    <n v="0"/>
  </r>
  <r>
    <x v="0"/>
    <x v="3"/>
    <n v="0"/>
    <n v="0"/>
    <x v="0"/>
    <n v="0"/>
    <n v="0"/>
    <n v="0"/>
    <n v="0"/>
    <n v="0"/>
    <x v="75"/>
    <n v="0"/>
    <x v="0"/>
    <n v="0"/>
  </r>
  <r>
    <x v="0"/>
    <x v="5"/>
    <n v="0"/>
    <n v="0"/>
    <x v="0"/>
    <n v="0"/>
    <n v="0"/>
    <n v="0"/>
    <n v="0"/>
    <n v="0"/>
    <x v="75"/>
    <n v="0"/>
    <x v="0"/>
    <n v="0"/>
  </r>
  <r>
    <x v="0"/>
    <x v="6"/>
    <n v="0"/>
    <n v="0"/>
    <x v="0"/>
    <n v="0"/>
    <n v="0"/>
    <n v="0"/>
    <n v="0"/>
    <n v="0"/>
    <x v="75"/>
    <n v="0"/>
    <x v="0"/>
    <n v="0"/>
  </r>
  <r>
    <x v="0"/>
    <x v="7"/>
    <n v="0"/>
    <n v="0"/>
    <x v="0"/>
    <n v="0"/>
    <n v="0"/>
    <n v="0"/>
    <n v="0"/>
    <n v="0"/>
    <x v="75"/>
    <n v="0"/>
    <x v="0"/>
    <n v="0"/>
  </r>
  <r>
    <x v="0"/>
    <x v="8"/>
    <n v="0"/>
    <n v="0"/>
    <x v="0"/>
    <n v="6.38"/>
    <n v="1.63"/>
    <n v="8.01"/>
    <n v="79.650000000000006"/>
    <n v="0"/>
    <x v="75"/>
    <n v="0"/>
    <x v="0"/>
    <n v="0"/>
  </r>
  <r>
    <x v="1"/>
    <x v="9"/>
    <n v="0"/>
    <n v="0"/>
    <x v="0"/>
    <n v="0"/>
    <n v="0"/>
    <n v="0"/>
    <n v="0"/>
    <n v="0"/>
    <x v="75"/>
    <n v="0"/>
    <x v="1"/>
    <n v="0"/>
  </r>
  <r>
    <x v="1"/>
    <x v="10"/>
    <n v="3.75"/>
    <n v="3.15"/>
    <x v="1197"/>
    <n v="5"/>
    <n v="3.08"/>
    <n v="8.08"/>
    <n v="61.88"/>
    <n v="46.41"/>
    <x v="75"/>
    <n v="45"/>
    <x v="1"/>
    <n v="0.46410891089108913"/>
  </r>
  <r>
    <x v="1"/>
    <x v="11"/>
    <n v="0"/>
    <n v="0"/>
    <x v="0"/>
    <n v="0"/>
    <n v="0"/>
    <n v="0"/>
    <n v="0"/>
    <n v="0"/>
    <x v="75"/>
    <n v="0"/>
    <x v="1"/>
    <n v="0"/>
  </r>
  <r>
    <x v="1"/>
    <x v="12"/>
    <n v="0"/>
    <n v="0"/>
    <x v="0"/>
    <n v="0"/>
    <n v="0"/>
    <n v="0"/>
    <n v="0"/>
    <n v="0"/>
    <x v="75"/>
    <n v="0"/>
    <x v="1"/>
    <n v="0"/>
  </r>
  <r>
    <x v="1"/>
    <x v="13"/>
    <n v="0"/>
    <n v="0"/>
    <x v="0"/>
    <n v="6"/>
    <n v="2.0499999999999998"/>
    <n v="8.0500000000000007"/>
    <n v="74.53"/>
    <n v="0"/>
    <x v="75"/>
    <n v="0"/>
    <x v="1"/>
    <n v="0"/>
  </r>
  <r>
    <x v="2"/>
    <x v="16"/>
    <n v="0"/>
    <n v="0"/>
    <x v="0"/>
    <n v="0"/>
    <n v="0"/>
    <n v="0"/>
    <n v="0"/>
    <n v="0"/>
    <x v="75"/>
    <n v="0"/>
    <x v="4"/>
    <n v="0"/>
  </r>
  <r>
    <x v="2"/>
    <x v="17"/>
    <n v="0"/>
    <n v="0"/>
    <x v="0"/>
    <n v="0"/>
    <n v="0"/>
    <n v="0"/>
    <n v="0"/>
    <n v="0"/>
    <x v="75"/>
    <n v="0"/>
    <x v="3"/>
    <n v="0"/>
  </r>
  <r>
    <x v="2"/>
    <x v="18"/>
    <n v="7.266666667"/>
    <n v="6.32"/>
    <x v="1281"/>
    <n v="3.65"/>
    <n v="4.41"/>
    <n v="8.06"/>
    <n v="45.29"/>
    <n v="90.16"/>
    <x v="75"/>
    <n v="87.200000004000003"/>
    <x v="3"/>
    <n v="0.90157154677419349"/>
  </r>
  <r>
    <x v="2"/>
    <x v="19"/>
    <n v="10.33333333"/>
    <n v="4.17"/>
    <x v="1282"/>
    <n v="5.88"/>
    <n v="2.16"/>
    <n v="8.0399999999999991"/>
    <n v="73.13"/>
    <n v="128.52000000000001"/>
    <x v="75"/>
    <n v="123.99999996000001"/>
    <x v="2"/>
    <n v="1.2852404639303485"/>
  </r>
  <r>
    <x v="2"/>
    <x v="24"/>
    <n v="9.8366666669999994"/>
    <n v="7.01"/>
    <x v="1283"/>
    <n v="4.96"/>
    <n v="3.11"/>
    <n v="8.07"/>
    <n v="61.46"/>
    <n v="121.89"/>
    <x v="75"/>
    <n v="118.04000000399999"/>
    <x v="5"/>
    <n v="1.2189178026022303"/>
  </r>
  <r>
    <x v="2"/>
    <x v="25"/>
    <n v="7.9566666670000004"/>
    <n v="6.81"/>
    <x v="1284"/>
    <n v="4.24"/>
    <n v="3.81"/>
    <n v="8.0500000000000007"/>
    <n v="52.67"/>
    <n v="98.84"/>
    <x v="75"/>
    <n v="95.480000004000004"/>
    <x v="2"/>
    <n v="0.98840579714285715"/>
  </r>
  <r>
    <x v="2"/>
    <x v="27"/>
    <n v="9.4700000000000006"/>
    <n v="6.31"/>
    <x v="1285"/>
    <n v="4.91"/>
    <n v="3.15"/>
    <n v="8.06"/>
    <n v="60.92"/>
    <n v="117.49"/>
    <x v="75"/>
    <n v="113.64000000000001"/>
    <x v="5"/>
    <n v="1.1749379652605458"/>
  </r>
  <r>
    <x v="2"/>
    <x v="29"/>
    <n v="0"/>
    <n v="0"/>
    <x v="0"/>
    <n v="0"/>
    <n v="0"/>
    <n v="0"/>
    <n v="0"/>
    <n v="0"/>
    <x v="75"/>
    <n v="0"/>
    <x v="5"/>
    <n v="0"/>
  </r>
  <r>
    <x v="2"/>
    <x v="30"/>
    <n v="8.1233333329999997"/>
    <n v="5.67"/>
    <x v="1286"/>
    <n v="4.09"/>
    <n v="4"/>
    <n v="8.09"/>
    <n v="50.56"/>
    <n v="100.41"/>
    <x v="75"/>
    <n v="97.479999995999989"/>
    <x v="5"/>
    <n v="1.0041203131025958"/>
  </r>
  <r>
    <x v="2"/>
    <x v="31"/>
    <n v="5.5833333329999997"/>
    <n v="5.33"/>
    <x v="1287"/>
    <n v="4.9000000000000004"/>
    <n v="3.16"/>
    <n v="8.06"/>
    <n v="60.79"/>
    <n v="69.27"/>
    <x v="75"/>
    <n v="66.999999996"/>
    <x v="2"/>
    <n v="0.69272125719602973"/>
  </r>
  <r>
    <x v="2"/>
    <x v="33"/>
    <n v="3.49"/>
    <n v="5.35"/>
    <x v="1288"/>
    <n v="4.66"/>
    <n v="3.4"/>
    <n v="8.06"/>
    <n v="57.82"/>
    <n v="43.3"/>
    <x v="75"/>
    <n v="41.88"/>
    <x v="3"/>
    <n v="0.43300248138957814"/>
  </r>
  <r>
    <x v="2"/>
    <x v="34"/>
    <n v="0"/>
    <n v="0"/>
    <x v="0"/>
    <n v="0"/>
    <n v="0"/>
    <n v="0"/>
    <n v="0"/>
    <n v="0"/>
    <x v="75"/>
    <n v="0"/>
    <x v="4"/>
    <n v="0"/>
  </r>
  <r>
    <x v="2"/>
    <x v="36"/>
    <n v="7.0133333330000003"/>
    <n v="4.3"/>
    <x v="1289"/>
    <n v="4.3"/>
    <n v="3.76"/>
    <n v="8.06"/>
    <n v="53.35"/>
    <n v="87.01"/>
    <x v="75"/>
    <n v="84.159999995999996"/>
    <x v="4"/>
    <n v="0.87014061203473947"/>
  </r>
  <r>
    <x v="2"/>
    <x v="37"/>
    <n v="0"/>
    <n v="0"/>
    <x v="0"/>
    <n v="0"/>
    <n v="0"/>
    <n v="0"/>
    <n v="0"/>
    <n v="0"/>
    <x v="75"/>
    <n v="0"/>
    <x v="4"/>
    <n v="0"/>
  </r>
  <r>
    <x v="2"/>
    <x v="38"/>
    <n v="7.3333333329999997"/>
    <n v="5.6"/>
    <x v="1290"/>
    <n v="5.83"/>
    <n v="2.2200000000000002"/>
    <n v="8.0500000000000007"/>
    <n v="72.42"/>
    <n v="91.1"/>
    <x v="75"/>
    <n v="87.999999996"/>
    <x v="2"/>
    <n v="0.91097308484472039"/>
  </r>
  <r>
    <x v="2"/>
    <x v="39"/>
    <n v="10.16666667"/>
    <n v="6.75"/>
    <x v="1291"/>
    <n v="4.91"/>
    <n v="3.15"/>
    <n v="8.06"/>
    <n v="60.92"/>
    <n v="126.14"/>
    <x v="75"/>
    <n v="122.00000003999999"/>
    <x v="2"/>
    <n v="1.2613730359801487"/>
  </r>
  <r>
    <x v="2"/>
    <x v="42"/>
    <n v="10.31666667"/>
    <n v="5.29"/>
    <x v="1292"/>
    <n v="4.84"/>
    <n v="3.25"/>
    <n v="8.09"/>
    <n v="59.83"/>
    <n v="127.52"/>
    <x v="75"/>
    <n v="123.80000004000001"/>
    <x v="2"/>
    <n v="1.2752369184177998"/>
  </r>
  <r>
    <x v="2"/>
    <x v="44"/>
    <n v="0"/>
    <n v="0"/>
    <x v="0"/>
    <n v="0"/>
    <n v="0"/>
    <n v="0"/>
    <n v="0"/>
    <n v="0"/>
    <x v="75"/>
    <n v="0"/>
    <x v="3"/>
    <n v="0"/>
  </r>
  <r>
    <x v="2"/>
    <x v="45"/>
    <n v="5.5233333330000001"/>
    <n v="3.96"/>
    <x v="1293"/>
    <n v="5.0999999999999996"/>
    <n v="3"/>
    <n v="8.1"/>
    <n v="62.96"/>
    <n v="68.19"/>
    <x v="75"/>
    <n v="66.279999996000001"/>
    <x v="4"/>
    <n v="0.68189300407407416"/>
  </r>
  <r>
    <x v="2"/>
    <x v="46"/>
    <n v="0"/>
    <n v="0"/>
    <x v="0"/>
    <n v="0"/>
    <n v="0"/>
    <n v="0"/>
    <n v="0"/>
    <n v="0"/>
    <x v="75"/>
    <n v="0"/>
    <x v="4"/>
    <n v="0"/>
  </r>
  <r>
    <x v="2"/>
    <x v="48"/>
    <n v="0"/>
    <n v="0"/>
    <x v="0"/>
    <n v="0"/>
    <n v="0"/>
    <n v="0"/>
    <n v="0"/>
    <n v="0"/>
    <x v="75"/>
    <n v="0"/>
    <x v="6"/>
    <n v="0"/>
  </r>
  <r>
    <x v="2"/>
    <x v="49"/>
    <n v="2.33"/>
    <n v="3.4"/>
    <x v="1294"/>
    <n v="3.4"/>
    <n v="4.67"/>
    <n v="8.07"/>
    <n v="42.13"/>
    <n v="28.87"/>
    <x v="75"/>
    <n v="27.96"/>
    <x v="3"/>
    <n v="0.28872366790582404"/>
  </r>
  <r>
    <x v="2"/>
    <x v="50"/>
    <n v="0"/>
    <n v="0"/>
    <x v="0"/>
    <n v="0"/>
    <n v="0"/>
    <n v="0"/>
    <n v="0"/>
    <n v="0"/>
    <x v="75"/>
    <n v="0"/>
    <x v="4"/>
    <n v="0"/>
  </r>
  <r>
    <x v="0"/>
    <x v="0"/>
    <n v="0"/>
    <n v="0"/>
    <x v="0"/>
    <n v="0"/>
    <n v="0"/>
    <n v="0"/>
    <n v="0"/>
    <n v="0"/>
    <x v="76"/>
    <n v="0"/>
    <x v="0"/>
    <n v="0"/>
  </r>
  <r>
    <x v="0"/>
    <x v="1"/>
    <n v="0"/>
    <n v="0"/>
    <x v="0"/>
    <n v="0"/>
    <n v="0"/>
    <n v="0"/>
    <n v="0"/>
    <n v="0"/>
    <x v="76"/>
    <n v="0"/>
    <x v="0"/>
    <n v="0"/>
  </r>
  <r>
    <x v="0"/>
    <x v="2"/>
    <n v="0"/>
    <n v="0"/>
    <x v="0"/>
    <n v="0"/>
    <n v="0"/>
    <n v="0"/>
    <n v="0"/>
    <n v="0"/>
    <x v="76"/>
    <n v="0"/>
    <x v="0"/>
    <n v="0"/>
  </r>
  <r>
    <x v="0"/>
    <x v="3"/>
    <n v="0"/>
    <n v="0"/>
    <x v="0"/>
    <n v="0"/>
    <n v="0"/>
    <n v="0"/>
    <n v="0"/>
    <n v="0"/>
    <x v="76"/>
    <n v="0"/>
    <x v="0"/>
    <n v="0"/>
  </r>
  <r>
    <x v="0"/>
    <x v="4"/>
    <n v="0"/>
    <n v="0"/>
    <x v="0"/>
    <n v="0"/>
    <n v="0"/>
    <n v="0"/>
    <n v="0"/>
    <n v="0"/>
    <x v="76"/>
    <n v="0"/>
    <x v="0"/>
    <n v="0"/>
  </r>
  <r>
    <x v="0"/>
    <x v="5"/>
    <n v="0"/>
    <n v="0"/>
    <x v="0"/>
    <n v="0"/>
    <n v="0"/>
    <n v="0"/>
    <n v="0"/>
    <n v="0"/>
    <x v="76"/>
    <n v="0"/>
    <x v="0"/>
    <n v="0"/>
  </r>
  <r>
    <x v="0"/>
    <x v="6"/>
    <n v="0"/>
    <n v="0"/>
    <x v="0"/>
    <n v="0"/>
    <n v="0"/>
    <n v="0"/>
    <n v="0"/>
    <n v="0"/>
    <x v="76"/>
    <n v="0"/>
    <x v="0"/>
    <n v="0"/>
  </r>
  <r>
    <x v="0"/>
    <x v="7"/>
    <n v="0"/>
    <n v="0"/>
    <x v="0"/>
    <n v="0"/>
    <n v="0"/>
    <n v="0"/>
    <n v="0"/>
    <n v="0"/>
    <x v="76"/>
    <n v="0"/>
    <x v="0"/>
    <n v="0"/>
  </r>
  <r>
    <x v="0"/>
    <x v="8"/>
    <n v="0"/>
    <n v="0"/>
    <x v="0"/>
    <n v="0"/>
    <n v="0"/>
    <n v="0"/>
    <n v="0"/>
    <n v="0"/>
    <x v="76"/>
    <n v="0"/>
    <x v="0"/>
    <n v="0"/>
  </r>
  <r>
    <x v="1"/>
    <x v="9"/>
    <n v="0"/>
    <n v="0"/>
    <x v="0"/>
    <n v="0"/>
    <n v="0"/>
    <n v="0"/>
    <n v="0"/>
    <n v="0"/>
    <x v="76"/>
    <n v="0"/>
    <x v="1"/>
    <n v="0"/>
  </r>
  <r>
    <x v="1"/>
    <x v="10"/>
    <n v="0"/>
    <n v="0"/>
    <x v="0"/>
    <n v="0"/>
    <n v="0"/>
    <n v="0"/>
    <n v="0"/>
    <n v="0"/>
    <x v="76"/>
    <n v="0"/>
    <x v="1"/>
    <n v="0"/>
  </r>
  <r>
    <x v="1"/>
    <x v="11"/>
    <n v="0"/>
    <n v="0"/>
    <x v="0"/>
    <n v="0"/>
    <n v="0"/>
    <n v="0"/>
    <n v="0"/>
    <n v="0"/>
    <x v="76"/>
    <n v="0"/>
    <x v="1"/>
    <n v="0"/>
  </r>
  <r>
    <x v="1"/>
    <x v="12"/>
    <n v="0"/>
    <n v="0"/>
    <x v="0"/>
    <n v="0"/>
    <n v="0"/>
    <n v="0"/>
    <n v="0"/>
    <n v="0"/>
    <x v="76"/>
    <n v="0"/>
    <x v="1"/>
    <n v="0"/>
  </r>
  <r>
    <x v="1"/>
    <x v="13"/>
    <n v="0"/>
    <n v="0"/>
    <x v="0"/>
    <n v="0"/>
    <n v="0"/>
    <n v="0"/>
    <n v="0"/>
    <n v="0"/>
    <x v="76"/>
    <n v="0"/>
    <x v="1"/>
    <n v="0"/>
  </r>
  <r>
    <x v="2"/>
    <x v="14"/>
    <n v="0"/>
    <n v="0"/>
    <x v="0"/>
    <n v="0"/>
    <n v="0"/>
    <n v="0"/>
    <n v="0"/>
    <n v="0"/>
    <x v="76"/>
    <n v="0"/>
    <x v="2"/>
    <n v="0"/>
  </r>
  <r>
    <x v="2"/>
    <x v="15"/>
    <n v="0"/>
    <n v="0"/>
    <x v="0"/>
    <n v="0"/>
    <n v="0"/>
    <n v="0"/>
    <n v="0"/>
    <n v="0"/>
    <x v="76"/>
    <n v="0"/>
    <x v="3"/>
    <n v="0"/>
  </r>
  <r>
    <x v="2"/>
    <x v="16"/>
    <n v="0"/>
    <n v="0"/>
    <x v="0"/>
    <n v="0"/>
    <n v="0"/>
    <n v="0"/>
    <n v="0"/>
    <n v="0"/>
    <x v="76"/>
    <n v="0"/>
    <x v="4"/>
    <n v="0"/>
  </r>
  <r>
    <x v="2"/>
    <x v="17"/>
    <n v="0"/>
    <n v="0"/>
    <x v="0"/>
    <n v="0"/>
    <n v="0"/>
    <n v="0"/>
    <n v="0"/>
    <n v="0"/>
    <x v="76"/>
    <n v="0"/>
    <x v="3"/>
    <n v="0"/>
  </r>
  <r>
    <x v="2"/>
    <x v="18"/>
    <n v="0"/>
    <n v="0"/>
    <x v="0"/>
    <n v="0"/>
    <n v="0"/>
    <n v="0"/>
    <n v="0"/>
    <n v="0"/>
    <x v="76"/>
    <n v="0"/>
    <x v="3"/>
    <n v="0"/>
  </r>
  <r>
    <x v="2"/>
    <x v="19"/>
    <n v="0"/>
    <n v="0"/>
    <x v="0"/>
    <n v="0"/>
    <n v="0"/>
    <n v="0"/>
    <n v="0"/>
    <n v="0"/>
    <x v="76"/>
    <n v="0"/>
    <x v="2"/>
    <n v="0"/>
  </r>
  <r>
    <x v="2"/>
    <x v="20"/>
    <n v="0"/>
    <n v="0"/>
    <x v="0"/>
    <n v="0"/>
    <n v="0"/>
    <n v="0"/>
    <n v="0"/>
    <n v="0"/>
    <x v="76"/>
    <n v="0"/>
    <x v="5"/>
    <n v="0"/>
  </r>
  <r>
    <x v="2"/>
    <x v="21"/>
    <n v="0"/>
    <n v="0"/>
    <x v="0"/>
    <n v="0"/>
    <n v="0"/>
    <n v="0"/>
    <n v="0"/>
    <n v="0"/>
    <x v="76"/>
    <n v="0"/>
    <x v="2"/>
    <n v="0"/>
  </r>
  <r>
    <x v="2"/>
    <x v="22"/>
    <n v="0"/>
    <n v="0"/>
    <x v="0"/>
    <n v="0"/>
    <n v="0"/>
    <n v="0"/>
    <n v="0"/>
    <n v="0"/>
    <x v="76"/>
    <n v="0"/>
    <x v="4"/>
    <n v="0"/>
  </r>
  <r>
    <x v="2"/>
    <x v="23"/>
    <n v="0"/>
    <n v="0"/>
    <x v="0"/>
    <n v="0"/>
    <n v="0"/>
    <n v="0"/>
    <n v="0"/>
    <n v="0"/>
    <x v="76"/>
    <n v="0"/>
    <x v="3"/>
    <n v="0"/>
  </r>
  <r>
    <x v="2"/>
    <x v="24"/>
    <n v="0"/>
    <n v="0"/>
    <x v="0"/>
    <n v="0"/>
    <n v="0"/>
    <n v="0"/>
    <n v="0"/>
    <n v="0"/>
    <x v="76"/>
    <n v="0"/>
    <x v="5"/>
    <n v="0"/>
  </r>
  <r>
    <x v="2"/>
    <x v="25"/>
    <n v="0"/>
    <n v="0"/>
    <x v="0"/>
    <n v="0"/>
    <n v="0"/>
    <n v="0"/>
    <n v="0"/>
    <n v="0"/>
    <x v="76"/>
    <n v="0"/>
    <x v="2"/>
    <n v="0"/>
  </r>
  <r>
    <x v="2"/>
    <x v="26"/>
    <n v="0"/>
    <n v="0"/>
    <x v="0"/>
    <n v="0"/>
    <n v="0"/>
    <n v="0"/>
    <n v="0"/>
    <n v="0"/>
    <x v="76"/>
    <n v="0"/>
    <x v="3"/>
    <n v="0"/>
  </r>
  <r>
    <x v="2"/>
    <x v="27"/>
    <n v="0"/>
    <n v="0"/>
    <x v="0"/>
    <n v="0"/>
    <n v="0"/>
    <n v="0"/>
    <n v="0"/>
    <n v="0"/>
    <x v="76"/>
    <n v="0"/>
    <x v="5"/>
    <n v="0"/>
  </r>
  <r>
    <x v="2"/>
    <x v="29"/>
    <n v="0"/>
    <n v="0"/>
    <x v="0"/>
    <n v="0"/>
    <n v="0"/>
    <n v="0"/>
    <n v="0"/>
    <n v="0"/>
    <x v="76"/>
    <n v="0"/>
    <x v="5"/>
    <n v="0"/>
  </r>
  <r>
    <x v="2"/>
    <x v="30"/>
    <n v="0"/>
    <n v="0"/>
    <x v="0"/>
    <n v="0"/>
    <n v="0"/>
    <n v="0"/>
    <n v="0"/>
    <n v="0"/>
    <x v="76"/>
    <n v="0"/>
    <x v="5"/>
    <n v="0"/>
  </r>
  <r>
    <x v="2"/>
    <x v="31"/>
    <n v="0"/>
    <n v="0"/>
    <x v="0"/>
    <n v="0"/>
    <n v="0"/>
    <n v="0"/>
    <n v="0"/>
    <n v="0"/>
    <x v="76"/>
    <n v="0"/>
    <x v="2"/>
    <n v="0"/>
  </r>
  <r>
    <x v="2"/>
    <x v="32"/>
    <n v="0"/>
    <n v="0"/>
    <x v="0"/>
    <n v="0"/>
    <n v="0"/>
    <n v="0"/>
    <n v="0"/>
    <n v="0"/>
    <x v="76"/>
    <n v="0"/>
    <x v="3"/>
    <n v="0"/>
  </r>
  <r>
    <x v="2"/>
    <x v="33"/>
    <n v="0"/>
    <n v="0"/>
    <x v="0"/>
    <n v="0"/>
    <n v="0"/>
    <n v="0"/>
    <n v="0"/>
    <n v="0"/>
    <x v="76"/>
    <n v="0"/>
    <x v="3"/>
    <n v="0"/>
  </r>
  <r>
    <x v="2"/>
    <x v="34"/>
    <n v="0"/>
    <n v="0"/>
    <x v="0"/>
    <n v="0"/>
    <n v="0"/>
    <n v="0"/>
    <n v="0"/>
    <n v="0"/>
    <x v="76"/>
    <n v="0"/>
    <x v="4"/>
    <n v="0"/>
  </r>
  <r>
    <x v="2"/>
    <x v="35"/>
    <n v="0"/>
    <n v="0"/>
    <x v="0"/>
    <n v="0"/>
    <n v="0"/>
    <n v="0"/>
    <n v="0"/>
    <n v="0"/>
    <x v="76"/>
    <n v="0"/>
    <x v="2"/>
    <n v="0"/>
  </r>
  <r>
    <x v="2"/>
    <x v="36"/>
    <n v="0"/>
    <n v="0"/>
    <x v="0"/>
    <n v="0"/>
    <n v="0"/>
    <n v="0"/>
    <n v="0"/>
    <n v="0"/>
    <x v="76"/>
    <n v="0"/>
    <x v="4"/>
    <n v="0"/>
  </r>
  <r>
    <x v="2"/>
    <x v="37"/>
    <n v="0"/>
    <n v="0"/>
    <x v="0"/>
    <n v="0"/>
    <n v="0"/>
    <n v="0"/>
    <n v="0"/>
    <n v="0"/>
    <x v="76"/>
    <n v="0"/>
    <x v="4"/>
    <n v="0"/>
  </r>
  <r>
    <x v="2"/>
    <x v="38"/>
    <n v="0"/>
    <n v="0"/>
    <x v="0"/>
    <n v="0"/>
    <n v="0"/>
    <n v="0"/>
    <n v="0"/>
    <n v="0"/>
    <x v="76"/>
    <n v="0"/>
    <x v="2"/>
    <n v="0"/>
  </r>
  <r>
    <x v="2"/>
    <x v="39"/>
    <n v="0"/>
    <n v="0"/>
    <x v="0"/>
    <n v="0"/>
    <n v="0"/>
    <n v="0"/>
    <n v="0"/>
    <n v="0"/>
    <x v="76"/>
    <n v="0"/>
    <x v="2"/>
    <n v="0"/>
  </r>
  <r>
    <x v="2"/>
    <x v="40"/>
    <n v="0"/>
    <n v="0"/>
    <x v="0"/>
    <n v="0"/>
    <n v="0"/>
    <n v="0"/>
    <n v="0"/>
    <n v="0"/>
    <x v="76"/>
    <n v="0"/>
    <x v="3"/>
    <n v="0"/>
  </r>
  <r>
    <x v="2"/>
    <x v="41"/>
    <n v="0"/>
    <n v="0"/>
    <x v="0"/>
    <n v="0"/>
    <n v="0"/>
    <n v="0"/>
    <n v="0"/>
    <n v="0"/>
    <x v="76"/>
    <n v="0"/>
    <x v="5"/>
    <n v="0"/>
  </r>
  <r>
    <x v="2"/>
    <x v="42"/>
    <n v="0"/>
    <n v="0"/>
    <x v="0"/>
    <n v="0"/>
    <n v="0"/>
    <n v="0"/>
    <n v="0"/>
    <n v="0"/>
    <x v="76"/>
    <n v="0"/>
    <x v="2"/>
    <n v="0"/>
  </r>
  <r>
    <x v="2"/>
    <x v="43"/>
    <n v="0"/>
    <n v="0"/>
    <x v="0"/>
    <n v="0"/>
    <n v="0"/>
    <n v="0"/>
    <n v="0"/>
    <n v="0"/>
    <x v="76"/>
    <n v="0"/>
    <x v="3"/>
    <n v="0"/>
  </r>
  <r>
    <x v="2"/>
    <x v="44"/>
    <n v="0"/>
    <n v="0"/>
    <x v="0"/>
    <n v="0"/>
    <n v="0"/>
    <n v="0"/>
    <n v="0"/>
    <n v="0"/>
    <x v="76"/>
    <n v="0"/>
    <x v="3"/>
    <n v="0"/>
  </r>
  <r>
    <x v="2"/>
    <x v="45"/>
    <n v="0"/>
    <n v="0"/>
    <x v="0"/>
    <n v="0"/>
    <n v="0"/>
    <n v="0"/>
    <n v="0"/>
    <n v="0"/>
    <x v="76"/>
    <n v="0"/>
    <x v="4"/>
    <n v="0"/>
  </r>
  <r>
    <x v="2"/>
    <x v="46"/>
    <n v="0"/>
    <n v="0"/>
    <x v="0"/>
    <n v="0"/>
    <n v="0"/>
    <n v="0"/>
    <n v="0"/>
    <n v="0"/>
    <x v="76"/>
    <n v="0"/>
    <x v="4"/>
    <n v="0"/>
  </r>
  <r>
    <x v="2"/>
    <x v="47"/>
    <n v="0"/>
    <n v="0"/>
    <x v="0"/>
    <n v="0"/>
    <n v="0"/>
    <n v="0"/>
    <n v="0"/>
    <n v="0"/>
    <x v="76"/>
    <n v="0"/>
    <x v="5"/>
    <n v="0"/>
  </r>
  <r>
    <x v="2"/>
    <x v="48"/>
    <n v="0"/>
    <n v="0"/>
    <x v="0"/>
    <n v="0"/>
    <n v="0"/>
    <n v="0"/>
    <n v="0"/>
    <n v="0"/>
    <x v="76"/>
    <n v="0"/>
    <x v="6"/>
    <n v="0"/>
  </r>
  <r>
    <x v="2"/>
    <x v="49"/>
    <n v="0"/>
    <n v="0"/>
    <x v="0"/>
    <n v="0"/>
    <n v="0"/>
    <n v="0"/>
    <n v="0"/>
    <n v="0"/>
    <x v="76"/>
    <n v="0"/>
    <x v="3"/>
    <n v="0"/>
  </r>
  <r>
    <x v="2"/>
    <x v="50"/>
    <n v="0"/>
    <n v="0"/>
    <x v="0"/>
    <n v="0"/>
    <n v="0"/>
    <n v="0"/>
    <n v="0"/>
    <n v="0"/>
    <x v="76"/>
    <n v="0"/>
    <x v="4"/>
    <n v="0"/>
  </r>
  <r>
    <x v="0"/>
    <x v="0"/>
    <n v="0"/>
    <n v="0"/>
    <x v="0"/>
    <n v="4.8099999999999996"/>
    <n v="3.21"/>
    <n v="8.02"/>
    <n v="59.98"/>
    <n v="0"/>
    <x v="77"/>
    <n v="0"/>
    <x v="0"/>
    <n v="0"/>
  </r>
  <r>
    <x v="0"/>
    <x v="1"/>
    <n v="0"/>
    <n v="0"/>
    <x v="0"/>
    <n v="3.9"/>
    <n v="4.03"/>
    <n v="7.93"/>
    <n v="49.18"/>
    <n v="0"/>
    <x v="77"/>
    <n v="0"/>
    <x v="0"/>
    <n v="0"/>
  </r>
  <r>
    <x v="0"/>
    <x v="2"/>
    <n v="0"/>
    <n v="0"/>
    <x v="0"/>
    <n v="3.9"/>
    <n v="4.03"/>
    <n v="7.93"/>
    <n v="49.18"/>
    <n v="0"/>
    <x v="77"/>
    <n v="0"/>
    <x v="0"/>
    <n v="0"/>
  </r>
  <r>
    <x v="0"/>
    <x v="3"/>
    <n v="0"/>
    <n v="0"/>
    <x v="0"/>
    <n v="1.23"/>
    <n v="6.79"/>
    <n v="8.02"/>
    <n v="15.34"/>
    <n v="0"/>
    <x v="77"/>
    <n v="0"/>
    <x v="0"/>
    <n v="0"/>
  </r>
  <r>
    <x v="0"/>
    <x v="4"/>
    <n v="0"/>
    <n v="0"/>
    <x v="0"/>
    <n v="1.92"/>
    <n v="6.01"/>
    <n v="7.93"/>
    <n v="24.21"/>
    <n v="0"/>
    <x v="77"/>
    <n v="0"/>
    <x v="0"/>
    <n v="0"/>
  </r>
  <r>
    <x v="0"/>
    <x v="5"/>
    <n v="0"/>
    <n v="0"/>
    <x v="0"/>
    <n v="3.9"/>
    <n v="4.03"/>
    <n v="7.93"/>
    <n v="49.18"/>
    <n v="0"/>
    <x v="77"/>
    <n v="0"/>
    <x v="0"/>
    <n v="0"/>
  </r>
  <r>
    <x v="0"/>
    <x v="6"/>
    <n v="0"/>
    <n v="0"/>
    <x v="0"/>
    <n v="1.92"/>
    <n v="6.01"/>
    <n v="7.93"/>
    <n v="24.21"/>
    <n v="0"/>
    <x v="77"/>
    <n v="0"/>
    <x v="0"/>
    <n v="0"/>
  </r>
  <r>
    <x v="0"/>
    <x v="7"/>
    <n v="3.3333333330000001"/>
    <n v="7.33"/>
    <x v="1295"/>
    <n v="1.23"/>
    <n v="6.79"/>
    <n v="8.02"/>
    <n v="15.34"/>
    <n v="41.56"/>
    <x v="77"/>
    <n v="39.999999996"/>
    <x v="0"/>
    <n v="0.41562759763092272"/>
  </r>
  <r>
    <x v="0"/>
    <x v="8"/>
    <n v="0"/>
    <n v="0"/>
    <x v="0"/>
    <n v="4.84"/>
    <n v="3.22"/>
    <n v="8.06"/>
    <n v="60.05"/>
    <n v="0"/>
    <x v="77"/>
    <n v="0"/>
    <x v="0"/>
    <n v="0"/>
  </r>
  <r>
    <x v="1"/>
    <x v="9"/>
    <n v="0"/>
    <n v="0"/>
    <x v="0"/>
    <n v="4.75"/>
    <n v="3.23"/>
    <n v="7.98"/>
    <n v="59.52"/>
    <n v="0"/>
    <x v="77"/>
    <n v="0"/>
    <x v="1"/>
    <n v="0"/>
  </r>
  <r>
    <x v="1"/>
    <x v="10"/>
    <n v="2.25"/>
    <n v="2.08"/>
    <x v="1296"/>
    <n v="3.55"/>
    <n v="4.41"/>
    <n v="7.96"/>
    <n v="44.6"/>
    <n v="28.27"/>
    <x v="77"/>
    <n v="27"/>
    <x v="1"/>
    <n v="0.28266331658291455"/>
  </r>
  <r>
    <x v="1"/>
    <x v="11"/>
    <n v="0"/>
    <n v="0"/>
    <x v="0"/>
    <n v="0"/>
    <n v="0"/>
    <n v="0"/>
    <n v="0"/>
    <n v="0"/>
    <x v="77"/>
    <n v="0"/>
    <x v="1"/>
    <n v="0"/>
  </r>
  <r>
    <x v="1"/>
    <x v="12"/>
    <n v="0"/>
    <n v="0"/>
    <x v="0"/>
    <n v="5.85"/>
    <n v="2.12"/>
    <n v="7.97"/>
    <n v="73.400000000000006"/>
    <n v="0"/>
    <x v="77"/>
    <n v="0"/>
    <x v="1"/>
    <n v="0"/>
  </r>
  <r>
    <x v="1"/>
    <x v="13"/>
    <n v="0"/>
    <n v="0"/>
    <x v="0"/>
    <n v="7.19"/>
    <n v="0.78"/>
    <n v="7.97"/>
    <n v="90.21"/>
    <n v="0"/>
    <x v="77"/>
    <n v="0"/>
    <x v="1"/>
    <n v="0"/>
  </r>
  <r>
    <x v="2"/>
    <x v="14"/>
    <n v="8"/>
    <n v="7.78"/>
    <x v="1297"/>
    <n v="7.27"/>
    <n v="0.81"/>
    <n v="8.08"/>
    <n v="89.98"/>
    <n v="99.01"/>
    <x v="77"/>
    <n v="96"/>
    <x v="2"/>
    <n v="0.99009900990099009"/>
  </r>
  <r>
    <x v="2"/>
    <x v="15"/>
    <n v="0"/>
    <n v="0"/>
    <x v="0"/>
    <n v="7.85"/>
    <n v="0.34"/>
    <n v="8.19"/>
    <n v="95.85"/>
    <n v="0"/>
    <x v="77"/>
    <n v="0"/>
    <x v="3"/>
    <n v="0"/>
  </r>
  <r>
    <x v="2"/>
    <x v="16"/>
    <n v="0"/>
    <n v="0"/>
    <x v="0"/>
    <n v="0"/>
    <n v="0"/>
    <n v="0"/>
    <n v="0"/>
    <n v="0"/>
    <x v="77"/>
    <n v="0"/>
    <x v="4"/>
    <n v="0"/>
  </r>
  <r>
    <x v="2"/>
    <x v="17"/>
    <n v="0"/>
    <n v="0"/>
    <x v="0"/>
    <n v="4.53"/>
    <n v="4.71"/>
    <n v="9.24"/>
    <n v="49.03"/>
    <n v="0"/>
    <x v="77"/>
    <n v="0"/>
    <x v="3"/>
    <n v="0"/>
  </r>
  <r>
    <x v="2"/>
    <x v="18"/>
    <n v="0"/>
    <n v="0"/>
    <x v="0"/>
    <n v="3.91"/>
    <n v="4.16"/>
    <n v="8.07"/>
    <n v="48.45"/>
    <n v="0"/>
    <x v="77"/>
    <n v="0"/>
    <x v="3"/>
    <n v="0"/>
  </r>
  <r>
    <x v="2"/>
    <x v="19"/>
    <n v="5.1266666670000003"/>
    <n v="3.62"/>
    <x v="1298"/>
    <n v="7.8"/>
    <n v="0.75"/>
    <n v="8.5500000000000007"/>
    <n v="91.23"/>
    <n v="59.96"/>
    <x v="77"/>
    <n v="61.520000004000011"/>
    <x v="2"/>
    <n v="0.59961013649122807"/>
  </r>
  <r>
    <x v="2"/>
    <x v="20"/>
    <n v="6.88"/>
    <n v="3.71"/>
    <x v="1299"/>
    <n v="9.16"/>
    <n v="0.5"/>
    <n v="9.66"/>
    <n v="94.82"/>
    <n v="71.22"/>
    <x v="77"/>
    <n v="82.56"/>
    <x v="5"/>
    <n v="0.71221532091097306"/>
  </r>
  <r>
    <x v="2"/>
    <x v="21"/>
    <n v="11.58333333"/>
    <n v="6.4"/>
    <x v="1300"/>
    <n v="9.01"/>
    <n v="1.1599999999999999"/>
    <n v="10.17"/>
    <n v="88.59"/>
    <n v="113.9"/>
    <x v="77"/>
    <n v="138.99999996000003"/>
    <x v="2"/>
    <n v="1.1389708289085547"/>
  </r>
  <r>
    <x v="2"/>
    <x v="22"/>
    <n v="0.6"/>
    <n v="1.27"/>
    <x v="1301"/>
    <n v="6.17"/>
    <n v="1.69"/>
    <n v="7.86"/>
    <n v="78.5"/>
    <n v="7.63"/>
    <x v="77"/>
    <n v="7.2"/>
    <x v="4"/>
    <n v="7.6335877862595408E-2"/>
  </r>
  <r>
    <x v="2"/>
    <x v="23"/>
    <n v="1"/>
    <n v="1.08"/>
    <x v="1302"/>
    <n v="3.83"/>
    <n v="5.42"/>
    <n v="9.25"/>
    <n v="41.41"/>
    <n v="10.81"/>
    <x v="77"/>
    <n v="12"/>
    <x v="3"/>
    <n v="0.10810810810810811"/>
  </r>
  <r>
    <x v="2"/>
    <x v="24"/>
    <n v="0"/>
    <n v="0"/>
    <x v="0"/>
    <n v="7.24"/>
    <n v="0.82"/>
    <n v="8.06"/>
    <n v="89.83"/>
    <n v="0"/>
    <x v="77"/>
    <n v="0"/>
    <x v="5"/>
    <n v="0"/>
  </r>
  <r>
    <x v="2"/>
    <x v="25"/>
    <n v="10.14"/>
    <n v="6.91"/>
    <x v="1303"/>
    <n v="7.33"/>
    <n v="0.68"/>
    <n v="8.01"/>
    <n v="91.51"/>
    <n v="126.59"/>
    <x v="77"/>
    <n v="121.68000000000002"/>
    <x v="2"/>
    <n v="1.2659176029962549"/>
  </r>
  <r>
    <x v="2"/>
    <x v="26"/>
    <n v="0"/>
    <n v="0"/>
    <x v="0"/>
    <n v="7.69"/>
    <n v="0.46"/>
    <n v="8.15"/>
    <n v="94.36"/>
    <n v="0"/>
    <x v="77"/>
    <n v="0"/>
    <x v="3"/>
    <n v="0"/>
  </r>
  <r>
    <x v="2"/>
    <x v="27"/>
    <n v="9.25"/>
    <n v="5.53"/>
    <x v="1304"/>
    <n v="7.31"/>
    <n v="0.74"/>
    <n v="8.0500000000000007"/>
    <n v="90.81"/>
    <n v="114.91"/>
    <x v="77"/>
    <n v="111"/>
    <x v="5"/>
    <n v="1.1490683229813663"/>
  </r>
  <r>
    <x v="2"/>
    <x v="29"/>
    <n v="0"/>
    <n v="0"/>
    <x v="0"/>
    <n v="0"/>
    <n v="0"/>
    <n v="0"/>
    <n v="0"/>
    <n v="0"/>
    <x v="77"/>
    <n v="0"/>
    <x v="5"/>
    <n v="0"/>
  </r>
  <r>
    <x v="2"/>
    <x v="31"/>
    <n v="1.8333333329999999"/>
    <n v="1.4"/>
    <x v="1290"/>
    <n v="7.87"/>
    <n v="1.39"/>
    <n v="9.26"/>
    <n v="84.99"/>
    <n v="19.8"/>
    <x v="77"/>
    <n v="21.999999996"/>
    <x v="2"/>
    <n v="0.19798416123110152"/>
  </r>
  <r>
    <x v="2"/>
    <x v="32"/>
    <n v="1.48"/>
    <n v="1.74"/>
    <x v="1305"/>
    <n v="7.31"/>
    <n v="2.2599999999999998"/>
    <n v="9.57"/>
    <n v="76.38"/>
    <n v="15.46"/>
    <x v="77"/>
    <n v="17.759999999999998"/>
    <x v="3"/>
    <n v="0.15464994775339602"/>
  </r>
  <r>
    <x v="2"/>
    <x v="33"/>
    <n v="0"/>
    <n v="0"/>
    <x v="0"/>
    <n v="9.2799999999999994"/>
    <n v="0.34"/>
    <n v="9.6199999999999992"/>
    <n v="96.47"/>
    <n v="0"/>
    <x v="77"/>
    <n v="0"/>
    <x v="3"/>
    <n v="0"/>
  </r>
  <r>
    <x v="2"/>
    <x v="34"/>
    <n v="1.03"/>
    <n v="2.3199999999999998"/>
    <x v="1306"/>
    <n v="6.06"/>
    <n v="3.55"/>
    <n v="9.61"/>
    <n v="63.06"/>
    <n v="10.72"/>
    <x v="77"/>
    <n v="12.360000000000001"/>
    <x v="4"/>
    <n v="0.10718002081165454"/>
  </r>
  <r>
    <x v="2"/>
    <x v="35"/>
    <n v="12.95333333"/>
    <n v="8.0500000000000007"/>
    <x v="1307"/>
    <n v="8.6999999999999993"/>
    <n v="0.82"/>
    <n v="9.52"/>
    <n v="91.39"/>
    <n v="136.06"/>
    <x v="77"/>
    <n v="155.43999995999999"/>
    <x v="2"/>
    <n v="1.3606442573529411"/>
  </r>
  <r>
    <x v="2"/>
    <x v="36"/>
    <n v="0.74"/>
    <n v="1.75"/>
    <x v="1308"/>
    <n v="5.42"/>
    <n v="2.4500000000000002"/>
    <n v="7.87"/>
    <n v="68.87"/>
    <n v="9.4"/>
    <x v="77"/>
    <n v="8.879999999999999"/>
    <x v="4"/>
    <n v="9.4027954256670904E-2"/>
  </r>
  <r>
    <x v="2"/>
    <x v="37"/>
    <n v="0.23"/>
    <n v="1.92"/>
    <x v="1309"/>
    <n v="7.07"/>
    <n v="0.92"/>
    <n v="7.99"/>
    <n v="88.49"/>
    <n v="2.88"/>
    <x v="77"/>
    <n v="2.7600000000000002"/>
    <x v="4"/>
    <n v="2.8785982478097622E-2"/>
  </r>
  <r>
    <x v="2"/>
    <x v="38"/>
    <n v="15.41666667"/>
    <n v="8.0299999999999994"/>
    <x v="1310"/>
    <n v="8.3699999999999992"/>
    <n v="1.1599999999999999"/>
    <n v="9.5299999999999994"/>
    <n v="87.83"/>
    <n v="161.77000000000001"/>
    <x v="77"/>
    <n v="185.00000003999997"/>
    <x v="2"/>
    <n v="1.6176984963273873"/>
  </r>
  <r>
    <x v="2"/>
    <x v="39"/>
    <n v="3.1666666669999999"/>
    <n v="2.42"/>
    <x v="1311"/>
    <n v="5.39"/>
    <n v="2.5099999999999998"/>
    <n v="7.9"/>
    <n v="68.23"/>
    <n v="40.08"/>
    <x v="77"/>
    <n v="38.000000004"/>
    <x v="2"/>
    <n v="0.40084388189873416"/>
  </r>
  <r>
    <x v="2"/>
    <x v="41"/>
    <n v="3.28"/>
    <n v="3.4"/>
    <x v="1312"/>
    <n v="7.9"/>
    <n v="0.15"/>
    <n v="8.0500000000000007"/>
    <n v="98.14"/>
    <n v="40.75"/>
    <x v="77"/>
    <n v="39.36"/>
    <x v="5"/>
    <n v="0.40745341614906827"/>
  </r>
  <r>
    <x v="2"/>
    <x v="42"/>
    <n v="11.5"/>
    <n v="7.72"/>
    <x v="1313"/>
    <n v="7.04"/>
    <n v="1.26"/>
    <n v="8.3000000000000007"/>
    <n v="84.82"/>
    <n v="138.55000000000001"/>
    <x v="77"/>
    <n v="138"/>
    <x v="2"/>
    <n v="1.3855421686746987"/>
  </r>
  <r>
    <x v="2"/>
    <x v="43"/>
    <n v="0"/>
    <n v="0"/>
    <x v="0"/>
    <n v="7.55"/>
    <n v="0.65"/>
    <n v="8.1999999999999993"/>
    <n v="92.07"/>
    <n v="0"/>
    <x v="77"/>
    <n v="0"/>
    <x v="3"/>
    <n v="0"/>
  </r>
  <r>
    <x v="2"/>
    <x v="44"/>
    <n v="6.6666666670000003"/>
    <n v="8.09"/>
    <x v="1314"/>
    <n v="6.23"/>
    <n v="1.88"/>
    <n v="8.11"/>
    <n v="76.819999999999993"/>
    <n v="82.2"/>
    <x v="77"/>
    <n v="80.000000004"/>
    <x v="3"/>
    <n v="0.82203041516646125"/>
  </r>
  <r>
    <x v="2"/>
    <x v="46"/>
    <n v="0"/>
    <n v="0"/>
    <x v="0"/>
    <n v="7.05"/>
    <n v="0.81"/>
    <n v="7.86"/>
    <n v="89.69"/>
    <n v="0"/>
    <x v="77"/>
    <n v="0"/>
    <x v="4"/>
    <n v="0"/>
  </r>
  <r>
    <x v="2"/>
    <x v="47"/>
    <n v="2.2999999999999998"/>
    <n v="3.4"/>
    <x v="1315"/>
    <n v="7.88"/>
    <n v="0.15"/>
    <n v="8.0299999999999994"/>
    <n v="98.13"/>
    <n v="28.64"/>
    <x v="77"/>
    <n v="27.6"/>
    <x v="5"/>
    <n v="0.28642590286425901"/>
  </r>
  <r>
    <x v="2"/>
    <x v="48"/>
    <n v="0"/>
    <n v="0"/>
    <x v="0"/>
    <n v="0"/>
    <n v="0"/>
    <n v="0"/>
    <n v="0"/>
    <n v="0"/>
    <x v="77"/>
    <n v="0"/>
    <x v="6"/>
    <n v="0"/>
  </r>
  <r>
    <x v="2"/>
    <x v="49"/>
    <n v="1"/>
    <n v="0.19"/>
    <x v="1316"/>
    <n v="7.66"/>
    <n v="0.45"/>
    <n v="8.11"/>
    <n v="94.45"/>
    <n v="12.33"/>
    <x v="77"/>
    <n v="12"/>
    <x v="3"/>
    <n v="0.12330456226880396"/>
  </r>
  <r>
    <x v="0"/>
    <x v="5"/>
    <n v="2.2200000000000002"/>
    <n v="10.34"/>
    <x v="1317"/>
    <n v="10.46"/>
    <n v="0.09"/>
    <n v="10.55"/>
    <n v="99.15"/>
    <n v="21.04"/>
    <x v="78"/>
    <n v="26.640000000000004"/>
    <x v="0"/>
    <n v="0.2104265402843602"/>
  </r>
  <r>
    <x v="0"/>
    <x v="7"/>
    <n v="3.3"/>
    <n v="5.88"/>
    <x v="1318"/>
    <n v="7.48"/>
    <n v="0.57999999999999996"/>
    <n v="8.06"/>
    <n v="92.8"/>
    <n v="40.94"/>
    <x v="78"/>
    <n v="39.6"/>
    <x v="0"/>
    <n v="0.40942928039702231"/>
  </r>
  <r>
    <x v="1"/>
    <x v="9"/>
    <n v="4.4366666669999999"/>
    <n v="3.37"/>
    <x v="1319"/>
    <n v="1.68"/>
    <n v="6.37"/>
    <n v="8.0500000000000007"/>
    <n v="20.87"/>
    <n v="55.11"/>
    <x v="78"/>
    <n v="53.240000004000002"/>
    <x v="1"/>
    <n v="0.55113871639751544"/>
  </r>
  <r>
    <x v="1"/>
    <x v="12"/>
    <n v="7.3366666670000003"/>
    <n v="6.01"/>
    <x v="1320"/>
    <n v="6.18"/>
    <n v="1.89"/>
    <n v="8.07"/>
    <n v="76.58"/>
    <n v="90.91"/>
    <x v="78"/>
    <n v="88.040000004000007"/>
    <x v="1"/>
    <n v="0.90912845935563813"/>
  </r>
  <r>
    <x v="2"/>
    <x v="14"/>
    <n v="13.31"/>
    <n v="5.31"/>
    <x v="1321"/>
    <n v="8.18"/>
    <n v="0.14000000000000001"/>
    <n v="8.32"/>
    <n v="98.32"/>
    <n v="159.97999999999999"/>
    <x v="78"/>
    <n v="159.72"/>
    <x v="2"/>
    <n v="1.5997596153846154"/>
  </r>
  <r>
    <x v="2"/>
    <x v="15"/>
    <n v="0"/>
    <n v="0"/>
    <x v="0"/>
    <n v="7.82"/>
    <n v="0.32"/>
    <n v="8.14"/>
    <n v="96.07"/>
    <n v="0"/>
    <x v="78"/>
    <n v="0"/>
    <x v="3"/>
    <n v="0"/>
  </r>
  <r>
    <x v="2"/>
    <x v="17"/>
    <n v="0.33333333300000001"/>
    <n v="0.97"/>
    <x v="1322"/>
    <n v="0"/>
    <n v="4.47"/>
    <n v="4.47"/>
    <n v="0"/>
    <n v="7.46"/>
    <x v="78"/>
    <n v="3.9999999960000006"/>
    <x v="3"/>
    <n v="7.4571215436241622E-2"/>
  </r>
  <r>
    <x v="2"/>
    <x v="18"/>
    <n v="2.48"/>
    <n v="1.46"/>
    <x v="1323"/>
    <n v="7.01"/>
    <n v="1.48"/>
    <n v="8.49"/>
    <n v="82.57"/>
    <n v="29.21"/>
    <x v="78"/>
    <n v="29.76"/>
    <x v="3"/>
    <n v="0.29210836277974084"/>
  </r>
  <r>
    <x v="2"/>
    <x v="21"/>
    <n v="12.10333333"/>
    <n v="6.26"/>
    <x v="1324"/>
    <n v="9.1199999999999992"/>
    <n v="0.44"/>
    <n v="9.56"/>
    <n v="95.4"/>
    <n v="126.6"/>
    <x v="78"/>
    <n v="145.23999996000001"/>
    <x v="2"/>
    <n v="1.26603905125523"/>
  </r>
  <r>
    <x v="2"/>
    <x v="22"/>
    <n v="3.47"/>
    <n v="4.25"/>
    <x v="1325"/>
    <n v="7.4"/>
    <n v="0.8"/>
    <n v="8.1999999999999993"/>
    <n v="90.24"/>
    <n v="42.32"/>
    <x v="78"/>
    <n v="41.64"/>
    <x v="4"/>
    <n v="0.42317073170731712"/>
  </r>
  <r>
    <x v="2"/>
    <x v="23"/>
    <n v="1.88"/>
    <n v="1.76"/>
    <x v="1326"/>
    <n v="3.85"/>
    <n v="6.15"/>
    <n v="10"/>
    <n v="38.5"/>
    <n v="18.8"/>
    <x v="78"/>
    <n v="22.56"/>
    <x v="3"/>
    <n v="0.188"/>
  </r>
  <r>
    <x v="2"/>
    <x v="24"/>
    <n v="11.01"/>
    <n v="10.48"/>
    <x v="1327"/>
    <n v="9.16"/>
    <n v="1.89"/>
    <n v="11.05"/>
    <n v="82.9"/>
    <n v="99.64"/>
    <x v="78"/>
    <n v="132.12"/>
    <x v="5"/>
    <n v="0.99638009049773746"/>
  </r>
  <r>
    <x v="2"/>
    <x v="25"/>
    <n v="12.08333333"/>
    <n v="7.49"/>
    <x v="1328"/>
    <n v="8.92"/>
    <n v="0.88"/>
    <n v="9.8000000000000007"/>
    <n v="91.02"/>
    <n v="123.3"/>
    <x v="78"/>
    <n v="144.99999996000003"/>
    <x v="2"/>
    <n v="1.2329931969387755"/>
  </r>
  <r>
    <x v="2"/>
    <x v="26"/>
    <n v="1.1666666670000001"/>
    <n v="1.35"/>
    <x v="1140"/>
    <n v="9.4700000000000006"/>
    <n v="0.56999999999999995"/>
    <n v="10.039999999999999"/>
    <n v="94.32"/>
    <n v="11.62"/>
    <x v="78"/>
    <n v="14.000000004"/>
    <x v="3"/>
    <n v="0.11620185926294822"/>
  </r>
  <r>
    <x v="2"/>
    <x v="27"/>
    <n v="12.653333330000001"/>
    <n v="6.74"/>
    <x v="1329"/>
    <n v="9.5399999999999991"/>
    <n v="1.51"/>
    <n v="11.05"/>
    <n v="86.33"/>
    <n v="114.51"/>
    <x v="78"/>
    <n v="151.83999996"/>
    <x v="5"/>
    <n v="1.1450980389140271"/>
  </r>
  <r>
    <x v="2"/>
    <x v="29"/>
    <n v="0"/>
    <n v="0"/>
    <x v="0"/>
    <n v="0"/>
    <n v="0"/>
    <n v="0"/>
    <n v="0"/>
    <n v="0"/>
    <x v="78"/>
    <n v="0"/>
    <x v="5"/>
    <n v="0"/>
  </r>
  <r>
    <x v="2"/>
    <x v="31"/>
    <n v="5.9166666670000003"/>
    <n v="4.12"/>
    <x v="1330"/>
    <n v="7.76"/>
    <n v="1.67"/>
    <n v="9.43"/>
    <n v="82.29"/>
    <n v="62.74"/>
    <x v="78"/>
    <n v="71.000000004"/>
    <x v="2"/>
    <n v="0.6274301873807"/>
  </r>
  <r>
    <x v="2"/>
    <x v="32"/>
    <n v="1.4466666669999999"/>
    <n v="2.95"/>
    <x v="1331"/>
    <n v="8.89"/>
    <n v="1.1100000000000001"/>
    <n v="10"/>
    <n v="88.9"/>
    <n v="14.47"/>
    <x v="78"/>
    <n v="17.360000004"/>
    <x v="3"/>
    <n v="0.1446666667"/>
  </r>
  <r>
    <x v="2"/>
    <x v="33"/>
    <n v="5.16"/>
    <n v="7.05"/>
    <x v="1332"/>
    <n v="9.6300000000000008"/>
    <n v="0.43"/>
    <n v="10.06"/>
    <n v="95.73"/>
    <n v="51.29"/>
    <x v="78"/>
    <n v="61.92"/>
    <x v="3"/>
    <n v="0.51292246520874751"/>
  </r>
  <r>
    <x v="2"/>
    <x v="35"/>
    <n v="14.05666667"/>
    <n v="9.66"/>
    <x v="1333"/>
    <n v="11.12"/>
    <n v="0.88"/>
    <n v="12"/>
    <n v="92.67"/>
    <n v="117.14"/>
    <x v="78"/>
    <n v="168.68000004000001"/>
    <x v="2"/>
    <n v="1.1713888891666666"/>
  </r>
  <r>
    <x v="2"/>
    <x v="36"/>
    <n v="0.5"/>
    <n v="0.94"/>
    <x v="1334"/>
    <n v="6"/>
    <n v="2.41"/>
    <n v="8.41"/>
    <n v="71.34"/>
    <n v="5.95"/>
    <x v="78"/>
    <n v="6"/>
    <x v="4"/>
    <n v="5.9453032104637336E-2"/>
  </r>
  <r>
    <x v="2"/>
    <x v="37"/>
    <n v="0"/>
    <n v="0"/>
    <x v="0"/>
    <n v="7.97"/>
    <n v="0.53"/>
    <n v="8.5"/>
    <n v="93.76"/>
    <n v="0"/>
    <x v="78"/>
    <n v="0"/>
    <x v="4"/>
    <n v="0"/>
  </r>
  <r>
    <x v="2"/>
    <x v="39"/>
    <n v="9.3133333329999992"/>
    <n v="7.7"/>
    <x v="1335"/>
    <n v="6.63"/>
    <n v="1.52"/>
    <n v="8.15"/>
    <n v="81.349999999999994"/>
    <n v="114.27"/>
    <x v="78"/>
    <n v="111.75999999599999"/>
    <x v="2"/>
    <n v="1.1427402862576685"/>
  </r>
  <r>
    <x v="2"/>
    <x v="41"/>
    <n v="4.5199999999999996"/>
    <n v="5.59"/>
    <x v="1336"/>
    <n v="8.5"/>
    <n v="1.1200000000000001"/>
    <n v="9.6199999999999992"/>
    <n v="88.36"/>
    <n v="46.99"/>
    <x v="78"/>
    <n v="54.239999999999995"/>
    <x v="5"/>
    <n v="0.46985446985446983"/>
  </r>
  <r>
    <x v="2"/>
    <x v="42"/>
    <n v="11.25"/>
    <n v="5.75"/>
    <x v="1337"/>
    <n v="8.02"/>
    <n v="0.78"/>
    <n v="8.8000000000000007"/>
    <n v="91.14"/>
    <n v="127.84"/>
    <x v="78"/>
    <n v="135"/>
    <x v="2"/>
    <n v="1.2784090909090908"/>
  </r>
  <r>
    <x v="2"/>
    <x v="43"/>
    <n v="0.83333333300000001"/>
    <n v="2.6"/>
    <x v="1338"/>
    <n v="6.64"/>
    <n v="1.5"/>
    <n v="8.14"/>
    <n v="81.569999999999993"/>
    <n v="10.24"/>
    <x v="78"/>
    <n v="9.9999999959999997"/>
    <x v="3"/>
    <n v="0.10237510233415233"/>
  </r>
  <r>
    <x v="2"/>
    <x v="44"/>
    <n v="2.8333333330000001"/>
    <n v="5.04"/>
    <x v="1339"/>
    <n v="6.6"/>
    <n v="2.5499999999999998"/>
    <n v="9.15"/>
    <n v="72.13"/>
    <n v="30.97"/>
    <x v="78"/>
    <n v="33.999999996"/>
    <x v="3"/>
    <n v="0.30965391617486338"/>
  </r>
  <r>
    <x v="2"/>
    <x v="45"/>
    <n v="0"/>
    <n v="0"/>
    <x v="0"/>
    <n v="3.98"/>
    <n v="4.07"/>
    <n v="8.0500000000000007"/>
    <n v="49.44"/>
    <n v="0"/>
    <x v="78"/>
    <n v="0"/>
    <x v="4"/>
    <n v="0"/>
  </r>
  <r>
    <x v="2"/>
    <x v="46"/>
    <n v="6.1"/>
    <n v="6.55"/>
    <x v="1340"/>
    <n v="8.4499999999999993"/>
    <n v="0.61"/>
    <n v="9.06"/>
    <n v="93.27"/>
    <n v="67.33"/>
    <x v="78"/>
    <n v="73.2"/>
    <x v="4"/>
    <n v="0.67328918322295794"/>
  </r>
  <r>
    <x v="2"/>
    <x v="47"/>
    <n v="9.5666666669999998"/>
    <n v="5.23"/>
    <x v="1341"/>
    <n v="7.89"/>
    <n v="0.83"/>
    <n v="8.7200000000000006"/>
    <n v="90.48"/>
    <n v="109.71"/>
    <x v="78"/>
    <n v="114.800000004"/>
    <x v="5"/>
    <n v="1.0970948012614679"/>
  </r>
  <r>
    <x v="2"/>
    <x v="48"/>
    <n v="0"/>
    <n v="0"/>
    <x v="0"/>
    <n v="0"/>
    <n v="0"/>
    <n v="0"/>
    <n v="0"/>
    <n v="0"/>
    <x v="78"/>
    <n v="0"/>
    <x v="6"/>
    <n v="0"/>
  </r>
  <r>
    <x v="2"/>
    <x v="49"/>
    <n v="4.6666666670000003"/>
    <n v="7.87"/>
    <x v="1342"/>
    <n v="7.19"/>
    <n v="0.82"/>
    <n v="8.01"/>
    <n v="89.76"/>
    <n v="58.26"/>
    <x v="78"/>
    <n v="56.000000004"/>
    <x v="3"/>
    <n v="0.58260507702871411"/>
  </r>
  <r>
    <x v="0"/>
    <x v="0"/>
    <n v="0"/>
    <n v="0"/>
    <x v="0"/>
    <n v="7.5"/>
    <n v="0.47"/>
    <n v="7.97"/>
    <n v="94.1"/>
    <n v="0"/>
    <x v="79"/>
    <n v="0"/>
    <x v="0"/>
    <n v="0"/>
  </r>
  <r>
    <x v="0"/>
    <x v="1"/>
    <n v="0"/>
    <n v="0"/>
    <x v="0"/>
    <n v="7.99"/>
    <n v="0.08"/>
    <n v="8.07"/>
    <n v="99.01"/>
    <n v="0"/>
    <x v="79"/>
    <n v="0"/>
    <x v="0"/>
    <n v="0"/>
  </r>
  <r>
    <x v="0"/>
    <x v="2"/>
    <n v="1"/>
    <n v="0.08"/>
    <x v="1343"/>
    <n v="7.99"/>
    <n v="0.08"/>
    <n v="8.07"/>
    <n v="99.01"/>
    <n v="12.39"/>
    <x v="79"/>
    <n v="12"/>
    <x v="0"/>
    <n v="0.12391573729863692"/>
  </r>
  <r>
    <x v="0"/>
    <x v="3"/>
    <n v="0.92"/>
    <n v="1.24"/>
    <x v="1344"/>
    <n v="7.53"/>
    <n v="0.48"/>
    <n v="8.01"/>
    <n v="94.01"/>
    <n v="11.49"/>
    <x v="79"/>
    <n v="11.040000000000001"/>
    <x v="0"/>
    <n v="0.11485642946317104"/>
  </r>
  <r>
    <x v="0"/>
    <x v="5"/>
    <n v="0"/>
    <n v="0"/>
    <x v="0"/>
    <n v="7.99"/>
    <n v="0.08"/>
    <n v="8.07"/>
    <n v="99.01"/>
    <n v="0"/>
    <x v="79"/>
    <n v="0"/>
    <x v="0"/>
    <n v="0"/>
  </r>
  <r>
    <x v="0"/>
    <x v="7"/>
    <n v="3.9933333329999998"/>
    <n v="5.29"/>
    <x v="1345"/>
    <n v="7.54"/>
    <n v="0.47"/>
    <n v="8.01"/>
    <n v="94.13"/>
    <n v="49.85"/>
    <x v="79"/>
    <n v="47.919999995999994"/>
    <x v="0"/>
    <n v="0.49854348726591757"/>
  </r>
  <r>
    <x v="0"/>
    <x v="8"/>
    <n v="3.75"/>
    <n v="7.42"/>
    <x v="1346"/>
    <n v="7.6"/>
    <n v="0.47"/>
    <n v="8.07"/>
    <n v="94.18"/>
    <n v="46.47"/>
    <x v="79"/>
    <n v="45"/>
    <x v="0"/>
    <n v="0.46468401486988847"/>
  </r>
  <r>
    <x v="1"/>
    <x v="9"/>
    <n v="9.25"/>
    <n v="4.5199999999999996"/>
    <x v="1347"/>
    <n v="4.55"/>
    <n v="3.49"/>
    <n v="8.0399999999999991"/>
    <n v="56.59"/>
    <n v="115.05"/>
    <x v="79"/>
    <n v="111"/>
    <x v="1"/>
    <n v="1.1504975124378112"/>
  </r>
  <r>
    <x v="1"/>
    <x v="12"/>
    <n v="1.153333333"/>
    <n v="4.75"/>
    <x v="1348"/>
    <n v="7.67"/>
    <n v="0.4"/>
    <n v="8.07"/>
    <n v="95.04"/>
    <n v="14.29"/>
    <x v="79"/>
    <n v="13.839999996"/>
    <x v="1"/>
    <n v="0.14291615030978932"/>
  </r>
  <r>
    <x v="2"/>
    <x v="14"/>
    <n v="10.58333333"/>
    <n v="4.8499999999999996"/>
    <x v="1349"/>
    <n v="7.49"/>
    <n v="0.49"/>
    <n v="7.98"/>
    <n v="93.86"/>
    <n v="132.62"/>
    <x v="79"/>
    <n v="126.99999996000001"/>
    <x v="2"/>
    <n v="1.3262322468671679"/>
  </r>
  <r>
    <x v="2"/>
    <x v="16"/>
    <n v="0"/>
    <n v="0"/>
    <x v="0"/>
    <n v="0"/>
    <n v="0"/>
    <n v="0"/>
    <n v="0"/>
    <n v="0"/>
    <x v="79"/>
    <n v="0"/>
    <x v="4"/>
    <n v="0"/>
  </r>
  <r>
    <x v="2"/>
    <x v="17"/>
    <n v="1"/>
    <n v="0.97"/>
    <x v="1350"/>
    <n v="6.26"/>
    <n v="1.8"/>
    <n v="8.06"/>
    <n v="77.67"/>
    <n v="12.41"/>
    <x v="79"/>
    <n v="12"/>
    <x v="3"/>
    <n v="0.12406947890818858"/>
  </r>
  <r>
    <x v="2"/>
    <x v="18"/>
    <n v="2.1666666669999999"/>
    <n v="2.46"/>
    <x v="1351"/>
    <n v="7.54"/>
    <n v="0.53"/>
    <n v="8.07"/>
    <n v="93.43"/>
    <n v="26.85"/>
    <x v="79"/>
    <n v="26.000000003999997"/>
    <x v="3"/>
    <n v="0.26848409752168523"/>
  </r>
  <r>
    <x v="2"/>
    <x v="20"/>
    <n v="4.1866666669999999"/>
    <n v="2.12"/>
    <x v="1352"/>
    <n v="9.68"/>
    <n v="0.5"/>
    <n v="10.18"/>
    <n v="95.09"/>
    <n v="41.13"/>
    <x v="79"/>
    <n v="50.240000004000002"/>
    <x v="5"/>
    <n v="0.41126391620825148"/>
  </r>
  <r>
    <x v="2"/>
    <x v="22"/>
    <n v="5.09"/>
    <n v="5.66"/>
    <x v="1353"/>
    <n v="6.55"/>
    <n v="1.36"/>
    <n v="7.91"/>
    <n v="82.81"/>
    <n v="64.349999999999994"/>
    <x v="79"/>
    <n v="61.08"/>
    <x v="4"/>
    <n v="0.64348925410872315"/>
  </r>
  <r>
    <x v="2"/>
    <x v="23"/>
    <n v="1"/>
    <n v="0.27"/>
    <x v="1354"/>
    <n v="7.27"/>
    <n v="0.85"/>
    <n v="8.1199999999999992"/>
    <n v="89.53"/>
    <n v="12.32"/>
    <x v="79"/>
    <n v="12"/>
    <x v="3"/>
    <n v="0.12315270935960593"/>
  </r>
  <r>
    <x v="2"/>
    <x v="24"/>
    <n v="6.2966666670000002"/>
    <n v="7.62"/>
    <x v="1355"/>
    <n v="9.93"/>
    <n v="0.1"/>
    <n v="10.029999999999999"/>
    <n v="99"/>
    <n v="62.78"/>
    <x v="79"/>
    <n v="75.560000004000003"/>
    <x v="5"/>
    <n v="0.62778331674975085"/>
  </r>
  <r>
    <x v="2"/>
    <x v="25"/>
    <n v="6.8033333330000003"/>
    <n v="7.13"/>
    <x v="1356"/>
    <n v="7.33"/>
    <n v="0.66"/>
    <n v="7.99"/>
    <n v="91.74"/>
    <n v="85.15"/>
    <x v="79"/>
    <n v="81.639999996"/>
    <x v="2"/>
    <n v="0.85148101789737174"/>
  </r>
  <r>
    <x v="2"/>
    <x v="26"/>
    <n v="0"/>
    <n v="0"/>
    <x v="0"/>
    <n v="7.74"/>
    <n v="0.26"/>
    <n v="8"/>
    <n v="96.75"/>
    <n v="0"/>
    <x v="79"/>
    <n v="0"/>
    <x v="3"/>
    <n v="0"/>
  </r>
  <r>
    <x v="2"/>
    <x v="29"/>
    <n v="1.5833333329999999"/>
    <n v="2.2200000000000002"/>
    <x v="1357"/>
    <n v="6.91"/>
    <n v="0.87"/>
    <n v="7.78"/>
    <n v="88.82"/>
    <n v="20.350000000000001"/>
    <x v="79"/>
    <n v="18.999999996"/>
    <x v="5"/>
    <n v="0.20351328187660667"/>
  </r>
  <r>
    <x v="2"/>
    <x v="30"/>
    <n v="1.973333333"/>
    <n v="3.85"/>
    <x v="1358"/>
    <n v="9.17"/>
    <n v="0.87"/>
    <n v="10.039999999999999"/>
    <n v="91.33"/>
    <n v="19.649999999999999"/>
    <x v="79"/>
    <n v="23.679999995999999"/>
    <x v="5"/>
    <n v="0.19654714472111556"/>
  </r>
  <r>
    <x v="2"/>
    <x v="31"/>
    <n v="7.6666666670000003"/>
    <n v="7.4"/>
    <x v="1359"/>
    <n v="7.23"/>
    <n v="0.96"/>
    <n v="8.19"/>
    <n v="88.28"/>
    <n v="93.61"/>
    <x v="79"/>
    <n v="92.000000004"/>
    <x v="2"/>
    <n v="0.93610093614163625"/>
  </r>
  <r>
    <x v="2"/>
    <x v="32"/>
    <n v="2.99"/>
    <n v="3.17"/>
    <x v="1360"/>
    <n v="7"/>
    <n v="1.1100000000000001"/>
    <n v="8.11"/>
    <n v="86.31"/>
    <n v="36.869999999999997"/>
    <x v="79"/>
    <n v="35.880000000000003"/>
    <x v="3"/>
    <n v="0.36868064118372385"/>
  </r>
  <r>
    <x v="2"/>
    <x v="33"/>
    <n v="0"/>
    <n v="0"/>
    <x v="0"/>
    <n v="9.1199999999999992"/>
    <n v="0.86"/>
    <n v="9.98"/>
    <n v="91.38"/>
    <n v="0"/>
    <x v="79"/>
    <n v="0"/>
    <x v="3"/>
    <n v="0"/>
  </r>
  <r>
    <x v="2"/>
    <x v="35"/>
    <n v="10.16666667"/>
    <n v="5.62"/>
    <x v="1361"/>
    <n v="9.14"/>
    <n v="1.03"/>
    <n v="10.17"/>
    <n v="89.87"/>
    <n v="99.97"/>
    <x v="79"/>
    <n v="122.00000003999999"/>
    <x v="2"/>
    <n v="0.99967223893805313"/>
  </r>
  <r>
    <x v="2"/>
    <x v="38"/>
    <n v="10"/>
    <n v="6.2"/>
    <x v="644"/>
    <n v="9.06"/>
    <n v="0.6"/>
    <n v="9.66"/>
    <n v="93.79"/>
    <n v="103.52"/>
    <x v="79"/>
    <n v="120"/>
    <x v="2"/>
    <n v="1.0351966873706004"/>
  </r>
  <r>
    <x v="2"/>
    <x v="39"/>
    <n v="11.16666667"/>
    <n v="6.86"/>
    <x v="1362"/>
    <n v="6.15"/>
    <n v="1.87"/>
    <n v="8.02"/>
    <n v="76.680000000000007"/>
    <n v="139.24"/>
    <x v="79"/>
    <n v="134.00000003999997"/>
    <x v="2"/>
    <n v="1.3923524526184539"/>
  </r>
  <r>
    <x v="2"/>
    <x v="40"/>
    <n v="0.16666666699999999"/>
    <n v="0.24"/>
    <x v="441"/>
    <n v="9.19"/>
    <n v="0.81"/>
    <n v="10"/>
    <n v="91.9"/>
    <n v="1.67"/>
    <x v="79"/>
    <n v="2.0000000039999999"/>
    <x v="3"/>
    <n v="1.6666666699999999E-2"/>
  </r>
  <r>
    <x v="2"/>
    <x v="41"/>
    <n v="3.79"/>
    <n v="1.59"/>
    <x v="1363"/>
    <n v="8.99"/>
    <n v="0.21"/>
    <n v="9.1999999999999993"/>
    <n v="97.72"/>
    <n v="41.2"/>
    <x v="79"/>
    <n v="45.480000000000004"/>
    <x v="5"/>
    <n v="0.41195652173913044"/>
  </r>
  <r>
    <x v="2"/>
    <x v="42"/>
    <n v="16.583333329999999"/>
    <n v="7.34"/>
    <x v="1364"/>
    <n v="8.56"/>
    <n v="0.44"/>
    <n v="9"/>
    <n v="95.11"/>
    <n v="184.26"/>
    <x v="79"/>
    <n v="198.99999996"/>
    <x v="2"/>
    <n v="1.8425925922222222"/>
  </r>
  <r>
    <x v="2"/>
    <x v="44"/>
    <n v="0.5"/>
    <n v="0.94"/>
    <x v="1334"/>
    <n v="6.35"/>
    <n v="1.64"/>
    <n v="7.99"/>
    <n v="79.47"/>
    <n v="6.26"/>
    <x v="79"/>
    <n v="6"/>
    <x v="3"/>
    <n v="6.2578222778473094E-2"/>
  </r>
  <r>
    <x v="2"/>
    <x v="45"/>
    <n v="1.0833333329999999"/>
    <n v="0.56999999999999995"/>
    <x v="1365"/>
    <n v="5.8"/>
    <n v="2.0699999999999998"/>
    <n v="7.87"/>
    <n v="73.7"/>
    <n v="13.77"/>
    <x v="79"/>
    <n v="12.999999996"/>
    <x v="4"/>
    <n v="0.13765353659466326"/>
  </r>
  <r>
    <x v="2"/>
    <x v="46"/>
    <n v="1.5"/>
    <n v="3.38"/>
    <x v="1366"/>
    <n v="6.46"/>
    <n v="1.27"/>
    <n v="7.73"/>
    <n v="83.57"/>
    <n v="19.399999999999999"/>
    <x v="79"/>
    <n v="18"/>
    <x v="4"/>
    <n v="0.19404915912031045"/>
  </r>
  <r>
    <x v="2"/>
    <x v="47"/>
    <n v="6.3733333329999997"/>
    <n v="3.21"/>
    <x v="1367"/>
    <n v="7.89"/>
    <n v="0.17"/>
    <n v="8.06"/>
    <n v="97.89"/>
    <n v="79.069999999999993"/>
    <x v="79"/>
    <n v="76.479999995999989"/>
    <x v="5"/>
    <n v="0.79073614553349869"/>
  </r>
  <r>
    <x v="2"/>
    <x v="48"/>
    <n v="0"/>
    <n v="0"/>
    <x v="0"/>
    <n v="0"/>
    <n v="0"/>
    <n v="0"/>
    <n v="0"/>
    <n v="0"/>
    <x v="79"/>
    <n v="0"/>
    <x v="6"/>
    <n v="0"/>
  </r>
  <r>
    <x v="2"/>
    <x v="50"/>
    <n v="3.1666666669999999"/>
    <n v="2.57"/>
    <x v="1368"/>
    <n v="7.15"/>
    <n v="0.59"/>
    <n v="7.74"/>
    <n v="92.38"/>
    <n v="40.909999999999997"/>
    <x v="79"/>
    <n v="38.000000004"/>
    <x v="4"/>
    <n v="0.40913006033591731"/>
  </r>
  <r>
    <x v="0"/>
    <x v="0"/>
    <n v="4.3266666669999996"/>
    <n v="7.26"/>
    <x v="1369"/>
    <n v="7.19"/>
    <n v="0.83"/>
    <n v="8.02"/>
    <n v="89.65"/>
    <n v="53.95"/>
    <x v="80"/>
    <n v="51.920000003999995"/>
    <x v="0"/>
    <n v="0.53948462182044887"/>
  </r>
  <r>
    <x v="0"/>
    <x v="4"/>
    <n v="0"/>
    <n v="0"/>
    <x v="0"/>
    <n v="10.37"/>
    <n v="0.2"/>
    <n v="10.57"/>
    <n v="98.11"/>
    <n v="0"/>
    <x v="80"/>
    <n v="0"/>
    <x v="0"/>
    <n v="0"/>
  </r>
  <r>
    <x v="0"/>
    <x v="6"/>
    <n v="3.5833333330000001"/>
    <n v="2"/>
    <x v="1370"/>
    <n v="10.39"/>
    <n v="0.2"/>
    <n v="10.59"/>
    <n v="98.11"/>
    <n v="33.840000000000003"/>
    <x v="80"/>
    <n v="42.999999996"/>
    <x v="0"/>
    <n v="0.33836953097261568"/>
  </r>
  <r>
    <x v="0"/>
    <x v="7"/>
    <n v="0.2"/>
    <n v="0.53"/>
    <x v="1371"/>
    <n v="7.16"/>
    <n v="0.89"/>
    <n v="8.0500000000000007"/>
    <n v="88.94"/>
    <n v="2.48"/>
    <x v="80"/>
    <n v="2.4"/>
    <x v="0"/>
    <n v="2.4844720496894408E-2"/>
  </r>
  <r>
    <x v="0"/>
    <x v="8"/>
    <n v="1.67"/>
    <n v="3.09"/>
    <x v="1372"/>
    <n v="10.84"/>
    <n v="0.38"/>
    <n v="11.22"/>
    <n v="96.61"/>
    <n v="14.88"/>
    <x v="80"/>
    <n v="20.04"/>
    <x v="0"/>
    <n v="0.14884135472370766"/>
  </r>
  <r>
    <x v="1"/>
    <x v="9"/>
    <n v="7.1666666670000003"/>
    <n v="4.53"/>
    <x v="1373"/>
    <n v="6.66"/>
    <n v="1.46"/>
    <n v="8.1199999999999992"/>
    <n v="82.02"/>
    <n v="88.26"/>
    <x v="80"/>
    <n v="86.000000004"/>
    <x v="1"/>
    <n v="0.88259441711822673"/>
  </r>
  <r>
    <x v="1"/>
    <x v="10"/>
    <n v="8"/>
    <n v="7.72"/>
    <x v="1374"/>
    <n v="4.55"/>
    <n v="3.55"/>
    <n v="8.1"/>
    <n v="56.17"/>
    <n v="98.77"/>
    <x v="80"/>
    <n v="96"/>
    <x v="1"/>
    <n v="0.98765432098765438"/>
  </r>
  <r>
    <x v="1"/>
    <x v="11"/>
    <n v="0.64"/>
    <n v="0.42"/>
    <x v="1375"/>
    <n v="7.47"/>
    <n v="0.64"/>
    <n v="8.11"/>
    <n v="92.11"/>
    <n v="7.89"/>
    <x v="80"/>
    <n v="7.68"/>
    <x v="1"/>
    <n v="7.8914919852034526E-2"/>
  </r>
  <r>
    <x v="1"/>
    <x v="12"/>
    <n v="7.1"/>
    <n v="7.94"/>
    <x v="1376"/>
    <n v="7.48"/>
    <n v="0.63"/>
    <n v="8.11"/>
    <n v="92.23"/>
    <n v="87.55"/>
    <x v="80"/>
    <n v="85.2"/>
    <x v="1"/>
    <n v="0.87546239210850807"/>
  </r>
  <r>
    <x v="1"/>
    <x v="13"/>
    <n v="8.5333333329999999"/>
    <n v="4.59"/>
    <x v="1377"/>
    <n v="7.47"/>
    <n v="0.66"/>
    <n v="8.1300000000000008"/>
    <n v="91.88"/>
    <n v="104.96"/>
    <x v="80"/>
    <n v="102.39999999599999"/>
    <x v="1"/>
    <n v="1.0496104960639605"/>
  </r>
  <r>
    <x v="2"/>
    <x v="15"/>
    <n v="2.75"/>
    <n v="4.8"/>
    <x v="1378"/>
    <n v="9.4499999999999993"/>
    <n v="0.56999999999999995"/>
    <n v="10.02"/>
    <n v="94.31"/>
    <n v="27.45"/>
    <x v="80"/>
    <n v="33"/>
    <x v="3"/>
    <n v="0.27445109780439125"/>
  </r>
  <r>
    <x v="2"/>
    <x v="16"/>
    <n v="0"/>
    <n v="0"/>
    <x v="0"/>
    <n v="0"/>
    <n v="0"/>
    <n v="0"/>
    <n v="0"/>
    <n v="0"/>
    <x v="80"/>
    <n v="0"/>
    <x v="4"/>
    <n v="0"/>
  </r>
  <r>
    <x v="2"/>
    <x v="17"/>
    <n v="0.75"/>
    <n v="0.93"/>
    <x v="1379"/>
    <n v="6.67"/>
    <n v="2.85"/>
    <n v="9.52"/>
    <n v="70.06"/>
    <n v="7.88"/>
    <x v="80"/>
    <n v="9"/>
    <x v="3"/>
    <n v="7.8781512605042014E-2"/>
  </r>
  <r>
    <x v="2"/>
    <x v="18"/>
    <n v="1"/>
    <n v="0.77"/>
    <x v="1094"/>
    <n v="7.13"/>
    <n v="1.82"/>
    <n v="8.9499999999999993"/>
    <n v="79.66"/>
    <n v="11.17"/>
    <x v="80"/>
    <n v="12"/>
    <x v="3"/>
    <n v="0.111731843575419"/>
  </r>
  <r>
    <x v="2"/>
    <x v="19"/>
    <n v="17.25"/>
    <n v="9.1199999999999992"/>
    <x v="1380"/>
    <n v="10.220000000000001"/>
    <n v="0.3"/>
    <n v="10.52"/>
    <n v="97.15"/>
    <n v="163.97"/>
    <x v="80"/>
    <n v="207"/>
    <x v="2"/>
    <n v="1.6397338403041826"/>
  </r>
  <r>
    <x v="2"/>
    <x v="21"/>
    <n v="8.6066666670000007"/>
    <n v="6.47"/>
    <x v="1381"/>
    <n v="7.52"/>
    <n v="0.76"/>
    <n v="8.2799999999999994"/>
    <n v="90.82"/>
    <n v="103.95"/>
    <x v="80"/>
    <n v="103.280000004"/>
    <x v="2"/>
    <n v="1.0394524960144929"/>
  </r>
  <r>
    <x v="2"/>
    <x v="22"/>
    <n v="2.9166666669999999"/>
    <n v="4.34"/>
    <x v="1382"/>
    <n v="8.75"/>
    <n v="0.84"/>
    <n v="9.59"/>
    <n v="91.24"/>
    <n v="30.41"/>
    <x v="80"/>
    <n v="35.000000004"/>
    <x v="4"/>
    <n v="0.30413625307612097"/>
  </r>
  <r>
    <x v="2"/>
    <x v="24"/>
    <n v="2.5833333330000001"/>
    <n v="1.1200000000000001"/>
    <x v="1383"/>
    <n v="9.42"/>
    <n v="0.12"/>
    <n v="9.5399999999999991"/>
    <n v="98.74"/>
    <n v="27.08"/>
    <x v="80"/>
    <n v="30.999999996000003"/>
    <x v="5"/>
    <n v="0.27078965754716983"/>
  </r>
  <r>
    <x v="2"/>
    <x v="25"/>
    <n v="6.8333333329999997"/>
    <n v="8.23"/>
    <x v="1384"/>
    <n v="9.58"/>
    <n v="0.36"/>
    <n v="9.94"/>
    <n v="96.38"/>
    <n v="68.75"/>
    <x v="80"/>
    <n v="81.999999996"/>
    <x v="2"/>
    <n v="0.68745808179074452"/>
  </r>
  <r>
    <x v="2"/>
    <x v="26"/>
    <n v="5.1666666670000003"/>
    <n v="6.27"/>
    <x v="1385"/>
    <n v="7.08"/>
    <n v="0.95"/>
    <n v="8.0299999999999994"/>
    <n v="88.17"/>
    <n v="64.34"/>
    <x v="80"/>
    <n v="62.000000004"/>
    <x v="3"/>
    <n v="0.64342050647571614"/>
  </r>
  <r>
    <x v="2"/>
    <x v="29"/>
    <n v="9.1666666669999994"/>
    <n v="3.12"/>
    <x v="1386"/>
    <n v="7.17"/>
    <n v="0.87"/>
    <n v="8.0399999999999991"/>
    <n v="89.18"/>
    <n v="114.01"/>
    <x v="80"/>
    <n v="110.000000004"/>
    <x v="5"/>
    <n v="1.1401326700248757"/>
  </r>
  <r>
    <x v="2"/>
    <x v="30"/>
    <n v="10.81666667"/>
    <n v="7.9"/>
    <x v="1387"/>
    <n v="5.91"/>
    <n v="2.09"/>
    <n v="8"/>
    <n v="73.88"/>
    <n v="135.21"/>
    <x v="80"/>
    <n v="129.80000004000001"/>
    <x v="5"/>
    <n v="1.35208333375"/>
  </r>
  <r>
    <x v="2"/>
    <x v="31"/>
    <n v="7.9166666670000003"/>
    <n v="6.55"/>
    <x v="1388"/>
    <n v="9.5500000000000007"/>
    <n v="1.0900000000000001"/>
    <n v="10.64"/>
    <n v="89.76"/>
    <n v="74.400000000000006"/>
    <x v="80"/>
    <n v="95.000000004"/>
    <x v="2"/>
    <n v="0.74404761907894734"/>
  </r>
  <r>
    <x v="2"/>
    <x v="32"/>
    <n v="1.6666666670000001"/>
    <n v="2.8"/>
    <x v="1389"/>
    <n v="6.67"/>
    <n v="2.84"/>
    <n v="9.51"/>
    <n v="70.14"/>
    <n v="17.53"/>
    <x v="80"/>
    <n v="20.000000004"/>
    <x v="3"/>
    <n v="0.17525411850683492"/>
  </r>
  <r>
    <x v="2"/>
    <x v="33"/>
    <n v="3.24"/>
    <n v="6.02"/>
    <x v="1390"/>
    <n v="7.11"/>
    <n v="0.99"/>
    <n v="8.1"/>
    <n v="87.78"/>
    <n v="40"/>
    <x v="80"/>
    <n v="38.880000000000003"/>
    <x v="3"/>
    <n v="0.4"/>
  </r>
  <r>
    <x v="2"/>
    <x v="34"/>
    <n v="1.596666667"/>
    <n v="2.38"/>
    <x v="1391"/>
    <n v="7.16"/>
    <n v="0.78"/>
    <n v="7.94"/>
    <n v="90.18"/>
    <n v="20.11"/>
    <x v="80"/>
    <n v="19.160000004"/>
    <x v="4"/>
    <n v="0.20109151977329975"/>
  </r>
  <r>
    <x v="2"/>
    <x v="36"/>
    <n v="3.4866666670000002"/>
    <n v="3.65"/>
    <x v="1392"/>
    <n v="7.15"/>
    <n v="0.77"/>
    <n v="7.92"/>
    <n v="90.28"/>
    <n v="44.02"/>
    <x v="80"/>
    <n v="41.840000004000004"/>
    <x v="4"/>
    <n v="0.44023569027777781"/>
  </r>
  <r>
    <x v="2"/>
    <x v="37"/>
    <n v="2.75"/>
    <n v="3.97"/>
    <x v="1393"/>
    <n v="5.13"/>
    <n v="2.76"/>
    <n v="7.89"/>
    <n v="65.02"/>
    <n v="34.85"/>
    <x v="80"/>
    <n v="33"/>
    <x v="4"/>
    <n v="0.3485424588086185"/>
  </r>
  <r>
    <x v="2"/>
    <x v="39"/>
    <n v="6.3333333329999997"/>
    <n v="4.96"/>
    <x v="1394"/>
    <n v="7.28"/>
    <n v="1.87"/>
    <n v="9.15"/>
    <n v="79.56"/>
    <n v="69.22"/>
    <x v="80"/>
    <n v="75.999999996"/>
    <x v="2"/>
    <n v="0.69216757737704915"/>
  </r>
  <r>
    <x v="2"/>
    <x v="40"/>
    <n v="1.72"/>
    <n v="4.7300000000000004"/>
    <x v="1395"/>
    <n v="7.11"/>
    <n v="0.98"/>
    <n v="8.09"/>
    <n v="87.89"/>
    <n v="21.26"/>
    <x v="80"/>
    <n v="20.64"/>
    <x v="3"/>
    <n v="0.21260815822002471"/>
  </r>
  <r>
    <x v="2"/>
    <x v="42"/>
    <n v="24"/>
    <n v="7.45"/>
    <x v="1396"/>
    <n v="6.38"/>
    <n v="4.24"/>
    <n v="10.62"/>
    <n v="60.08"/>
    <n v="225.99"/>
    <x v="80"/>
    <n v="288"/>
    <x v="2"/>
    <n v="2.2598870056497176"/>
  </r>
  <r>
    <x v="2"/>
    <x v="43"/>
    <n v="3.75"/>
    <n v="4.22"/>
    <x v="1397"/>
    <n v="7.72"/>
    <n v="0.45"/>
    <n v="8.17"/>
    <n v="94.49"/>
    <n v="45.9"/>
    <x v="80"/>
    <n v="45"/>
    <x v="3"/>
    <n v="0.45899632802937579"/>
  </r>
  <r>
    <x v="2"/>
    <x v="44"/>
    <n v="4.6666666670000003"/>
    <n v="7.41"/>
    <x v="1398"/>
    <n v="4.54"/>
    <n v="3.49"/>
    <n v="8.0299999999999994"/>
    <n v="56.54"/>
    <n v="58.12"/>
    <x v="80"/>
    <n v="56.000000004"/>
    <x v="3"/>
    <n v="0.5811540058530511"/>
  </r>
  <r>
    <x v="2"/>
    <x v="48"/>
    <n v="0"/>
    <n v="0"/>
    <x v="0"/>
    <n v="0"/>
    <n v="0"/>
    <n v="0"/>
    <n v="0"/>
    <n v="0"/>
    <x v="80"/>
    <n v="0"/>
    <x v="6"/>
    <n v="0"/>
  </r>
  <r>
    <x v="2"/>
    <x v="49"/>
    <n v="0"/>
    <n v="0"/>
    <x v="0"/>
    <n v="0"/>
    <n v="0"/>
    <n v="0"/>
    <n v="0"/>
    <n v="0"/>
    <x v="80"/>
    <n v="0"/>
    <x v="3"/>
    <n v="0"/>
  </r>
  <r>
    <x v="0"/>
    <x v="0"/>
    <n v="3.16"/>
    <n v="6.86"/>
    <x v="1399"/>
    <n v="3.75"/>
    <n v="4.3"/>
    <n v="8.0500000000000007"/>
    <n v="46.58"/>
    <n v="39.25"/>
    <x v="81"/>
    <n v="37.92"/>
    <x v="0"/>
    <n v="0.39254658385093166"/>
  </r>
  <r>
    <x v="0"/>
    <x v="4"/>
    <n v="0"/>
    <n v="0"/>
    <x v="0"/>
    <n v="6.72"/>
    <n v="1.29"/>
    <n v="8.01"/>
    <n v="83.9"/>
    <n v="0"/>
    <x v="81"/>
    <n v="0"/>
    <x v="0"/>
    <n v="0"/>
  </r>
  <r>
    <x v="0"/>
    <x v="6"/>
    <n v="1.56"/>
    <n v="3.92"/>
    <x v="1400"/>
    <n v="6.69"/>
    <n v="1.32"/>
    <n v="8.01"/>
    <n v="83.52"/>
    <n v="19.48"/>
    <x v="81"/>
    <n v="18.720000000000002"/>
    <x v="0"/>
    <n v="0.19475655430711611"/>
  </r>
  <r>
    <x v="1"/>
    <x v="9"/>
    <n v="13.33333333"/>
    <n v="3.49"/>
    <x v="1401"/>
    <n v="3.75"/>
    <n v="4.29"/>
    <n v="8.0399999999999991"/>
    <n v="46.64"/>
    <n v="165.84"/>
    <x v="81"/>
    <n v="159.99999996000003"/>
    <x v="1"/>
    <n v="1.6583747922885574"/>
  </r>
  <r>
    <x v="1"/>
    <x v="12"/>
    <n v="3.253333333"/>
    <n v="3.36"/>
    <x v="1402"/>
    <n v="7.35"/>
    <n v="0.68"/>
    <n v="8.0299999999999994"/>
    <n v="91.53"/>
    <n v="40.51"/>
    <x v="81"/>
    <n v="39.039999995999999"/>
    <x v="1"/>
    <n v="0.40514736400996265"/>
  </r>
  <r>
    <x v="2"/>
    <x v="17"/>
    <n v="0.93"/>
    <n v="2.2200000000000002"/>
    <x v="1403"/>
    <n v="8.1300000000000008"/>
    <n v="1.96"/>
    <n v="10.09"/>
    <n v="80.569999999999993"/>
    <n v="9.2200000000000006"/>
    <x v="81"/>
    <n v="11.16"/>
    <x v="3"/>
    <n v="9.2170465807730431E-2"/>
  </r>
  <r>
    <x v="2"/>
    <x v="19"/>
    <n v="12.91666667"/>
    <n v="6.6"/>
    <x v="1404"/>
    <n v="7.28"/>
    <n v="0.72"/>
    <n v="8"/>
    <n v="91"/>
    <n v="161.46"/>
    <x v="81"/>
    <n v="155.00000003999997"/>
    <x v="2"/>
    <n v="1.61458333375"/>
  </r>
  <r>
    <x v="2"/>
    <x v="39"/>
    <n v="10.66666667"/>
    <n v="6.82"/>
    <x v="1405"/>
    <n v="7.32"/>
    <n v="0.67"/>
    <n v="7.99"/>
    <n v="91.61"/>
    <n v="133.5"/>
    <x v="81"/>
    <n v="128.00000003999997"/>
    <x v="2"/>
    <n v="1.3350020863579473"/>
  </r>
  <r>
    <x v="2"/>
    <x v="41"/>
    <n v="4.8333333329999997"/>
    <n v="2.4500000000000002"/>
    <x v="1406"/>
    <n v="5.57"/>
    <n v="2.58"/>
    <n v="8.15"/>
    <n v="68.34"/>
    <n v="59.3"/>
    <x v="81"/>
    <n v="57.999999996"/>
    <x v="5"/>
    <n v="0.59304703472392628"/>
  </r>
  <r>
    <x v="2"/>
    <x v="42"/>
    <n v="14.5"/>
    <n v="7.34"/>
    <x v="1407"/>
    <n v="7.39"/>
    <n v="0.52"/>
    <n v="7.91"/>
    <n v="93.43"/>
    <n v="183.31"/>
    <x v="81"/>
    <n v="174"/>
    <x v="2"/>
    <n v="1.8331226295828065"/>
  </r>
  <r>
    <x v="2"/>
    <x v="48"/>
    <n v="0"/>
    <n v="0"/>
    <x v="0"/>
    <n v="0"/>
    <n v="0"/>
    <n v="0"/>
    <n v="0"/>
    <n v="0"/>
    <x v="81"/>
    <n v="0"/>
    <x v="6"/>
    <n v="0"/>
  </r>
  <r>
    <x v="2"/>
    <x v="49"/>
    <n v="2.4166666669999999"/>
    <n v="4.4400000000000004"/>
    <x v="1408"/>
    <n v="6.53"/>
    <n v="1.56"/>
    <n v="8.09"/>
    <n v="80.72"/>
    <n v="29.87"/>
    <x v="81"/>
    <n v="29.000000003999997"/>
    <x v="3"/>
    <n v="0.29872270296662545"/>
  </r>
  <r>
    <x v="0"/>
    <x v="1"/>
    <n v="0"/>
    <n v="0"/>
    <x v="0"/>
    <n v="0"/>
    <n v="0"/>
    <n v="0"/>
    <n v="0"/>
    <n v="0"/>
    <x v="82"/>
    <n v="0"/>
    <x v="0"/>
    <n v="0"/>
  </r>
  <r>
    <x v="0"/>
    <x v="2"/>
    <n v="0"/>
    <n v="0"/>
    <x v="0"/>
    <n v="0"/>
    <n v="0"/>
    <n v="0"/>
    <n v="0"/>
    <n v="0"/>
    <x v="82"/>
    <n v="0"/>
    <x v="0"/>
    <n v="0"/>
  </r>
  <r>
    <x v="0"/>
    <x v="3"/>
    <n v="0"/>
    <n v="0"/>
    <x v="0"/>
    <n v="0"/>
    <n v="0"/>
    <n v="0"/>
    <n v="0"/>
    <n v="0"/>
    <x v="82"/>
    <n v="0"/>
    <x v="0"/>
    <n v="0"/>
  </r>
  <r>
    <x v="0"/>
    <x v="4"/>
    <n v="2.12"/>
    <n v="4.7"/>
    <x v="1409"/>
    <n v="5.58"/>
    <n v="2.36"/>
    <n v="7.94"/>
    <n v="70.28"/>
    <n v="26.7"/>
    <x v="82"/>
    <n v="25.44"/>
    <x v="0"/>
    <n v="0.26700251889168763"/>
  </r>
  <r>
    <x v="0"/>
    <x v="5"/>
    <n v="0"/>
    <n v="0"/>
    <x v="0"/>
    <n v="5.56"/>
    <n v="2.38"/>
    <n v="7.94"/>
    <n v="70.03"/>
    <n v="0"/>
    <x v="82"/>
    <n v="0"/>
    <x v="0"/>
    <n v="0"/>
  </r>
  <r>
    <x v="0"/>
    <x v="6"/>
    <n v="2.2966666670000002"/>
    <n v="4.92"/>
    <x v="1410"/>
    <n v="5.58"/>
    <n v="2.36"/>
    <n v="7.94"/>
    <n v="70.28"/>
    <n v="28.93"/>
    <x v="82"/>
    <n v="27.560000004000006"/>
    <x v="0"/>
    <n v="0.28925272884130981"/>
  </r>
  <r>
    <x v="0"/>
    <x v="7"/>
    <n v="0"/>
    <n v="0"/>
    <x v="0"/>
    <n v="0"/>
    <n v="0"/>
    <n v="0"/>
    <n v="0"/>
    <n v="0"/>
    <x v="82"/>
    <n v="0"/>
    <x v="0"/>
    <n v="0"/>
  </r>
  <r>
    <x v="1"/>
    <x v="11"/>
    <n v="0"/>
    <n v="0"/>
    <x v="0"/>
    <n v="0"/>
    <n v="0"/>
    <n v="0"/>
    <n v="0"/>
    <n v="0"/>
    <x v="82"/>
    <n v="0"/>
    <x v="1"/>
    <n v="0"/>
  </r>
  <r>
    <x v="1"/>
    <x v="12"/>
    <n v="0"/>
    <n v="0"/>
    <x v="0"/>
    <n v="0"/>
    <n v="0"/>
    <n v="0"/>
    <n v="0"/>
    <n v="0"/>
    <x v="82"/>
    <n v="0"/>
    <x v="1"/>
    <n v="0"/>
  </r>
  <r>
    <x v="1"/>
    <x v="13"/>
    <n v="0"/>
    <n v="0"/>
    <x v="0"/>
    <n v="0"/>
    <n v="0"/>
    <n v="0"/>
    <n v="0"/>
    <n v="0"/>
    <x v="82"/>
    <n v="0"/>
    <x v="1"/>
    <n v="0"/>
  </r>
  <r>
    <x v="2"/>
    <x v="14"/>
    <n v="7.11"/>
    <n v="6.37"/>
    <x v="1411"/>
    <n v="5.77"/>
    <n v="2.23"/>
    <n v="8"/>
    <n v="72.13"/>
    <n v="88.88"/>
    <x v="82"/>
    <n v="85.320000000000007"/>
    <x v="2"/>
    <n v="0.88875000000000004"/>
  </r>
  <r>
    <x v="2"/>
    <x v="15"/>
    <n v="0.95"/>
    <n v="1.65"/>
    <x v="1412"/>
    <n v="5.95"/>
    <n v="2.02"/>
    <n v="7.97"/>
    <n v="74.650000000000006"/>
    <n v="11.92"/>
    <x v="82"/>
    <n v="11.4"/>
    <x v="3"/>
    <n v="0.1191969887076537"/>
  </r>
  <r>
    <x v="2"/>
    <x v="16"/>
    <n v="7.25"/>
    <n v="5.31"/>
    <x v="1413"/>
    <n v="5.45"/>
    <n v="2.5099999999999998"/>
    <n v="7.96"/>
    <n v="68.47"/>
    <n v="91.08"/>
    <x v="82"/>
    <n v="87"/>
    <x v="4"/>
    <n v="0.91080402010050254"/>
  </r>
  <r>
    <x v="2"/>
    <x v="17"/>
    <n v="0"/>
    <n v="0"/>
    <x v="0"/>
    <n v="6.08"/>
    <n v="1.89"/>
    <n v="7.97"/>
    <n v="76.290000000000006"/>
    <n v="0"/>
    <x v="82"/>
    <n v="0"/>
    <x v="3"/>
    <n v="0"/>
  </r>
  <r>
    <x v="2"/>
    <x v="18"/>
    <n v="0"/>
    <n v="0"/>
    <x v="0"/>
    <n v="0"/>
    <n v="0"/>
    <n v="0"/>
    <n v="0"/>
    <n v="0"/>
    <x v="82"/>
    <n v="0"/>
    <x v="3"/>
    <n v="0"/>
  </r>
  <r>
    <x v="2"/>
    <x v="20"/>
    <n v="5.5"/>
    <n v="2.13"/>
    <x v="1414"/>
    <n v="5.86"/>
    <n v="2.15"/>
    <n v="8.01"/>
    <n v="73.16"/>
    <n v="68.66"/>
    <x v="82"/>
    <n v="66"/>
    <x v="5"/>
    <n v="0.68664169787765295"/>
  </r>
  <r>
    <x v="2"/>
    <x v="21"/>
    <n v="7.31"/>
    <n v="6.43"/>
    <x v="1415"/>
    <n v="6.15"/>
    <n v="1.89"/>
    <n v="8.0399999999999991"/>
    <n v="76.489999999999995"/>
    <n v="90.92"/>
    <x v="82"/>
    <n v="87.72"/>
    <x v="2"/>
    <n v="0.90920398009950254"/>
  </r>
  <r>
    <x v="2"/>
    <x v="22"/>
    <n v="0"/>
    <n v="0"/>
    <x v="0"/>
    <n v="0"/>
    <n v="0"/>
    <n v="0"/>
    <n v="0"/>
    <n v="0"/>
    <x v="82"/>
    <n v="0"/>
    <x v="4"/>
    <n v="0"/>
  </r>
  <r>
    <x v="2"/>
    <x v="23"/>
    <n v="4.0066666670000002"/>
    <n v="3.47"/>
    <x v="1416"/>
    <n v="4.92"/>
    <n v="3.03"/>
    <n v="7.95"/>
    <n v="61.89"/>
    <n v="50.4"/>
    <x v="82"/>
    <n v="48.080000004000006"/>
    <x v="3"/>
    <n v="0.50398322855345912"/>
  </r>
  <r>
    <x v="2"/>
    <x v="25"/>
    <n v="0"/>
    <n v="0"/>
    <x v="0"/>
    <n v="0"/>
    <n v="0"/>
    <n v="0"/>
    <n v="0"/>
    <n v="0"/>
    <x v="82"/>
    <n v="0"/>
    <x v="2"/>
    <n v="0"/>
  </r>
  <r>
    <x v="2"/>
    <x v="26"/>
    <n v="0"/>
    <n v="0"/>
    <x v="0"/>
    <n v="0"/>
    <n v="0"/>
    <n v="0"/>
    <n v="0"/>
    <n v="0"/>
    <x v="82"/>
    <n v="0"/>
    <x v="3"/>
    <n v="0"/>
  </r>
  <r>
    <x v="2"/>
    <x v="30"/>
    <n v="0"/>
    <n v="0"/>
    <x v="0"/>
    <n v="0"/>
    <n v="0"/>
    <n v="0"/>
    <n v="0"/>
    <n v="0"/>
    <x v="82"/>
    <n v="0"/>
    <x v="5"/>
    <n v="0"/>
  </r>
  <r>
    <x v="2"/>
    <x v="32"/>
    <n v="0"/>
    <n v="0"/>
    <x v="0"/>
    <n v="6.06"/>
    <n v="1.92"/>
    <n v="7.98"/>
    <n v="75.94"/>
    <n v="0"/>
    <x v="82"/>
    <n v="0"/>
    <x v="3"/>
    <n v="0"/>
  </r>
  <r>
    <x v="2"/>
    <x v="33"/>
    <n v="8.5833333330000006"/>
    <n v="5.2"/>
    <x v="1417"/>
    <n v="5.2"/>
    <n v="2.77"/>
    <n v="7.97"/>
    <n v="65.239999999999995"/>
    <n v="107.7"/>
    <x v="82"/>
    <n v="102.999999996"/>
    <x v="3"/>
    <n v="1.0769552488080303"/>
  </r>
  <r>
    <x v="2"/>
    <x v="34"/>
    <n v="2.0466666670000002"/>
    <n v="3.86"/>
    <x v="1418"/>
    <n v="5.62"/>
    <n v="2.31"/>
    <n v="7.93"/>
    <n v="70.87"/>
    <n v="25.81"/>
    <x v="82"/>
    <n v="24.560000004000003"/>
    <x v="4"/>
    <n v="0.25809163518285"/>
  </r>
  <r>
    <x v="2"/>
    <x v="35"/>
    <n v="7.88"/>
    <n v="6.61"/>
    <x v="1419"/>
    <n v="6.01"/>
    <n v="1.97"/>
    <n v="7.98"/>
    <n v="75.31"/>
    <n v="98.75"/>
    <x v="82"/>
    <n v="94.56"/>
    <x v="2"/>
    <n v="0.98746867167919794"/>
  </r>
  <r>
    <x v="2"/>
    <x v="36"/>
    <n v="1.5"/>
    <n v="0.68"/>
    <x v="1420"/>
    <n v="7.07"/>
    <n v="0.89"/>
    <n v="7.96"/>
    <n v="88.82"/>
    <n v="18.84"/>
    <x v="82"/>
    <n v="18"/>
    <x v="4"/>
    <n v="0.18844221105527639"/>
  </r>
  <r>
    <x v="2"/>
    <x v="37"/>
    <n v="5.3"/>
    <n v="3.68"/>
    <x v="1421"/>
    <n v="6.32"/>
    <n v="1.65"/>
    <n v="7.97"/>
    <n v="79.3"/>
    <n v="66.5"/>
    <x v="82"/>
    <n v="63.6"/>
    <x v="4"/>
    <n v="0.66499372647427857"/>
  </r>
  <r>
    <x v="2"/>
    <x v="38"/>
    <n v="9.19"/>
    <n v="6.8"/>
    <x v="1422"/>
    <n v="6.06"/>
    <n v="1.89"/>
    <n v="7.95"/>
    <n v="76.23"/>
    <n v="115.6"/>
    <x v="82"/>
    <n v="110.28"/>
    <x v="2"/>
    <n v="1.1559748427672956"/>
  </r>
  <r>
    <x v="2"/>
    <x v="39"/>
    <n v="0"/>
    <n v="0"/>
    <x v="0"/>
    <n v="0"/>
    <n v="0"/>
    <n v="0"/>
    <n v="0"/>
    <n v="0"/>
    <x v="82"/>
    <n v="0"/>
    <x v="2"/>
    <n v="0"/>
  </r>
  <r>
    <x v="2"/>
    <x v="40"/>
    <n v="0"/>
    <n v="0"/>
    <x v="0"/>
    <n v="0"/>
    <n v="0"/>
    <n v="0"/>
    <n v="0"/>
    <n v="0"/>
    <x v="82"/>
    <n v="0"/>
    <x v="3"/>
    <n v="0"/>
  </r>
  <r>
    <x v="2"/>
    <x v="41"/>
    <n v="1.6966666669999999"/>
    <n v="2.14"/>
    <x v="1423"/>
    <n v="6.05"/>
    <n v="1.92"/>
    <n v="7.97"/>
    <n v="75.91"/>
    <n v="21.29"/>
    <x v="82"/>
    <n v="20.360000004"/>
    <x v="5"/>
    <n v="0.21288163952321204"/>
  </r>
  <r>
    <x v="2"/>
    <x v="44"/>
    <n v="0"/>
    <n v="0"/>
    <x v="0"/>
    <n v="0"/>
    <n v="0"/>
    <n v="0"/>
    <n v="0"/>
    <n v="0"/>
    <x v="82"/>
    <n v="0"/>
    <x v="3"/>
    <n v="0"/>
  </r>
  <r>
    <x v="2"/>
    <x v="45"/>
    <n v="5.2633333330000003"/>
    <n v="3.21"/>
    <x v="1424"/>
    <n v="3.74"/>
    <n v="4.2300000000000004"/>
    <n v="7.97"/>
    <n v="46.93"/>
    <n v="66.040000000000006"/>
    <x v="82"/>
    <n v="63.159999995999996"/>
    <x v="4"/>
    <n v="0.66039314090338774"/>
  </r>
  <r>
    <x v="2"/>
    <x v="46"/>
    <n v="0"/>
    <n v="0"/>
    <x v="0"/>
    <n v="0"/>
    <n v="0"/>
    <n v="0"/>
    <n v="0"/>
    <n v="0"/>
    <x v="82"/>
    <n v="0"/>
    <x v="4"/>
    <n v="0"/>
  </r>
  <r>
    <x v="2"/>
    <x v="48"/>
    <n v="0"/>
    <n v="0"/>
    <x v="0"/>
    <n v="0"/>
    <n v="0"/>
    <n v="0"/>
    <n v="0"/>
    <n v="0"/>
    <x v="82"/>
    <n v="0"/>
    <x v="6"/>
    <n v="0"/>
  </r>
  <r>
    <x v="2"/>
    <x v="49"/>
    <n v="0"/>
    <n v="0"/>
    <x v="0"/>
    <n v="0"/>
    <n v="0"/>
    <n v="0"/>
    <n v="0"/>
    <n v="0"/>
    <x v="82"/>
    <n v="0"/>
    <x v="3"/>
    <n v="0"/>
  </r>
  <r>
    <x v="0"/>
    <x v="0"/>
    <n v="0"/>
    <n v="0"/>
    <x v="0"/>
    <n v="0"/>
    <n v="0"/>
    <n v="0"/>
    <n v="0"/>
    <n v="0"/>
    <x v="83"/>
    <n v="0"/>
    <x v="0"/>
    <n v="0"/>
  </r>
  <r>
    <x v="0"/>
    <x v="1"/>
    <n v="0"/>
    <n v="0"/>
    <x v="0"/>
    <n v="0"/>
    <n v="0"/>
    <n v="0"/>
    <n v="0"/>
    <n v="0"/>
    <x v="83"/>
    <n v="0"/>
    <x v="0"/>
    <n v="0"/>
  </r>
  <r>
    <x v="0"/>
    <x v="2"/>
    <n v="0"/>
    <n v="0"/>
    <x v="0"/>
    <n v="0"/>
    <n v="0"/>
    <n v="0"/>
    <n v="0"/>
    <n v="0"/>
    <x v="83"/>
    <n v="0"/>
    <x v="0"/>
    <n v="0"/>
  </r>
  <r>
    <x v="0"/>
    <x v="3"/>
    <n v="0"/>
    <n v="0"/>
    <x v="0"/>
    <n v="0"/>
    <n v="0"/>
    <n v="0"/>
    <n v="0"/>
    <n v="0"/>
    <x v="83"/>
    <n v="0"/>
    <x v="0"/>
    <n v="0"/>
  </r>
  <r>
    <x v="0"/>
    <x v="4"/>
    <n v="0"/>
    <n v="0"/>
    <x v="0"/>
    <n v="0"/>
    <n v="0"/>
    <n v="0"/>
    <n v="0"/>
    <n v="0"/>
    <x v="83"/>
    <n v="0"/>
    <x v="0"/>
    <n v="0"/>
  </r>
  <r>
    <x v="0"/>
    <x v="5"/>
    <n v="0"/>
    <n v="0"/>
    <x v="0"/>
    <n v="0"/>
    <n v="0"/>
    <n v="0"/>
    <n v="0"/>
    <n v="0"/>
    <x v="83"/>
    <n v="0"/>
    <x v="0"/>
    <n v="0"/>
  </r>
  <r>
    <x v="0"/>
    <x v="6"/>
    <n v="0"/>
    <n v="0"/>
    <x v="0"/>
    <n v="0"/>
    <n v="0"/>
    <n v="0"/>
    <n v="0"/>
    <n v="0"/>
    <x v="83"/>
    <n v="0"/>
    <x v="0"/>
    <n v="0"/>
  </r>
  <r>
    <x v="0"/>
    <x v="7"/>
    <n v="0"/>
    <n v="0"/>
    <x v="0"/>
    <n v="0"/>
    <n v="0"/>
    <n v="0"/>
    <n v="0"/>
    <n v="0"/>
    <x v="83"/>
    <n v="0"/>
    <x v="0"/>
    <n v="0"/>
  </r>
  <r>
    <x v="0"/>
    <x v="8"/>
    <n v="0"/>
    <n v="0"/>
    <x v="0"/>
    <n v="0"/>
    <n v="0"/>
    <n v="0"/>
    <n v="0"/>
    <n v="0"/>
    <x v="83"/>
    <n v="0"/>
    <x v="0"/>
    <n v="0"/>
  </r>
  <r>
    <x v="1"/>
    <x v="9"/>
    <n v="0"/>
    <n v="0"/>
    <x v="0"/>
    <n v="0"/>
    <n v="0"/>
    <n v="0"/>
    <n v="0"/>
    <n v="0"/>
    <x v="83"/>
    <n v="0"/>
    <x v="1"/>
    <n v="0"/>
  </r>
  <r>
    <x v="1"/>
    <x v="10"/>
    <n v="0"/>
    <n v="0"/>
    <x v="0"/>
    <n v="0"/>
    <n v="0"/>
    <n v="0"/>
    <n v="0"/>
    <n v="0"/>
    <x v="83"/>
    <n v="0"/>
    <x v="1"/>
    <n v="0"/>
  </r>
  <r>
    <x v="1"/>
    <x v="11"/>
    <n v="0"/>
    <n v="0"/>
    <x v="0"/>
    <n v="0"/>
    <n v="0"/>
    <n v="0"/>
    <n v="0"/>
    <n v="0"/>
    <x v="83"/>
    <n v="0"/>
    <x v="1"/>
    <n v="0"/>
  </r>
  <r>
    <x v="1"/>
    <x v="12"/>
    <n v="0"/>
    <n v="0"/>
    <x v="0"/>
    <n v="0"/>
    <n v="0"/>
    <n v="0"/>
    <n v="0"/>
    <n v="0"/>
    <x v="83"/>
    <n v="0"/>
    <x v="1"/>
    <n v="0"/>
  </r>
  <r>
    <x v="1"/>
    <x v="13"/>
    <n v="0"/>
    <n v="0"/>
    <x v="0"/>
    <n v="0"/>
    <n v="0"/>
    <n v="0"/>
    <n v="0"/>
    <n v="0"/>
    <x v="83"/>
    <n v="0"/>
    <x v="1"/>
    <n v="0"/>
  </r>
  <r>
    <x v="2"/>
    <x v="14"/>
    <n v="0"/>
    <n v="0"/>
    <x v="0"/>
    <n v="0"/>
    <n v="0"/>
    <n v="0"/>
    <n v="0"/>
    <n v="0"/>
    <x v="83"/>
    <n v="0"/>
    <x v="2"/>
    <n v="0"/>
  </r>
  <r>
    <x v="2"/>
    <x v="15"/>
    <n v="0"/>
    <n v="0"/>
    <x v="0"/>
    <n v="0"/>
    <n v="0"/>
    <n v="0"/>
    <n v="0"/>
    <n v="0"/>
    <x v="83"/>
    <n v="0"/>
    <x v="3"/>
    <n v="0"/>
  </r>
  <r>
    <x v="2"/>
    <x v="16"/>
    <n v="0"/>
    <n v="0"/>
    <x v="0"/>
    <n v="0"/>
    <n v="0"/>
    <n v="0"/>
    <n v="0"/>
    <n v="0"/>
    <x v="83"/>
    <n v="0"/>
    <x v="4"/>
    <n v="0"/>
  </r>
  <r>
    <x v="2"/>
    <x v="17"/>
    <n v="0"/>
    <n v="0"/>
    <x v="0"/>
    <n v="0"/>
    <n v="0"/>
    <n v="0"/>
    <n v="0"/>
    <n v="0"/>
    <x v="83"/>
    <n v="0"/>
    <x v="3"/>
    <n v="0"/>
  </r>
  <r>
    <x v="2"/>
    <x v="18"/>
    <n v="0"/>
    <n v="0"/>
    <x v="0"/>
    <n v="0"/>
    <n v="0"/>
    <n v="0"/>
    <n v="0"/>
    <n v="0"/>
    <x v="83"/>
    <n v="0"/>
    <x v="3"/>
    <n v="0"/>
  </r>
  <r>
    <x v="2"/>
    <x v="19"/>
    <n v="0"/>
    <n v="0"/>
    <x v="0"/>
    <n v="0"/>
    <n v="0"/>
    <n v="0"/>
    <n v="0"/>
    <n v="0"/>
    <x v="83"/>
    <n v="0"/>
    <x v="2"/>
    <n v="0"/>
  </r>
  <r>
    <x v="2"/>
    <x v="20"/>
    <n v="0"/>
    <n v="0"/>
    <x v="0"/>
    <n v="0"/>
    <n v="0"/>
    <n v="0"/>
    <n v="0"/>
    <n v="0"/>
    <x v="83"/>
    <n v="0"/>
    <x v="5"/>
    <n v="0"/>
  </r>
  <r>
    <x v="2"/>
    <x v="21"/>
    <n v="0"/>
    <n v="0"/>
    <x v="0"/>
    <n v="0"/>
    <n v="0"/>
    <n v="0"/>
    <n v="0"/>
    <n v="0"/>
    <x v="83"/>
    <n v="0"/>
    <x v="2"/>
    <n v="0"/>
  </r>
  <r>
    <x v="2"/>
    <x v="22"/>
    <n v="0"/>
    <n v="0"/>
    <x v="0"/>
    <n v="0"/>
    <n v="0"/>
    <n v="0"/>
    <n v="0"/>
    <n v="0"/>
    <x v="83"/>
    <n v="0"/>
    <x v="4"/>
    <n v="0"/>
  </r>
  <r>
    <x v="2"/>
    <x v="23"/>
    <n v="0"/>
    <n v="0"/>
    <x v="0"/>
    <n v="0"/>
    <n v="0"/>
    <n v="0"/>
    <n v="0"/>
    <n v="0"/>
    <x v="83"/>
    <n v="0"/>
    <x v="3"/>
    <n v="0"/>
  </r>
  <r>
    <x v="2"/>
    <x v="24"/>
    <n v="0"/>
    <n v="0"/>
    <x v="0"/>
    <n v="0"/>
    <n v="0"/>
    <n v="0"/>
    <n v="0"/>
    <n v="0"/>
    <x v="83"/>
    <n v="0"/>
    <x v="5"/>
    <n v="0"/>
  </r>
  <r>
    <x v="2"/>
    <x v="25"/>
    <n v="0"/>
    <n v="0"/>
    <x v="0"/>
    <n v="0"/>
    <n v="0"/>
    <n v="0"/>
    <n v="0"/>
    <n v="0"/>
    <x v="83"/>
    <n v="0"/>
    <x v="2"/>
    <n v="0"/>
  </r>
  <r>
    <x v="2"/>
    <x v="26"/>
    <n v="0"/>
    <n v="0"/>
    <x v="0"/>
    <n v="0"/>
    <n v="0"/>
    <n v="0"/>
    <n v="0"/>
    <n v="0"/>
    <x v="83"/>
    <n v="0"/>
    <x v="3"/>
    <n v="0"/>
  </r>
  <r>
    <x v="2"/>
    <x v="27"/>
    <n v="0"/>
    <n v="0"/>
    <x v="0"/>
    <n v="0"/>
    <n v="0"/>
    <n v="0"/>
    <n v="0"/>
    <n v="0"/>
    <x v="83"/>
    <n v="0"/>
    <x v="5"/>
    <n v="0"/>
  </r>
  <r>
    <x v="2"/>
    <x v="29"/>
    <n v="0"/>
    <n v="0"/>
    <x v="0"/>
    <n v="0"/>
    <n v="0"/>
    <n v="0"/>
    <n v="0"/>
    <n v="0"/>
    <x v="83"/>
    <n v="0"/>
    <x v="5"/>
    <n v="0"/>
  </r>
  <r>
    <x v="2"/>
    <x v="30"/>
    <n v="0"/>
    <n v="0"/>
    <x v="0"/>
    <n v="0"/>
    <n v="0"/>
    <n v="0"/>
    <n v="0"/>
    <n v="0"/>
    <x v="83"/>
    <n v="0"/>
    <x v="5"/>
    <n v="0"/>
  </r>
  <r>
    <x v="2"/>
    <x v="31"/>
    <n v="0"/>
    <n v="0"/>
    <x v="0"/>
    <n v="0"/>
    <n v="0"/>
    <n v="0"/>
    <n v="0"/>
    <n v="0"/>
    <x v="83"/>
    <n v="0"/>
    <x v="2"/>
    <n v="0"/>
  </r>
  <r>
    <x v="2"/>
    <x v="32"/>
    <n v="0"/>
    <n v="0"/>
    <x v="0"/>
    <n v="0"/>
    <n v="0"/>
    <n v="0"/>
    <n v="0"/>
    <n v="0"/>
    <x v="83"/>
    <n v="0"/>
    <x v="3"/>
    <n v="0"/>
  </r>
  <r>
    <x v="2"/>
    <x v="33"/>
    <n v="0"/>
    <n v="0"/>
    <x v="0"/>
    <n v="0"/>
    <n v="0"/>
    <n v="0"/>
    <n v="0"/>
    <n v="0"/>
    <x v="83"/>
    <n v="0"/>
    <x v="3"/>
    <n v="0"/>
  </r>
  <r>
    <x v="2"/>
    <x v="34"/>
    <n v="0"/>
    <n v="0"/>
    <x v="0"/>
    <n v="0"/>
    <n v="0"/>
    <n v="0"/>
    <n v="0"/>
    <n v="0"/>
    <x v="83"/>
    <n v="0"/>
    <x v="4"/>
    <n v="0"/>
  </r>
  <r>
    <x v="2"/>
    <x v="35"/>
    <n v="0"/>
    <n v="0"/>
    <x v="0"/>
    <n v="0"/>
    <n v="0"/>
    <n v="0"/>
    <n v="0"/>
    <n v="0"/>
    <x v="83"/>
    <n v="0"/>
    <x v="2"/>
    <n v="0"/>
  </r>
  <r>
    <x v="2"/>
    <x v="36"/>
    <n v="0"/>
    <n v="0"/>
    <x v="0"/>
    <n v="0"/>
    <n v="0"/>
    <n v="0"/>
    <n v="0"/>
    <n v="0"/>
    <x v="83"/>
    <n v="0"/>
    <x v="4"/>
    <n v="0"/>
  </r>
  <r>
    <x v="2"/>
    <x v="37"/>
    <n v="0"/>
    <n v="0"/>
    <x v="0"/>
    <n v="0"/>
    <n v="0"/>
    <n v="0"/>
    <n v="0"/>
    <n v="0"/>
    <x v="83"/>
    <n v="0"/>
    <x v="4"/>
    <n v="0"/>
  </r>
  <r>
    <x v="2"/>
    <x v="38"/>
    <n v="0"/>
    <n v="0"/>
    <x v="0"/>
    <n v="0"/>
    <n v="0"/>
    <n v="0"/>
    <n v="0"/>
    <n v="0"/>
    <x v="83"/>
    <n v="0"/>
    <x v="2"/>
    <n v="0"/>
  </r>
  <r>
    <x v="2"/>
    <x v="39"/>
    <n v="0"/>
    <n v="0"/>
    <x v="0"/>
    <n v="0"/>
    <n v="0"/>
    <n v="0"/>
    <n v="0"/>
    <n v="0"/>
    <x v="83"/>
    <n v="0"/>
    <x v="2"/>
    <n v="0"/>
  </r>
  <r>
    <x v="2"/>
    <x v="40"/>
    <n v="0"/>
    <n v="0"/>
    <x v="0"/>
    <n v="0"/>
    <n v="0"/>
    <n v="0"/>
    <n v="0"/>
    <n v="0"/>
    <x v="83"/>
    <n v="0"/>
    <x v="3"/>
    <n v="0"/>
  </r>
  <r>
    <x v="2"/>
    <x v="41"/>
    <n v="0"/>
    <n v="0"/>
    <x v="0"/>
    <n v="0"/>
    <n v="0"/>
    <n v="0"/>
    <n v="0"/>
    <n v="0"/>
    <x v="83"/>
    <n v="0"/>
    <x v="5"/>
    <n v="0"/>
  </r>
  <r>
    <x v="2"/>
    <x v="42"/>
    <n v="0"/>
    <n v="0"/>
    <x v="0"/>
    <n v="0"/>
    <n v="0"/>
    <n v="0"/>
    <n v="0"/>
    <n v="0"/>
    <x v="83"/>
    <n v="0"/>
    <x v="2"/>
    <n v="0"/>
  </r>
  <r>
    <x v="2"/>
    <x v="43"/>
    <n v="0"/>
    <n v="0"/>
    <x v="0"/>
    <n v="0"/>
    <n v="0"/>
    <n v="0"/>
    <n v="0"/>
    <n v="0"/>
    <x v="83"/>
    <n v="0"/>
    <x v="3"/>
    <n v="0"/>
  </r>
  <r>
    <x v="2"/>
    <x v="44"/>
    <n v="0"/>
    <n v="0"/>
    <x v="0"/>
    <n v="0"/>
    <n v="0"/>
    <n v="0"/>
    <n v="0"/>
    <n v="0"/>
    <x v="83"/>
    <n v="0"/>
    <x v="3"/>
    <n v="0"/>
  </r>
  <r>
    <x v="2"/>
    <x v="45"/>
    <n v="0"/>
    <n v="0"/>
    <x v="0"/>
    <n v="0"/>
    <n v="0"/>
    <n v="0"/>
    <n v="0"/>
    <n v="0"/>
    <x v="83"/>
    <n v="0"/>
    <x v="4"/>
    <n v="0"/>
  </r>
  <r>
    <x v="2"/>
    <x v="46"/>
    <n v="0"/>
    <n v="0"/>
    <x v="0"/>
    <n v="0"/>
    <n v="0"/>
    <n v="0"/>
    <n v="0"/>
    <n v="0"/>
    <x v="83"/>
    <n v="0"/>
    <x v="4"/>
    <n v="0"/>
  </r>
  <r>
    <x v="2"/>
    <x v="47"/>
    <n v="0"/>
    <n v="0"/>
    <x v="0"/>
    <n v="0"/>
    <n v="0"/>
    <n v="0"/>
    <n v="0"/>
    <n v="0"/>
    <x v="83"/>
    <n v="0"/>
    <x v="5"/>
    <n v="0"/>
  </r>
  <r>
    <x v="2"/>
    <x v="48"/>
    <n v="0"/>
    <n v="0"/>
    <x v="0"/>
    <n v="0"/>
    <n v="0"/>
    <n v="0"/>
    <n v="0"/>
    <n v="0"/>
    <x v="83"/>
    <n v="0"/>
    <x v="6"/>
    <n v="0"/>
  </r>
  <r>
    <x v="2"/>
    <x v="49"/>
    <n v="0"/>
    <n v="0"/>
    <x v="0"/>
    <n v="0"/>
    <n v="0"/>
    <n v="0"/>
    <n v="0"/>
    <n v="0"/>
    <x v="83"/>
    <n v="0"/>
    <x v="3"/>
    <n v="0"/>
  </r>
  <r>
    <x v="2"/>
    <x v="50"/>
    <n v="0"/>
    <n v="0"/>
    <x v="0"/>
    <n v="0"/>
    <n v="0"/>
    <n v="0"/>
    <n v="0"/>
    <n v="0"/>
    <x v="83"/>
    <n v="0"/>
    <x v="4"/>
    <n v="0"/>
  </r>
  <r>
    <x v="0"/>
    <x v="0"/>
    <n v="0"/>
    <n v="0"/>
    <x v="0"/>
    <n v="6.95"/>
    <n v="1.03"/>
    <n v="7.98"/>
    <n v="87.09"/>
    <n v="0"/>
    <x v="84"/>
    <n v="0"/>
    <x v="0"/>
    <n v="0"/>
  </r>
  <r>
    <x v="0"/>
    <x v="1"/>
    <n v="1.31"/>
    <n v="6.53"/>
    <x v="1425"/>
    <n v="6"/>
    <n v="1.92"/>
    <n v="7.92"/>
    <n v="75.760000000000005"/>
    <n v="16.54"/>
    <x v="84"/>
    <n v="15.720000000000002"/>
    <x v="0"/>
    <n v="0.16540404040404041"/>
  </r>
  <r>
    <x v="0"/>
    <x v="2"/>
    <n v="1.31"/>
    <n v="6.53"/>
    <x v="1425"/>
    <n v="6"/>
    <n v="1.93"/>
    <n v="7.93"/>
    <n v="75.66"/>
    <n v="16.52"/>
    <x v="84"/>
    <n v="15.720000000000002"/>
    <x v="0"/>
    <n v="0.16519546027742751"/>
  </r>
  <r>
    <x v="0"/>
    <x v="4"/>
    <n v="7.16"/>
    <n v="5.95"/>
    <x v="1426"/>
    <n v="6.93"/>
    <n v="0.96"/>
    <n v="7.89"/>
    <n v="87.83"/>
    <n v="90.75"/>
    <x v="84"/>
    <n v="85.92"/>
    <x v="0"/>
    <n v="0.9074778200253486"/>
  </r>
  <r>
    <x v="0"/>
    <x v="5"/>
    <n v="1.31"/>
    <n v="6.53"/>
    <x v="1425"/>
    <n v="5.96"/>
    <n v="1.94"/>
    <n v="7.9"/>
    <n v="75.44"/>
    <n v="16.579999999999998"/>
    <x v="84"/>
    <n v="15.720000000000002"/>
    <x v="0"/>
    <n v="0.16582278481012658"/>
  </r>
  <r>
    <x v="0"/>
    <x v="6"/>
    <n v="5.2533333329999996"/>
    <n v="6.63"/>
    <x v="1427"/>
    <n v="7.03"/>
    <n v="0.88"/>
    <n v="7.91"/>
    <n v="88.87"/>
    <n v="66.41"/>
    <x v="84"/>
    <n v="63.039999995999992"/>
    <x v="0"/>
    <n v="0.66413822161820479"/>
  </r>
  <r>
    <x v="0"/>
    <x v="7"/>
    <n v="0"/>
    <n v="0"/>
    <x v="0"/>
    <n v="6.45"/>
    <n v="0.6"/>
    <n v="7.05"/>
    <n v="91.49"/>
    <n v="0"/>
    <x v="84"/>
    <n v="0"/>
    <x v="0"/>
    <n v="0"/>
  </r>
  <r>
    <x v="1"/>
    <x v="9"/>
    <n v="0"/>
    <n v="0"/>
    <x v="0"/>
    <n v="5.94"/>
    <n v="2.08"/>
    <n v="8.02"/>
    <n v="74.06"/>
    <n v="0"/>
    <x v="84"/>
    <n v="0"/>
    <x v="1"/>
    <n v="0"/>
  </r>
  <r>
    <x v="1"/>
    <x v="10"/>
    <n v="6.25"/>
    <n v="4.18"/>
    <x v="1428"/>
    <n v="6.7"/>
    <n v="1.33"/>
    <n v="8.0299999999999994"/>
    <n v="83.44"/>
    <n v="77.83"/>
    <x v="84"/>
    <n v="75"/>
    <x v="1"/>
    <n v="0.77833125778331269"/>
  </r>
  <r>
    <x v="1"/>
    <x v="11"/>
    <n v="11.82"/>
    <n v="6.89"/>
    <x v="1429"/>
    <n v="7.27"/>
    <n v="0.77"/>
    <n v="8.0399999999999991"/>
    <n v="90.42"/>
    <n v="147.01"/>
    <x v="84"/>
    <n v="141.84"/>
    <x v="1"/>
    <n v="1.4701492537313434"/>
  </r>
  <r>
    <x v="2"/>
    <x v="14"/>
    <n v="6.5433333329999996"/>
    <n v="5.25"/>
    <x v="1430"/>
    <n v="7.28"/>
    <n v="0.67"/>
    <n v="7.95"/>
    <n v="91.57"/>
    <n v="82.31"/>
    <x v="84"/>
    <n v="78.519999995999996"/>
    <x v="2"/>
    <n v="0.82306079660377351"/>
  </r>
  <r>
    <x v="2"/>
    <x v="16"/>
    <n v="0"/>
    <n v="0"/>
    <x v="0"/>
    <n v="0"/>
    <n v="0"/>
    <n v="0"/>
    <n v="0"/>
    <n v="0"/>
    <x v="84"/>
    <n v="0"/>
    <x v="4"/>
    <n v="0"/>
  </r>
  <r>
    <x v="2"/>
    <x v="18"/>
    <n v="0"/>
    <n v="0"/>
    <x v="0"/>
    <n v="6.58"/>
    <n v="1.83"/>
    <n v="8.41"/>
    <n v="78.239999999999995"/>
    <n v="0"/>
    <x v="84"/>
    <n v="0"/>
    <x v="3"/>
    <n v="0"/>
  </r>
  <r>
    <x v="2"/>
    <x v="19"/>
    <n v="11.83333333"/>
    <n v="5.78"/>
    <x v="1431"/>
    <n v="7.34"/>
    <n v="0.99"/>
    <n v="8.33"/>
    <n v="88.12"/>
    <n v="142.06"/>
    <x v="84"/>
    <n v="141.99999996000003"/>
    <x v="2"/>
    <n v="1.4205682268907562"/>
  </r>
  <r>
    <x v="2"/>
    <x v="20"/>
    <n v="6.9"/>
    <n v="4.99"/>
    <x v="1432"/>
    <n v="10.77"/>
    <n v="0.41"/>
    <n v="11.18"/>
    <n v="96.33"/>
    <n v="61.72"/>
    <x v="84"/>
    <n v="82.8"/>
    <x v="5"/>
    <n v="0.61717352415026838"/>
  </r>
  <r>
    <x v="2"/>
    <x v="21"/>
    <n v="10.446666670000001"/>
    <n v="5.44"/>
    <x v="1433"/>
    <n v="6.28"/>
    <n v="0.76"/>
    <n v="7.04"/>
    <n v="89.2"/>
    <n v="148.38999999999999"/>
    <x v="84"/>
    <n v="125.36000004"/>
    <x v="2"/>
    <n v="1.4839015156250002"/>
  </r>
  <r>
    <x v="2"/>
    <x v="22"/>
    <n v="0"/>
    <n v="0"/>
    <x v="0"/>
    <n v="6.66"/>
    <n v="2.42"/>
    <n v="9.08"/>
    <n v="73.349999999999994"/>
    <n v="0"/>
    <x v="84"/>
    <n v="0"/>
    <x v="4"/>
    <n v="0"/>
  </r>
  <r>
    <x v="2"/>
    <x v="23"/>
    <n v="0.66666666699999999"/>
    <n v="1.45"/>
    <x v="1434"/>
    <n v="7.35"/>
    <n v="2.96"/>
    <n v="10.31"/>
    <n v="71.290000000000006"/>
    <n v="6.47"/>
    <x v="84"/>
    <n v="8.0000000040000003"/>
    <x v="3"/>
    <n v="6.4662140349175556E-2"/>
  </r>
  <r>
    <x v="2"/>
    <x v="24"/>
    <n v="2.8633333329999999"/>
    <n v="2.73"/>
    <x v="1435"/>
    <n v="6.62"/>
    <n v="1.35"/>
    <n v="7.97"/>
    <n v="83.06"/>
    <n v="35.93"/>
    <x v="84"/>
    <n v="34.359999995999999"/>
    <x v="5"/>
    <n v="0.35926390627352572"/>
  </r>
  <r>
    <x v="2"/>
    <x v="25"/>
    <n v="9.6666666669999994"/>
    <n v="6.69"/>
    <x v="1436"/>
    <n v="7.96"/>
    <n v="0.23"/>
    <n v="8.19"/>
    <n v="97.19"/>
    <n v="118.03"/>
    <x v="84"/>
    <n v="116.000000004"/>
    <x v="2"/>
    <n v="1.1803011803418804"/>
  </r>
  <r>
    <x v="2"/>
    <x v="26"/>
    <n v="0"/>
    <n v="0"/>
    <x v="0"/>
    <n v="5.73"/>
    <n v="2.4"/>
    <n v="8.1300000000000008"/>
    <n v="70.48"/>
    <n v="0"/>
    <x v="84"/>
    <n v="0"/>
    <x v="3"/>
    <n v="0"/>
  </r>
  <r>
    <x v="2"/>
    <x v="27"/>
    <n v="6.5633333330000001"/>
    <n v="3.83"/>
    <x v="1437"/>
    <n v="6.21"/>
    <n v="1.78"/>
    <n v="7.99"/>
    <n v="77.72"/>
    <n v="82.14"/>
    <x v="84"/>
    <n v="78.759999996000005"/>
    <x v="5"/>
    <n v="0.82144347096370463"/>
  </r>
  <r>
    <x v="2"/>
    <x v="29"/>
    <n v="4.95"/>
    <n v="6.01"/>
    <x v="1438"/>
    <n v="10.68"/>
    <n v="0.47"/>
    <n v="11.15"/>
    <n v="95.78"/>
    <n v="44.39"/>
    <x v="84"/>
    <n v="59.4"/>
    <x v="5"/>
    <n v="0.44394618834080718"/>
  </r>
  <r>
    <x v="2"/>
    <x v="31"/>
    <n v="5.4166666670000003"/>
    <n v="3.42"/>
    <x v="1439"/>
    <n v="9.0399999999999991"/>
    <n v="0.57999999999999996"/>
    <n v="9.6199999999999992"/>
    <n v="93.97"/>
    <n v="56.31"/>
    <x v="84"/>
    <n v="65.000000004"/>
    <x v="2"/>
    <n v="0.56306306309771315"/>
  </r>
  <r>
    <x v="2"/>
    <x v="32"/>
    <n v="2.25"/>
    <n v="5.0999999999999996"/>
    <x v="1440"/>
    <n v="8.8800000000000008"/>
    <n v="1.43"/>
    <n v="10.31"/>
    <n v="86.13"/>
    <n v="21.82"/>
    <x v="84"/>
    <n v="27"/>
    <x v="3"/>
    <n v="0.21823472356935014"/>
  </r>
  <r>
    <x v="2"/>
    <x v="33"/>
    <n v="5.3766666670000003"/>
    <n v="9.91"/>
    <x v="1441"/>
    <n v="10.02"/>
    <n v="0.31"/>
    <n v="10.33"/>
    <n v="97"/>
    <n v="52.05"/>
    <x v="84"/>
    <n v="64.520000004000011"/>
    <x v="3"/>
    <n v="0.52049048083252669"/>
  </r>
  <r>
    <x v="2"/>
    <x v="34"/>
    <n v="2.39"/>
    <n v="4.37"/>
    <x v="1442"/>
    <n v="8.17"/>
    <n v="1.84"/>
    <n v="10.01"/>
    <n v="81.62"/>
    <n v="23.88"/>
    <x v="84"/>
    <n v="28.68"/>
    <x v="4"/>
    <n v="0.23876123876123878"/>
  </r>
  <r>
    <x v="2"/>
    <x v="35"/>
    <n v="6.5833333329999997"/>
    <n v="4.46"/>
    <x v="1443"/>
    <n v="8.82"/>
    <n v="0.68"/>
    <n v="9.5"/>
    <n v="92.84"/>
    <n v="69.3"/>
    <x v="84"/>
    <n v="78.999999996"/>
    <x v="2"/>
    <n v="0.6929824561052631"/>
  </r>
  <r>
    <x v="2"/>
    <x v="36"/>
    <n v="2"/>
    <n v="7.08"/>
    <x v="1444"/>
    <n v="8.92"/>
    <n v="1.65"/>
    <n v="10.57"/>
    <n v="84.39"/>
    <n v="18.920000000000002"/>
    <x v="84"/>
    <n v="24"/>
    <x v="4"/>
    <n v="0.1892147587511826"/>
  </r>
  <r>
    <x v="2"/>
    <x v="37"/>
    <n v="3.923333333"/>
    <n v="4.38"/>
    <x v="1445"/>
    <n v="6.78"/>
    <n v="2"/>
    <n v="8.7799999999999994"/>
    <n v="77.22"/>
    <n v="44.68"/>
    <x v="84"/>
    <n v="47.079999995999998"/>
    <x v="4"/>
    <n v="0.44684889897494307"/>
  </r>
  <r>
    <x v="2"/>
    <x v="39"/>
    <n v="7.8333333329999997"/>
    <n v="7.62"/>
    <x v="1446"/>
    <n v="6.54"/>
    <n v="1.52"/>
    <n v="8.06"/>
    <n v="81.14"/>
    <n v="97.19"/>
    <x v="84"/>
    <n v="93.999999996"/>
    <x v="2"/>
    <n v="0.97187758473945396"/>
  </r>
  <r>
    <x v="2"/>
    <x v="40"/>
    <n v="2.98"/>
    <n v="7.71"/>
    <x v="1447"/>
    <n v="7.69"/>
    <n v="0.24"/>
    <n v="7.93"/>
    <n v="96.97"/>
    <n v="37.58"/>
    <x v="84"/>
    <n v="35.760000000000005"/>
    <x v="3"/>
    <n v="0.37578814627994955"/>
  </r>
  <r>
    <x v="2"/>
    <x v="42"/>
    <n v="0"/>
    <n v="0"/>
    <x v="0"/>
    <n v="0"/>
    <n v="0"/>
    <n v="0"/>
    <n v="0"/>
    <n v="0"/>
    <x v="84"/>
    <n v="0"/>
    <x v="2"/>
    <n v="0"/>
  </r>
  <r>
    <x v="2"/>
    <x v="44"/>
    <n v="3.1666666669999999"/>
    <n v="3.89"/>
    <x v="1448"/>
    <n v="7.43"/>
    <n v="0.73"/>
    <n v="8.16"/>
    <n v="91.05"/>
    <n v="38.81"/>
    <x v="84"/>
    <n v="38.000000004"/>
    <x v="3"/>
    <n v="0.38807189546568627"/>
  </r>
  <r>
    <x v="2"/>
    <x v="45"/>
    <n v="1.606666667"/>
    <n v="4.5599999999999996"/>
    <x v="1449"/>
    <n v="4.9000000000000004"/>
    <n v="3.84"/>
    <n v="8.74"/>
    <n v="56.06"/>
    <n v="18.38"/>
    <x v="84"/>
    <n v="19.280000004000001"/>
    <x v="4"/>
    <n v="0.18382913810068649"/>
  </r>
  <r>
    <x v="2"/>
    <x v="46"/>
    <n v="0"/>
    <n v="0"/>
    <x v="0"/>
    <n v="7.61"/>
    <n v="0.86"/>
    <n v="8.4700000000000006"/>
    <n v="89.85"/>
    <n v="0"/>
    <x v="84"/>
    <n v="0"/>
    <x v="4"/>
    <n v="0"/>
  </r>
  <r>
    <x v="2"/>
    <x v="47"/>
    <n v="5.52"/>
    <n v="4.71"/>
    <x v="1450"/>
    <n v="7.64"/>
    <n v="0.39"/>
    <n v="8.0299999999999994"/>
    <n v="95.14"/>
    <n v="68.739999999999995"/>
    <x v="84"/>
    <n v="66.239999999999995"/>
    <x v="5"/>
    <n v="0.68742216687422164"/>
  </r>
  <r>
    <x v="2"/>
    <x v="48"/>
    <n v="0"/>
    <n v="0"/>
    <x v="0"/>
    <n v="0"/>
    <n v="0"/>
    <n v="0"/>
    <n v="0"/>
    <n v="0"/>
    <x v="84"/>
    <n v="0"/>
    <x v="6"/>
    <n v="0"/>
  </r>
  <r>
    <x v="2"/>
    <x v="49"/>
    <n v="1.8333333329999999"/>
    <n v="4.75"/>
    <x v="1451"/>
    <n v="6.85"/>
    <n v="1.29"/>
    <n v="8.14"/>
    <n v="84.15"/>
    <n v="22.52"/>
    <x v="84"/>
    <n v="21.999999996"/>
    <x v="3"/>
    <n v="0.22522522518427515"/>
  </r>
  <r>
    <x v="2"/>
    <x v="50"/>
    <n v="5"/>
    <n v="5.56"/>
    <x v="1452"/>
    <n v="8.9"/>
    <n v="1.5"/>
    <n v="10.4"/>
    <n v="85.58"/>
    <n v="48.08"/>
    <x v="84"/>
    <n v="60"/>
    <x v="4"/>
    <n v="0.48076923076923073"/>
  </r>
  <r>
    <x v="0"/>
    <x v="1"/>
    <n v="1.1100000000000001"/>
    <n v="3.93"/>
    <x v="1453"/>
    <n v="10.83"/>
    <n v="0.18"/>
    <n v="11.01"/>
    <n v="98.37"/>
    <n v="10.08"/>
    <x v="85"/>
    <n v="13.320000000000002"/>
    <x v="0"/>
    <n v="0.10081743869209811"/>
  </r>
  <r>
    <x v="0"/>
    <x v="2"/>
    <n v="1.1100000000000001"/>
    <n v="3.93"/>
    <x v="1453"/>
    <n v="10.83"/>
    <n v="0.18"/>
    <n v="11.01"/>
    <n v="98.37"/>
    <n v="10.08"/>
    <x v="85"/>
    <n v="13.320000000000002"/>
    <x v="0"/>
    <n v="0.10081743869209811"/>
  </r>
  <r>
    <x v="0"/>
    <x v="3"/>
    <n v="2.46"/>
    <n v="5.1100000000000003"/>
    <x v="1454"/>
    <n v="9.35"/>
    <n v="0.73"/>
    <n v="10.08"/>
    <n v="92.76"/>
    <n v="24.4"/>
    <x v="85"/>
    <n v="29.52"/>
    <x v="0"/>
    <n v="0.24404761904761904"/>
  </r>
  <r>
    <x v="0"/>
    <x v="8"/>
    <n v="3.93"/>
    <n v="3.43"/>
    <x v="1455"/>
    <n v="9.43"/>
    <n v="0.66"/>
    <n v="10.09"/>
    <n v="93.46"/>
    <n v="38.950000000000003"/>
    <x v="85"/>
    <n v="47.160000000000004"/>
    <x v="0"/>
    <n v="0.38949454905847375"/>
  </r>
  <r>
    <x v="1"/>
    <x v="9"/>
    <n v="10.75"/>
    <n v="6.5"/>
    <x v="1456"/>
    <n v="5.19"/>
    <n v="2.91"/>
    <n v="8.1"/>
    <n v="64.069999999999993"/>
    <n v="132.72"/>
    <x v="85"/>
    <n v="129"/>
    <x v="1"/>
    <n v="1.3271604938271606"/>
  </r>
  <r>
    <x v="1"/>
    <x v="10"/>
    <n v="8"/>
    <n v="7.14"/>
    <x v="1457"/>
    <n v="9.98"/>
    <n v="0.67"/>
    <n v="10.65"/>
    <n v="93.71"/>
    <n v="75.12"/>
    <x v="85"/>
    <n v="96"/>
    <x v="1"/>
    <n v="0.75117370892018775"/>
  </r>
  <r>
    <x v="1"/>
    <x v="11"/>
    <n v="3.92"/>
    <n v="5.92"/>
    <x v="1458"/>
    <n v="7.5"/>
    <n v="0.61"/>
    <n v="8.11"/>
    <n v="92.48"/>
    <n v="48.34"/>
    <x v="85"/>
    <n v="47.04"/>
    <x v="1"/>
    <n v="0.48335388409371149"/>
  </r>
  <r>
    <x v="2"/>
    <x v="14"/>
    <n v="10.5"/>
    <n v="5.1100000000000003"/>
    <x v="1459"/>
    <n v="8.52"/>
    <n v="0.5"/>
    <n v="9.02"/>
    <n v="94.46"/>
    <n v="116.41"/>
    <x v="85"/>
    <n v="126"/>
    <x v="2"/>
    <n v="1.164079822616408"/>
  </r>
  <r>
    <x v="2"/>
    <x v="16"/>
    <n v="0"/>
    <n v="0"/>
    <x v="0"/>
    <n v="0"/>
    <n v="0"/>
    <n v="0"/>
    <n v="0"/>
    <n v="0"/>
    <x v="85"/>
    <n v="0"/>
    <x v="4"/>
    <n v="0"/>
  </r>
  <r>
    <x v="2"/>
    <x v="17"/>
    <n v="0.2"/>
    <n v="0.83"/>
    <x v="1460"/>
    <n v="8.57"/>
    <n v="1.83"/>
    <n v="10.4"/>
    <n v="82.4"/>
    <n v="1.92"/>
    <x v="85"/>
    <n v="2.4"/>
    <x v="3"/>
    <n v="1.9230769230769232E-2"/>
  </r>
  <r>
    <x v="2"/>
    <x v="18"/>
    <n v="1"/>
    <n v="0.06"/>
    <x v="1461"/>
    <n v="7.31"/>
    <n v="1.05"/>
    <n v="8.36"/>
    <n v="87.44"/>
    <n v="11.96"/>
    <x v="85"/>
    <n v="12"/>
    <x v="3"/>
    <n v="0.11961722488038279"/>
  </r>
  <r>
    <x v="2"/>
    <x v="19"/>
    <n v="13.473333330000001"/>
    <n v="6.59"/>
    <x v="1462"/>
    <n v="9.69"/>
    <n v="0.8"/>
    <n v="10.49"/>
    <n v="92.37"/>
    <n v="128.44"/>
    <x v="85"/>
    <n v="161.67999996"/>
    <x v="2"/>
    <n v="1.284397838894185"/>
  </r>
  <r>
    <x v="2"/>
    <x v="20"/>
    <n v="7.8133333330000001"/>
    <n v="6.89"/>
    <x v="1463"/>
    <n v="7.8"/>
    <n v="0.75"/>
    <n v="8.5500000000000007"/>
    <n v="91.23"/>
    <n v="91.38"/>
    <x v="85"/>
    <n v="93.759999996000005"/>
    <x v="5"/>
    <n v="0.91384015590643264"/>
  </r>
  <r>
    <x v="2"/>
    <x v="21"/>
    <n v="8.9166666669999994"/>
    <n v="4.82"/>
    <x v="1464"/>
    <n v="7.38"/>
    <n v="0.7"/>
    <n v="8.08"/>
    <n v="91.34"/>
    <n v="110.35"/>
    <x v="85"/>
    <n v="107.000000004"/>
    <x v="2"/>
    <n v="1.1035478548267326"/>
  </r>
  <r>
    <x v="2"/>
    <x v="25"/>
    <n v="5.1666666670000003"/>
    <n v="6.28"/>
    <x v="1465"/>
    <n v="9.4"/>
    <n v="1.1200000000000001"/>
    <n v="10.52"/>
    <n v="89.35"/>
    <n v="49.11"/>
    <x v="85"/>
    <n v="62.000000004"/>
    <x v="2"/>
    <n v="0.49112801017110269"/>
  </r>
  <r>
    <x v="2"/>
    <x v="27"/>
    <n v="11.483333330000001"/>
    <n v="5.0999999999999996"/>
    <x v="1466"/>
    <n v="7.83"/>
    <n v="0.16"/>
    <n v="7.99"/>
    <n v="98"/>
    <n v="143.72"/>
    <x v="85"/>
    <n v="137.79999996000001"/>
    <x v="5"/>
    <n v="1.4372131827284105"/>
  </r>
  <r>
    <x v="2"/>
    <x v="29"/>
    <n v="7.28"/>
    <n v="5.19"/>
    <x v="1467"/>
    <n v="7.76"/>
    <n v="0.76"/>
    <n v="8.52"/>
    <n v="91.08"/>
    <n v="85.45"/>
    <x v="85"/>
    <n v="87.36"/>
    <x v="5"/>
    <n v="0.85446009389671373"/>
  </r>
  <r>
    <x v="2"/>
    <x v="31"/>
    <n v="21.166666670000001"/>
    <n v="9.1999999999999993"/>
    <x v="1468"/>
    <n v="7.56"/>
    <n v="2.74"/>
    <n v="10.3"/>
    <n v="73.400000000000006"/>
    <n v="205.5"/>
    <x v="85"/>
    <n v="254.00000004000003"/>
    <x v="2"/>
    <n v="2.0550161815533983"/>
  </r>
  <r>
    <x v="2"/>
    <x v="32"/>
    <n v="0"/>
    <n v="0"/>
    <x v="0"/>
    <n v="8.57"/>
    <n v="1.83"/>
    <n v="10.4"/>
    <n v="82.4"/>
    <n v="0"/>
    <x v="85"/>
    <n v="0"/>
    <x v="3"/>
    <n v="0"/>
  </r>
  <r>
    <x v="2"/>
    <x v="33"/>
    <n v="2.4133333330000002"/>
    <n v="7.88"/>
    <x v="1469"/>
    <n v="6.92"/>
    <n v="1.24"/>
    <n v="8.16"/>
    <n v="84.8"/>
    <n v="29.58"/>
    <x v="85"/>
    <n v="28.959999996000004"/>
    <x v="3"/>
    <n v="0.29575163394607845"/>
  </r>
  <r>
    <x v="2"/>
    <x v="34"/>
    <n v="4.3899999999999997"/>
    <n v="7.51"/>
    <x v="1470"/>
    <n v="8.41"/>
    <n v="1.52"/>
    <n v="9.93"/>
    <n v="84.69"/>
    <n v="44.21"/>
    <x v="85"/>
    <n v="52.679999999999993"/>
    <x v="4"/>
    <n v="0.44209466263846925"/>
  </r>
  <r>
    <x v="2"/>
    <x v="35"/>
    <n v="13.286666670000001"/>
    <n v="5.84"/>
    <x v="1471"/>
    <n v="8.67"/>
    <n v="1.0900000000000001"/>
    <n v="9.76"/>
    <n v="88.83"/>
    <n v="136.13"/>
    <x v="85"/>
    <n v="159.44000004000003"/>
    <x v="2"/>
    <n v="1.3613387981557379"/>
  </r>
  <r>
    <x v="2"/>
    <x v="37"/>
    <n v="0"/>
    <n v="0"/>
    <x v="0"/>
    <n v="9.27"/>
    <n v="0.65"/>
    <n v="9.92"/>
    <n v="93.45"/>
    <n v="0"/>
    <x v="85"/>
    <n v="0"/>
    <x v="4"/>
    <n v="0"/>
  </r>
  <r>
    <x v="2"/>
    <x v="38"/>
    <n v="5.8533333330000001"/>
    <n v="3.37"/>
    <x v="1472"/>
    <n v="8.66"/>
    <n v="0.64"/>
    <n v="9.3000000000000007"/>
    <n v="93.12"/>
    <n v="62.94"/>
    <x v="85"/>
    <n v="70.239999996000009"/>
    <x v="2"/>
    <n v="0.62939068096774187"/>
  </r>
  <r>
    <x v="2"/>
    <x v="39"/>
    <n v="6.4166666670000003"/>
    <n v="5.04"/>
    <x v="1473"/>
    <n v="5.66"/>
    <n v="2.33"/>
    <n v="7.99"/>
    <n v="70.84"/>
    <n v="80.31"/>
    <x v="85"/>
    <n v="77.000000004"/>
    <x v="2"/>
    <n v="0.80308719236545689"/>
  </r>
  <r>
    <x v="2"/>
    <x v="40"/>
    <n v="1.503333333"/>
    <n v="4.34"/>
    <x v="1474"/>
    <n v="9.49"/>
    <n v="0.73"/>
    <n v="10.220000000000001"/>
    <n v="92.86"/>
    <n v="14.71"/>
    <x v="85"/>
    <n v="18.039999995999999"/>
    <x v="3"/>
    <n v="0.14709719500978474"/>
  </r>
  <r>
    <x v="2"/>
    <x v="43"/>
    <n v="1.6666666670000001"/>
    <n v="1.61"/>
    <x v="1475"/>
    <n v="9.64"/>
    <n v="0.59"/>
    <n v="10.23"/>
    <n v="94.23"/>
    <n v="16.29"/>
    <x v="85"/>
    <n v="20.000000004"/>
    <x v="3"/>
    <n v="0.16291951779081135"/>
  </r>
  <r>
    <x v="2"/>
    <x v="44"/>
    <n v="4.63"/>
    <n v="5.84"/>
    <x v="1476"/>
    <n v="7.06"/>
    <n v="0.95"/>
    <n v="8.01"/>
    <n v="88.14"/>
    <n v="57.8"/>
    <x v="85"/>
    <n v="55.56"/>
    <x v="3"/>
    <n v="0.57802746566791507"/>
  </r>
  <r>
    <x v="2"/>
    <x v="45"/>
    <n v="2.8933333330000002"/>
    <n v="8.61"/>
    <x v="1477"/>
    <n v="7.55"/>
    <n v="1.43"/>
    <n v="8.98"/>
    <n v="84.08"/>
    <n v="32.22"/>
    <x v="85"/>
    <n v="34.719999995999999"/>
    <x v="4"/>
    <n v="0.32219747583518932"/>
  </r>
  <r>
    <x v="2"/>
    <x v="48"/>
    <n v="0"/>
    <n v="0"/>
    <x v="0"/>
    <n v="0"/>
    <n v="0"/>
    <n v="0"/>
    <n v="0"/>
    <n v="0"/>
    <x v="85"/>
    <n v="0"/>
    <x v="6"/>
    <n v="0"/>
  </r>
  <r>
    <x v="2"/>
    <x v="49"/>
    <n v="4.1666666670000003"/>
    <n v="3.84"/>
    <x v="1478"/>
    <n v="7.63"/>
    <n v="0.54"/>
    <n v="8.17"/>
    <n v="93.39"/>
    <n v="51"/>
    <x v="85"/>
    <n v="50.000000004"/>
    <x v="3"/>
    <n v="0.50999592007343941"/>
  </r>
  <r>
    <x v="2"/>
    <x v="50"/>
    <n v="0"/>
    <n v="0"/>
    <x v="0"/>
    <n v="9.35"/>
    <n v="0.6"/>
    <n v="9.9499999999999993"/>
    <n v="93.97"/>
    <n v="0"/>
    <x v="85"/>
    <n v="0"/>
    <x v="4"/>
    <n v="0"/>
  </r>
  <r>
    <x v="0"/>
    <x v="0"/>
    <n v="0"/>
    <n v="0"/>
    <x v="0"/>
    <n v="9.25"/>
    <n v="0.85"/>
    <n v="10.1"/>
    <n v="91.58"/>
    <n v="0"/>
    <x v="86"/>
    <n v="0"/>
    <x v="0"/>
    <n v="0"/>
  </r>
  <r>
    <x v="0"/>
    <x v="1"/>
    <n v="2.4500000000000002"/>
    <n v="7.88"/>
    <x v="1479"/>
    <n v="10.45"/>
    <n v="0.14000000000000001"/>
    <n v="10.59"/>
    <n v="98.68"/>
    <n v="23.14"/>
    <x v="86"/>
    <n v="29.4"/>
    <x v="0"/>
    <n v="0.23135033050047216"/>
  </r>
  <r>
    <x v="0"/>
    <x v="2"/>
    <n v="2.1800000000000002"/>
    <n v="5.78"/>
    <x v="1480"/>
    <n v="10.47"/>
    <n v="0.14000000000000001"/>
    <n v="10.61"/>
    <n v="98.68"/>
    <n v="20.55"/>
    <x v="86"/>
    <n v="26.160000000000004"/>
    <x v="0"/>
    <n v="0.20546654099905751"/>
  </r>
  <r>
    <x v="0"/>
    <x v="3"/>
    <n v="0"/>
    <n v="0"/>
    <x v="0"/>
    <n v="9.23"/>
    <n v="1.32"/>
    <n v="10.55"/>
    <n v="87.49"/>
    <n v="0"/>
    <x v="86"/>
    <n v="0"/>
    <x v="0"/>
    <n v="0"/>
  </r>
  <r>
    <x v="0"/>
    <x v="4"/>
    <n v="5.4"/>
    <n v="5.14"/>
    <x v="1481"/>
    <n v="9.64"/>
    <n v="0.03"/>
    <n v="9.67"/>
    <n v="99.69"/>
    <n v="55.84"/>
    <x v="86"/>
    <n v="64.8"/>
    <x v="0"/>
    <n v="0.55842812823164434"/>
  </r>
  <r>
    <x v="0"/>
    <x v="6"/>
    <n v="5.36"/>
    <n v="5.12"/>
    <x v="1482"/>
    <n v="10.5"/>
    <n v="0.15"/>
    <n v="10.65"/>
    <n v="98.59"/>
    <n v="50.33"/>
    <x v="86"/>
    <n v="64.320000000000007"/>
    <x v="0"/>
    <n v="0.50328638497652578"/>
  </r>
  <r>
    <x v="0"/>
    <x v="7"/>
    <n v="0"/>
    <n v="0"/>
    <x v="0"/>
    <n v="7.8"/>
    <n v="0.35"/>
    <n v="8.15"/>
    <n v="95.71"/>
    <n v="0"/>
    <x v="86"/>
    <n v="0"/>
    <x v="0"/>
    <n v="0"/>
  </r>
  <r>
    <x v="0"/>
    <x v="8"/>
    <n v="0"/>
    <n v="0"/>
    <x v="0"/>
    <n v="9.25"/>
    <n v="1.31"/>
    <n v="10.56"/>
    <n v="87.59"/>
    <n v="0"/>
    <x v="86"/>
    <n v="0"/>
    <x v="0"/>
    <n v="0"/>
  </r>
  <r>
    <x v="1"/>
    <x v="9"/>
    <n v="0"/>
    <n v="0"/>
    <x v="0"/>
    <n v="4.08"/>
    <n v="4"/>
    <n v="8.08"/>
    <n v="50.5"/>
    <n v="0"/>
    <x v="86"/>
    <n v="0"/>
    <x v="1"/>
    <n v="0"/>
  </r>
  <r>
    <x v="1"/>
    <x v="10"/>
    <n v="2.75"/>
    <n v="2.48"/>
    <x v="1483"/>
    <n v="8.4499999999999993"/>
    <n v="1.97"/>
    <n v="10.42"/>
    <n v="81.09"/>
    <n v="26.39"/>
    <x v="86"/>
    <n v="33"/>
    <x v="1"/>
    <n v="0.26391554702495201"/>
  </r>
  <r>
    <x v="1"/>
    <x v="12"/>
    <n v="5.26"/>
    <n v="5.58"/>
    <x v="1484"/>
    <n v="6.98"/>
    <n v="1.19"/>
    <n v="8.17"/>
    <n v="85.43"/>
    <n v="64.38"/>
    <x v="86"/>
    <n v="63.11999999999999"/>
    <x v="1"/>
    <n v="0.64381884944920442"/>
  </r>
  <r>
    <x v="2"/>
    <x v="14"/>
    <n v="13.16666667"/>
    <n v="5.22"/>
    <x v="1485"/>
    <n v="7.36"/>
    <n v="0.72"/>
    <n v="8.08"/>
    <n v="91.09"/>
    <n v="162.94999999999999"/>
    <x v="86"/>
    <n v="158.00000003999997"/>
    <x v="2"/>
    <n v="1.6295379542079207"/>
  </r>
  <r>
    <x v="2"/>
    <x v="15"/>
    <n v="0"/>
    <n v="0"/>
    <x v="0"/>
    <n v="8.4700000000000006"/>
    <n v="0.32"/>
    <n v="8.7899999999999991"/>
    <n v="96.36"/>
    <n v="0"/>
    <x v="86"/>
    <n v="0"/>
    <x v="3"/>
    <n v="0"/>
  </r>
  <r>
    <x v="2"/>
    <x v="16"/>
    <n v="0.72"/>
    <n v="1.07"/>
    <x v="1486"/>
    <n v="7.73"/>
    <n v="0.08"/>
    <n v="7.81"/>
    <n v="98.98"/>
    <n v="9.2200000000000006"/>
    <x v="86"/>
    <n v="8.6399999999999988"/>
    <x v="4"/>
    <n v="9.2189500640204869E-2"/>
  </r>
  <r>
    <x v="2"/>
    <x v="18"/>
    <n v="8.25"/>
    <n v="8.06"/>
    <x v="1487"/>
    <n v="6.72"/>
    <n v="1.53"/>
    <n v="8.25"/>
    <n v="81.45"/>
    <n v="100"/>
    <x v="86"/>
    <n v="99"/>
    <x v="3"/>
    <n v="1"/>
  </r>
  <r>
    <x v="2"/>
    <x v="19"/>
    <n v="8.5"/>
    <n v="3.96"/>
    <x v="1488"/>
    <n v="9.26"/>
    <n v="0.2"/>
    <n v="9.4600000000000009"/>
    <n v="97.89"/>
    <n v="89.85"/>
    <x v="86"/>
    <n v="102"/>
    <x v="2"/>
    <n v="0.89852008456659616"/>
  </r>
  <r>
    <x v="2"/>
    <x v="22"/>
    <n v="5"/>
    <n v="5.6"/>
    <x v="656"/>
    <n v="5.94"/>
    <n v="1.9"/>
    <n v="7.84"/>
    <n v="75.77"/>
    <n v="63.78"/>
    <x v="86"/>
    <n v="60"/>
    <x v="4"/>
    <n v="0.63775510204081631"/>
  </r>
  <r>
    <x v="2"/>
    <x v="24"/>
    <n v="2.5"/>
    <n v="3.53"/>
    <x v="1489"/>
    <n v="10.07"/>
    <n v="0.5"/>
    <n v="10.57"/>
    <n v="95.27"/>
    <n v="23.65"/>
    <x v="86"/>
    <n v="30"/>
    <x v="5"/>
    <n v="0.23651844843897823"/>
  </r>
  <r>
    <x v="2"/>
    <x v="25"/>
    <n v="6.5"/>
    <n v="4.58"/>
    <x v="1490"/>
    <n v="9.2200000000000006"/>
    <n v="0.35"/>
    <n v="9.57"/>
    <n v="96.34"/>
    <n v="67.92"/>
    <x v="86"/>
    <n v="78"/>
    <x v="2"/>
    <n v="0.67920585161964475"/>
  </r>
  <r>
    <x v="2"/>
    <x v="29"/>
    <n v="9.8766666670000003"/>
    <n v="6.3"/>
    <x v="1491"/>
    <n v="7.27"/>
    <n v="1.36"/>
    <n v="8.6300000000000008"/>
    <n v="84.24"/>
    <n v="114.45"/>
    <x v="86"/>
    <n v="118.52000000400001"/>
    <x v="5"/>
    <n v="1.1444573194669756"/>
  </r>
  <r>
    <x v="2"/>
    <x v="30"/>
    <n v="9.2433333330000007"/>
    <n v="7.79"/>
    <x v="1492"/>
    <n v="6.79"/>
    <n v="1.28"/>
    <n v="8.07"/>
    <n v="84.14"/>
    <n v="114.54"/>
    <x v="86"/>
    <n v="110.919999996"/>
    <x v="5"/>
    <n v="1.1453944650557621"/>
  </r>
  <r>
    <x v="2"/>
    <x v="31"/>
    <n v="8.5133333330000003"/>
    <n v="6.75"/>
    <x v="1493"/>
    <n v="7.16"/>
    <n v="0.87"/>
    <n v="8.0299999999999994"/>
    <n v="89.17"/>
    <n v="106.02"/>
    <x v="86"/>
    <n v="102.159999996"/>
    <x v="2"/>
    <n v="1.0601909505603986"/>
  </r>
  <r>
    <x v="2"/>
    <x v="33"/>
    <n v="1.1333333329999999"/>
    <n v="4.8899999999999997"/>
    <x v="1494"/>
    <n v="7.55"/>
    <n v="1.66"/>
    <n v="9.2100000000000009"/>
    <n v="81.98"/>
    <n v="12.31"/>
    <x v="86"/>
    <n v="13.599999995999999"/>
    <x v="3"/>
    <n v="0.1230546507057546"/>
  </r>
  <r>
    <x v="2"/>
    <x v="34"/>
    <n v="4.25"/>
    <n v="4.28"/>
    <x v="1495"/>
    <n v="6.73"/>
    <n v="1.04"/>
    <n v="7.77"/>
    <n v="86.62"/>
    <n v="54.7"/>
    <x v="86"/>
    <n v="51"/>
    <x v="4"/>
    <n v="0.54697554697554696"/>
  </r>
  <r>
    <x v="2"/>
    <x v="35"/>
    <n v="14.10333333"/>
    <n v="7.78"/>
    <x v="1496"/>
    <n v="8.3800000000000008"/>
    <n v="1.36"/>
    <n v="9.74"/>
    <n v="86.04"/>
    <n v="144.80000000000001"/>
    <x v="86"/>
    <n v="169.23999996000001"/>
    <x v="2"/>
    <n v="1.4479808347022587"/>
  </r>
  <r>
    <x v="2"/>
    <x v="36"/>
    <n v="0"/>
    <n v="0"/>
    <x v="0"/>
    <n v="8.27"/>
    <n v="1.41"/>
    <n v="9.68"/>
    <n v="85.43"/>
    <n v="0"/>
    <x v="86"/>
    <n v="0"/>
    <x v="4"/>
    <n v="0"/>
  </r>
  <r>
    <x v="2"/>
    <x v="37"/>
    <n v="2"/>
    <n v="7.82"/>
    <x v="1497"/>
    <n v="7.33"/>
    <n v="2.4500000000000002"/>
    <n v="9.7799999999999994"/>
    <n v="74.95"/>
    <n v="20.45"/>
    <x v="86"/>
    <n v="24"/>
    <x v="4"/>
    <n v="0.20449897750511248"/>
  </r>
  <r>
    <x v="2"/>
    <x v="38"/>
    <n v="17.333333329999999"/>
    <n v="8.33"/>
    <x v="1498"/>
    <n v="8.15"/>
    <n v="0.82"/>
    <n v="8.9700000000000006"/>
    <n v="90.86"/>
    <n v="193.24"/>
    <x v="86"/>
    <n v="207.99999995999997"/>
    <x v="2"/>
    <n v="1.9323671493868448"/>
  </r>
  <r>
    <x v="2"/>
    <x v="39"/>
    <n v="10.83333333"/>
    <n v="6.23"/>
    <x v="1499"/>
    <n v="7.17"/>
    <n v="0.88"/>
    <n v="8.0500000000000007"/>
    <n v="89.07"/>
    <n v="134.58000000000001"/>
    <x v="86"/>
    <n v="129.99999996000003"/>
    <x v="2"/>
    <n v="1.3457556931677017"/>
  </r>
  <r>
    <x v="2"/>
    <x v="40"/>
    <n v="3.43"/>
    <n v="6.74"/>
    <x v="1500"/>
    <n v="7.35"/>
    <n v="0.85"/>
    <n v="8.1999999999999993"/>
    <n v="89.63"/>
    <n v="41.83"/>
    <x v="86"/>
    <n v="41.160000000000004"/>
    <x v="3"/>
    <n v="0.41829268292682931"/>
  </r>
  <r>
    <x v="2"/>
    <x v="42"/>
    <n v="12.08333333"/>
    <n v="4.0599999999999996"/>
    <x v="1501"/>
    <n v="8.32"/>
    <n v="0.74"/>
    <n v="9.06"/>
    <n v="91.83"/>
    <n v="133.37"/>
    <x v="86"/>
    <n v="144.99999996000003"/>
    <x v="2"/>
    <n v="1.3337012505518764"/>
  </r>
  <r>
    <x v="2"/>
    <x v="43"/>
    <n v="4.5"/>
    <n v="7.28"/>
    <x v="1502"/>
    <n v="8.5299999999999994"/>
    <n v="1"/>
    <n v="9.5299999999999994"/>
    <n v="89.51"/>
    <n v="47.22"/>
    <x v="86"/>
    <n v="54"/>
    <x v="3"/>
    <n v="0.47219307450157399"/>
  </r>
  <r>
    <x v="2"/>
    <x v="45"/>
    <n v="0.33333333300000001"/>
    <n v="0.32"/>
    <x v="609"/>
    <n v="8.81"/>
    <n v="0.27"/>
    <n v="9.08"/>
    <n v="97.03"/>
    <n v="3.67"/>
    <x v="86"/>
    <n v="3.9999999960000006"/>
    <x v="4"/>
    <n v="3.6710719493392073E-2"/>
  </r>
  <r>
    <x v="2"/>
    <x v="46"/>
    <n v="4.1966666669999997"/>
    <n v="4.1100000000000003"/>
    <x v="1503"/>
    <n v="7.72"/>
    <n v="0.06"/>
    <n v="7.78"/>
    <n v="99.23"/>
    <n v="53.94"/>
    <x v="86"/>
    <n v="50.360000003999993"/>
    <x v="4"/>
    <n v="0.53941730938303334"/>
  </r>
  <r>
    <x v="2"/>
    <x v="49"/>
    <n v="4.6666666670000003"/>
    <n v="6.4"/>
    <x v="1504"/>
    <n v="7.28"/>
    <n v="0.81"/>
    <n v="8.09"/>
    <n v="89.99"/>
    <n v="57.68"/>
    <x v="86"/>
    <n v="56.000000004"/>
    <x v="3"/>
    <n v="0.57684384017305323"/>
  </r>
  <r>
    <x v="2"/>
    <x v="50"/>
    <n v="5.0666666669999998"/>
    <n v="5.31"/>
    <x v="1505"/>
    <n v="8.7899999999999991"/>
    <n v="0.92"/>
    <n v="9.7100000000000009"/>
    <n v="90.53"/>
    <n v="52.18"/>
    <x v="86"/>
    <n v="60.800000004000005"/>
    <x v="4"/>
    <n v="0.5217988328527291"/>
  </r>
  <r>
    <x v="0"/>
    <x v="1"/>
    <n v="1.03"/>
    <n v="4.37"/>
    <x v="1506"/>
    <n v="7.66"/>
    <n v="0.11"/>
    <n v="7.77"/>
    <n v="98.58"/>
    <n v="13.26"/>
    <x v="87"/>
    <n v="12.360000000000001"/>
    <x v="0"/>
    <n v="0.13256113256113258"/>
  </r>
  <r>
    <x v="0"/>
    <x v="2"/>
    <n v="1.03"/>
    <n v="4.3499999999999996"/>
    <x v="1507"/>
    <n v="7.66"/>
    <n v="0.11"/>
    <n v="7.77"/>
    <n v="98.58"/>
    <n v="13.26"/>
    <x v="87"/>
    <n v="12.360000000000001"/>
    <x v="0"/>
    <n v="0.13256113256113258"/>
  </r>
  <r>
    <x v="0"/>
    <x v="5"/>
    <n v="1.02"/>
    <n v="4.33"/>
    <x v="1508"/>
    <n v="7.68"/>
    <n v="0.1"/>
    <n v="7.78"/>
    <n v="98.71"/>
    <n v="13.11"/>
    <x v="87"/>
    <n v="12.24"/>
    <x v="0"/>
    <n v="0.13110539845758354"/>
  </r>
  <r>
    <x v="0"/>
    <x v="7"/>
    <n v="0"/>
    <n v="0"/>
    <x v="0"/>
    <n v="7.54"/>
    <n v="0.5"/>
    <n v="8.0399999999999991"/>
    <n v="93.78"/>
    <n v="0"/>
    <x v="87"/>
    <n v="0"/>
    <x v="0"/>
    <n v="0"/>
  </r>
  <r>
    <x v="0"/>
    <x v="8"/>
    <n v="0"/>
    <n v="0"/>
    <x v="0"/>
    <n v="9.83"/>
    <n v="0.73"/>
    <n v="10.56"/>
    <n v="93.09"/>
    <n v="0"/>
    <x v="87"/>
    <n v="0"/>
    <x v="0"/>
    <n v="0"/>
  </r>
  <r>
    <x v="1"/>
    <x v="9"/>
    <n v="6.8333333329999997"/>
    <n v="1.57"/>
    <x v="1509"/>
    <n v="3.2"/>
    <n v="4.82"/>
    <n v="8.02"/>
    <n v="39.9"/>
    <n v="85.2"/>
    <x v="87"/>
    <n v="81.999999996"/>
    <x v="1"/>
    <n v="0.85203657518703246"/>
  </r>
  <r>
    <x v="1"/>
    <x v="10"/>
    <n v="8.1666666669999994"/>
    <n v="4.5199999999999996"/>
    <x v="1510"/>
    <n v="3.56"/>
    <n v="4.45"/>
    <n v="8.01"/>
    <n v="44.44"/>
    <n v="101.96"/>
    <x v="87"/>
    <n v="98.000000003999986"/>
    <x v="1"/>
    <n v="1.0195588847690387"/>
  </r>
  <r>
    <x v="2"/>
    <x v="15"/>
    <n v="0"/>
    <n v="0"/>
    <x v="0"/>
    <n v="8.9"/>
    <n v="0.17"/>
    <n v="9.07"/>
    <n v="98.13"/>
    <n v="0"/>
    <x v="87"/>
    <n v="0"/>
    <x v="3"/>
    <n v="0"/>
  </r>
  <r>
    <x v="2"/>
    <x v="17"/>
    <n v="0"/>
    <n v="0"/>
    <x v="0"/>
    <n v="0"/>
    <n v="9.2200000000000006"/>
    <n v="9.2200000000000006"/>
    <n v="0"/>
    <n v="0"/>
    <x v="87"/>
    <n v="0"/>
    <x v="3"/>
    <n v="0"/>
  </r>
  <r>
    <x v="2"/>
    <x v="19"/>
    <n v="5.1366666670000001"/>
    <n v="5.61"/>
    <x v="1511"/>
    <n v="7.65"/>
    <n v="0.62"/>
    <n v="8.27"/>
    <n v="92.5"/>
    <n v="62.11"/>
    <x v="87"/>
    <n v="61.640000004000001"/>
    <x v="2"/>
    <n v="0.62112051596130602"/>
  </r>
  <r>
    <x v="2"/>
    <x v="20"/>
    <n v="10.41666667"/>
    <n v="4.79"/>
    <x v="1512"/>
    <n v="6.59"/>
    <n v="1.71"/>
    <n v="8.3000000000000007"/>
    <n v="79.400000000000006"/>
    <n v="125.5"/>
    <x v="87"/>
    <n v="125.00000003999999"/>
    <x v="5"/>
    <n v="1.2550200807228915"/>
  </r>
  <r>
    <x v="2"/>
    <x v="24"/>
    <n v="6.3433333330000004"/>
    <n v="5.18"/>
    <x v="1513"/>
    <n v="7.64"/>
    <n v="0.13"/>
    <n v="7.77"/>
    <n v="98.33"/>
    <n v="81.64"/>
    <x v="87"/>
    <n v="76.119999996000004"/>
    <x v="5"/>
    <n v="0.81638781634491642"/>
  </r>
  <r>
    <x v="2"/>
    <x v="27"/>
    <n v="10.32"/>
    <n v="6.17"/>
    <x v="1514"/>
    <n v="8.9499999999999993"/>
    <n v="0.63"/>
    <n v="9.58"/>
    <n v="93.42"/>
    <n v="107.72"/>
    <x v="87"/>
    <n v="123.84"/>
    <x v="5"/>
    <n v="1.0772442588726514"/>
  </r>
  <r>
    <x v="2"/>
    <x v="29"/>
    <n v="13.5"/>
    <n v="6.96"/>
    <x v="1515"/>
    <n v="7.59"/>
    <n v="0.35"/>
    <n v="7.94"/>
    <n v="95.59"/>
    <n v="170.03"/>
    <x v="87"/>
    <n v="162"/>
    <x v="5"/>
    <n v="1.7002518891687657"/>
  </r>
  <r>
    <x v="2"/>
    <x v="30"/>
    <n v="0"/>
    <n v="0"/>
    <x v="0"/>
    <n v="5.77"/>
    <n v="1.1599999999999999"/>
    <n v="6.93"/>
    <n v="83.26"/>
    <n v="0"/>
    <x v="87"/>
    <n v="0"/>
    <x v="5"/>
    <n v="0"/>
  </r>
  <r>
    <x v="2"/>
    <x v="33"/>
    <n v="5.5733333329999999"/>
    <n v="6.78"/>
    <x v="1516"/>
    <n v="6.78"/>
    <n v="1.95"/>
    <n v="8.73"/>
    <n v="77.66"/>
    <n v="63.84"/>
    <x v="87"/>
    <n v="66.879999996000009"/>
    <x v="3"/>
    <n v="0.63841160744558989"/>
  </r>
  <r>
    <x v="2"/>
    <x v="34"/>
    <n v="3.8333333330000001"/>
    <n v="5.2"/>
    <x v="1517"/>
    <n v="9.15"/>
    <n v="0.22"/>
    <n v="9.3699999999999992"/>
    <n v="97.65"/>
    <n v="40.909999999999997"/>
    <x v="87"/>
    <n v="45.999999996"/>
    <x v="4"/>
    <n v="0.4091070792956244"/>
  </r>
  <r>
    <x v="2"/>
    <x v="35"/>
    <n v="23.213333330000001"/>
    <n v="9.08"/>
    <x v="1518"/>
    <n v="9.0299999999999994"/>
    <n v="0.26"/>
    <n v="9.2899999999999991"/>
    <n v="97.2"/>
    <n v="249.87"/>
    <x v="87"/>
    <n v="278.55999996000003"/>
    <x v="2"/>
    <n v="2.498744168998924"/>
  </r>
  <r>
    <x v="2"/>
    <x v="36"/>
    <n v="0"/>
    <n v="0"/>
    <x v="0"/>
    <n v="8.9"/>
    <n v="0.97"/>
    <n v="9.8699999999999992"/>
    <n v="90.17"/>
    <n v="0"/>
    <x v="87"/>
    <n v="0"/>
    <x v="4"/>
    <n v="0"/>
  </r>
  <r>
    <x v="2"/>
    <x v="44"/>
    <n v="1.9166666670000001"/>
    <n v="7.51"/>
    <x v="1519"/>
    <n v="7.39"/>
    <n v="0.81"/>
    <n v="8.1999999999999993"/>
    <n v="90.12"/>
    <n v="23.37"/>
    <x v="87"/>
    <n v="23.000000004"/>
    <x v="3"/>
    <n v="0.23373983743902443"/>
  </r>
  <r>
    <x v="2"/>
    <x v="48"/>
    <n v="0"/>
    <n v="0"/>
    <x v="0"/>
    <n v="0"/>
    <n v="0"/>
    <n v="0"/>
    <n v="0"/>
    <n v="0"/>
    <x v="87"/>
    <n v="0"/>
    <x v="6"/>
    <n v="0"/>
  </r>
  <r>
    <x v="2"/>
    <x v="49"/>
    <n v="3.6666666669999999"/>
    <n v="5.64"/>
    <x v="1520"/>
    <n v="6.52"/>
    <n v="1.64"/>
    <n v="8.16"/>
    <n v="79.900000000000006"/>
    <n v="44.93"/>
    <x v="87"/>
    <n v="44.000000004"/>
    <x v="3"/>
    <n v="0.44934640526960784"/>
  </r>
  <r>
    <x v="0"/>
    <x v="2"/>
    <n v="1.59"/>
    <n v="5.53"/>
    <x v="1521"/>
    <n v="7.83"/>
    <n v="0.2"/>
    <n v="8.0299999999999994"/>
    <n v="97.51"/>
    <n v="19.8"/>
    <x v="88"/>
    <n v="19.080000000000002"/>
    <x v="0"/>
    <n v="0.19800747198007473"/>
  </r>
  <r>
    <x v="0"/>
    <x v="5"/>
    <n v="2.74"/>
    <n v="7.19"/>
    <x v="1522"/>
    <n v="7.85"/>
    <n v="0.19"/>
    <n v="8.0399999999999991"/>
    <n v="97.64"/>
    <n v="34.08"/>
    <x v="88"/>
    <n v="32.880000000000003"/>
    <x v="0"/>
    <n v="0.34079601990049757"/>
  </r>
  <r>
    <x v="0"/>
    <x v="7"/>
    <n v="0"/>
    <n v="0"/>
    <x v="0"/>
    <n v="7.57"/>
    <n v="0.48"/>
    <n v="8.0500000000000007"/>
    <n v="94.04"/>
    <n v="0"/>
    <x v="88"/>
    <n v="0"/>
    <x v="0"/>
    <n v="0"/>
  </r>
  <r>
    <x v="1"/>
    <x v="9"/>
    <n v="8.0833333330000006"/>
    <n v="1.6"/>
    <x v="1523"/>
    <n v="4.05"/>
    <n v="4.07"/>
    <n v="8.1199999999999992"/>
    <n v="49.88"/>
    <n v="99.55"/>
    <x v="88"/>
    <n v="96.999999996000014"/>
    <x v="1"/>
    <n v="0.99548440061576371"/>
  </r>
  <r>
    <x v="1"/>
    <x v="12"/>
    <n v="2.96"/>
    <n v="7.67"/>
    <x v="1524"/>
    <n v="7.95"/>
    <n v="0.21"/>
    <n v="8.16"/>
    <n v="97.43"/>
    <n v="36.270000000000003"/>
    <x v="88"/>
    <n v="35.519999999999996"/>
    <x v="1"/>
    <n v="0.36274509803921567"/>
  </r>
  <r>
    <x v="2"/>
    <x v="15"/>
    <n v="1.3333333329999999"/>
    <n v="2.56"/>
    <x v="508"/>
    <n v="7.46"/>
    <n v="0.7"/>
    <n v="8.16"/>
    <n v="91.42"/>
    <n v="16.34"/>
    <x v="88"/>
    <n v="15.999999996"/>
    <x v="3"/>
    <n v="0.16339869276960783"/>
  </r>
  <r>
    <x v="2"/>
    <x v="16"/>
    <n v="2.13"/>
    <n v="3.7"/>
    <x v="1525"/>
    <n v="6.88"/>
    <n v="1.19"/>
    <n v="8.07"/>
    <n v="85.25"/>
    <n v="26.39"/>
    <x v="88"/>
    <n v="25.56"/>
    <x v="4"/>
    <n v="0.26394052044609662"/>
  </r>
  <r>
    <x v="2"/>
    <x v="17"/>
    <n v="0"/>
    <n v="0"/>
    <x v="0"/>
    <n v="1.53"/>
    <n v="6.63"/>
    <n v="8.16"/>
    <n v="18.75"/>
    <n v="0"/>
    <x v="88"/>
    <n v="0"/>
    <x v="3"/>
    <n v="0"/>
  </r>
  <r>
    <x v="2"/>
    <x v="18"/>
    <n v="5.3333333329999997"/>
    <n v="5.79"/>
    <x v="1526"/>
    <n v="7.98"/>
    <n v="2.2200000000000002"/>
    <n v="10.199999999999999"/>
    <n v="78.239999999999995"/>
    <n v="52.29"/>
    <x v="88"/>
    <n v="63.999999996"/>
    <x v="3"/>
    <n v="0.52287581696078433"/>
  </r>
  <r>
    <x v="2"/>
    <x v="21"/>
    <n v="16.323333330000001"/>
    <n v="6.98"/>
    <x v="1527"/>
    <n v="6.23"/>
    <n v="1.75"/>
    <n v="7.98"/>
    <n v="78.069999999999993"/>
    <n v="204.55"/>
    <x v="88"/>
    <n v="195.87999996000002"/>
    <x v="2"/>
    <n v="2.0455304924812028"/>
  </r>
  <r>
    <x v="2"/>
    <x v="22"/>
    <n v="3.5833333330000001"/>
    <n v="5.8"/>
    <x v="1528"/>
    <n v="6.23"/>
    <n v="1.84"/>
    <n v="8.07"/>
    <n v="77.2"/>
    <n v="44.4"/>
    <x v="88"/>
    <n v="42.999999996"/>
    <x v="4"/>
    <n v="0.44403139194547708"/>
  </r>
  <r>
    <x v="2"/>
    <x v="26"/>
    <n v="8.5"/>
    <n v="5.66"/>
    <x v="1529"/>
    <n v="6.85"/>
    <n v="1.28"/>
    <n v="8.1300000000000008"/>
    <n v="84.26"/>
    <n v="104.55"/>
    <x v="88"/>
    <n v="102"/>
    <x v="3"/>
    <n v="1.0455104551045509"/>
  </r>
  <r>
    <x v="2"/>
    <x v="27"/>
    <n v="2.61"/>
    <n v="1.62"/>
    <x v="1530"/>
    <n v="6.19"/>
    <n v="1.86"/>
    <n v="8.0500000000000007"/>
    <n v="76.89"/>
    <n v="32.42"/>
    <x v="88"/>
    <n v="31.32"/>
    <x v="5"/>
    <n v="0.32422360248447202"/>
  </r>
  <r>
    <x v="2"/>
    <x v="30"/>
    <n v="9.9333333330000002"/>
    <n v="7.36"/>
    <x v="1531"/>
    <n v="7.57"/>
    <n v="0.67"/>
    <n v="8.24"/>
    <n v="91.87"/>
    <n v="120.55"/>
    <x v="88"/>
    <n v="119.199999996"/>
    <x v="5"/>
    <n v="1.2055016180825242"/>
  </r>
  <r>
    <x v="2"/>
    <x v="31"/>
    <n v="0"/>
    <n v="0"/>
    <x v="0"/>
    <n v="0"/>
    <n v="0"/>
    <n v="0"/>
    <n v="0"/>
    <n v="0"/>
    <x v="88"/>
    <n v="0"/>
    <x v="2"/>
    <n v="0"/>
  </r>
  <r>
    <x v="2"/>
    <x v="32"/>
    <n v="0"/>
    <n v="0"/>
    <x v="0"/>
    <n v="5.0599999999999996"/>
    <n v="2.98"/>
    <n v="8.0399999999999991"/>
    <n v="62.94"/>
    <n v="0"/>
    <x v="88"/>
    <n v="0"/>
    <x v="3"/>
    <n v="0"/>
  </r>
  <r>
    <x v="2"/>
    <x v="33"/>
    <n v="1.5"/>
    <n v="1.08"/>
    <x v="1532"/>
    <n v="4.37"/>
    <n v="5.82"/>
    <n v="10.19"/>
    <n v="42.89"/>
    <n v="14.72"/>
    <x v="88"/>
    <n v="18"/>
    <x v="3"/>
    <n v="0.14720314033366047"/>
  </r>
  <r>
    <x v="2"/>
    <x v="34"/>
    <n v="0"/>
    <n v="0"/>
    <x v="0"/>
    <n v="0"/>
    <n v="0"/>
    <n v="0"/>
    <n v="0"/>
    <n v="0"/>
    <x v="88"/>
    <n v="0"/>
    <x v="4"/>
    <n v="0"/>
  </r>
  <r>
    <x v="2"/>
    <x v="36"/>
    <n v="0"/>
    <n v="0"/>
    <x v="0"/>
    <n v="7.61"/>
    <n v="0.46"/>
    <n v="8.07"/>
    <n v="94.3"/>
    <n v="0"/>
    <x v="88"/>
    <n v="0"/>
    <x v="4"/>
    <n v="0"/>
  </r>
  <r>
    <x v="2"/>
    <x v="37"/>
    <n v="2.25"/>
    <n v="3.8"/>
    <x v="1533"/>
    <n v="6.03"/>
    <n v="2.04"/>
    <n v="8.07"/>
    <n v="74.72"/>
    <n v="27.88"/>
    <x v="88"/>
    <n v="27"/>
    <x v="4"/>
    <n v="0.27881040892193309"/>
  </r>
  <r>
    <x v="2"/>
    <x v="38"/>
    <n v="14.91666667"/>
    <n v="7.57"/>
    <x v="1534"/>
    <n v="8.92"/>
    <n v="0.09"/>
    <n v="9.01"/>
    <n v="99"/>
    <n v="165.56"/>
    <x v="88"/>
    <n v="179.00000003999997"/>
    <x v="2"/>
    <n v="1.6555678879023308"/>
  </r>
  <r>
    <x v="2"/>
    <x v="39"/>
    <n v="14.91666667"/>
    <n v="7.63"/>
    <x v="1535"/>
    <n v="6.14"/>
    <n v="1.75"/>
    <n v="7.89"/>
    <n v="77.819999999999993"/>
    <n v="189.06"/>
    <x v="88"/>
    <n v="179.00000003999997"/>
    <x v="2"/>
    <n v="1.8905787921419519"/>
  </r>
  <r>
    <x v="2"/>
    <x v="40"/>
    <n v="1"/>
    <n v="0.6"/>
    <x v="512"/>
    <n v="4.6100000000000003"/>
    <n v="3.49"/>
    <n v="8.1"/>
    <n v="56.91"/>
    <n v="12.35"/>
    <x v="88"/>
    <n v="12"/>
    <x v="3"/>
    <n v="0.1234567901234568"/>
  </r>
  <r>
    <x v="2"/>
    <x v="47"/>
    <n v="14.91666667"/>
    <n v="3.25"/>
    <x v="1536"/>
    <n v="6.78"/>
    <n v="1.19"/>
    <n v="7.97"/>
    <n v="85.07"/>
    <n v="187.16"/>
    <x v="88"/>
    <n v="179.00000003999997"/>
    <x v="5"/>
    <n v="1.8716018406524466"/>
  </r>
  <r>
    <x v="2"/>
    <x v="48"/>
    <n v="0"/>
    <n v="0"/>
    <x v="0"/>
    <n v="0"/>
    <n v="0"/>
    <n v="0"/>
    <n v="0"/>
    <n v="0"/>
    <x v="88"/>
    <n v="0"/>
    <x v="6"/>
    <n v="0"/>
  </r>
  <r>
    <x v="0"/>
    <x v="0"/>
    <n v="0"/>
    <n v="0"/>
    <x v="0"/>
    <n v="6.87"/>
    <n v="1.27"/>
    <n v="8.14"/>
    <n v="84.4"/>
    <n v="0"/>
    <x v="89"/>
    <n v="0"/>
    <x v="0"/>
    <n v="0"/>
  </r>
  <r>
    <x v="0"/>
    <x v="1"/>
    <n v="0"/>
    <n v="0"/>
    <x v="0"/>
    <n v="0"/>
    <n v="0"/>
    <n v="0"/>
    <n v="0"/>
    <n v="0"/>
    <x v="89"/>
    <n v="0"/>
    <x v="0"/>
    <n v="0"/>
  </r>
  <r>
    <x v="0"/>
    <x v="2"/>
    <n v="0"/>
    <n v="0"/>
    <x v="0"/>
    <n v="0"/>
    <n v="0"/>
    <n v="0"/>
    <n v="0"/>
    <n v="0"/>
    <x v="89"/>
    <n v="0"/>
    <x v="0"/>
    <n v="0"/>
  </r>
  <r>
    <x v="0"/>
    <x v="3"/>
    <n v="0"/>
    <n v="0"/>
    <x v="0"/>
    <n v="0"/>
    <n v="0"/>
    <n v="0"/>
    <n v="0"/>
    <n v="0"/>
    <x v="89"/>
    <n v="0"/>
    <x v="0"/>
    <n v="0"/>
  </r>
  <r>
    <x v="0"/>
    <x v="4"/>
    <n v="0"/>
    <n v="0"/>
    <x v="0"/>
    <n v="0"/>
    <n v="0"/>
    <n v="0"/>
    <n v="0"/>
    <n v="0"/>
    <x v="89"/>
    <n v="0"/>
    <x v="0"/>
    <n v="0"/>
  </r>
  <r>
    <x v="0"/>
    <x v="5"/>
    <n v="0"/>
    <n v="0"/>
    <x v="0"/>
    <n v="0"/>
    <n v="0"/>
    <n v="0"/>
    <n v="0"/>
    <n v="0"/>
    <x v="89"/>
    <n v="0"/>
    <x v="0"/>
    <n v="0"/>
  </r>
  <r>
    <x v="0"/>
    <x v="6"/>
    <n v="0"/>
    <n v="0"/>
    <x v="0"/>
    <n v="6.37"/>
    <n v="1.77"/>
    <n v="8.14"/>
    <n v="78.260000000000005"/>
    <n v="0"/>
    <x v="89"/>
    <n v="0"/>
    <x v="0"/>
    <n v="0"/>
  </r>
  <r>
    <x v="0"/>
    <x v="7"/>
    <n v="0"/>
    <n v="0"/>
    <x v="0"/>
    <n v="0"/>
    <n v="0"/>
    <n v="0"/>
    <n v="0"/>
    <n v="0"/>
    <x v="89"/>
    <n v="0"/>
    <x v="0"/>
    <n v="0"/>
  </r>
  <r>
    <x v="0"/>
    <x v="8"/>
    <n v="0"/>
    <n v="0"/>
    <x v="0"/>
    <n v="0"/>
    <n v="0"/>
    <n v="0"/>
    <n v="0"/>
    <n v="0"/>
    <x v="89"/>
    <n v="0"/>
    <x v="0"/>
    <n v="0"/>
  </r>
  <r>
    <x v="1"/>
    <x v="9"/>
    <n v="0"/>
    <n v="0"/>
    <x v="0"/>
    <n v="0"/>
    <n v="0"/>
    <n v="0"/>
    <n v="0"/>
    <n v="0"/>
    <x v="89"/>
    <n v="0"/>
    <x v="1"/>
    <n v="0"/>
  </r>
  <r>
    <x v="1"/>
    <x v="10"/>
    <n v="0"/>
    <n v="0"/>
    <x v="0"/>
    <n v="6.96"/>
    <n v="1.2"/>
    <n v="8.16"/>
    <n v="85.29"/>
    <n v="0"/>
    <x v="89"/>
    <n v="0"/>
    <x v="1"/>
    <n v="0"/>
  </r>
  <r>
    <x v="1"/>
    <x v="11"/>
    <n v="0"/>
    <n v="0"/>
    <x v="0"/>
    <n v="4.4800000000000004"/>
    <n v="3.69"/>
    <n v="8.17"/>
    <n v="54.83"/>
    <n v="0"/>
    <x v="89"/>
    <n v="0"/>
    <x v="1"/>
    <n v="0"/>
  </r>
  <r>
    <x v="1"/>
    <x v="12"/>
    <n v="0"/>
    <n v="0"/>
    <x v="0"/>
    <n v="0"/>
    <n v="0"/>
    <n v="0"/>
    <n v="0"/>
    <n v="0"/>
    <x v="89"/>
    <n v="0"/>
    <x v="1"/>
    <n v="0"/>
  </r>
  <r>
    <x v="1"/>
    <x v="13"/>
    <n v="0"/>
    <n v="0"/>
    <x v="0"/>
    <n v="0"/>
    <n v="0"/>
    <n v="0"/>
    <n v="0"/>
    <n v="0"/>
    <x v="89"/>
    <n v="0"/>
    <x v="1"/>
    <n v="0"/>
  </r>
  <r>
    <x v="2"/>
    <x v="16"/>
    <n v="0"/>
    <n v="0"/>
    <x v="0"/>
    <n v="0"/>
    <n v="0"/>
    <n v="0"/>
    <n v="0"/>
    <n v="0"/>
    <x v="89"/>
    <n v="0"/>
    <x v="4"/>
    <n v="0"/>
  </r>
  <r>
    <x v="2"/>
    <x v="17"/>
    <n v="0"/>
    <n v="0"/>
    <x v="0"/>
    <n v="0"/>
    <n v="0"/>
    <n v="0"/>
    <n v="0"/>
    <n v="0"/>
    <x v="89"/>
    <n v="0"/>
    <x v="3"/>
    <n v="0"/>
  </r>
  <r>
    <x v="2"/>
    <x v="18"/>
    <n v="7.58"/>
    <n v="5.34"/>
    <x v="1537"/>
    <n v="5.34"/>
    <n v="2.77"/>
    <n v="8.11"/>
    <n v="65.84"/>
    <n v="93.46"/>
    <x v="89"/>
    <n v="90.960000000000008"/>
    <x v="3"/>
    <n v="0.93464858199753398"/>
  </r>
  <r>
    <x v="2"/>
    <x v="19"/>
    <n v="3.9166666669999999"/>
    <n v="2.4300000000000002"/>
    <x v="1538"/>
    <n v="5.58"/>
    <n v="2.4300000000000002"/>
    <n v="8.01"/>
    <n v="69.66"/>
    <n v="48.9"/>
    <x v="89"/>
    <n v="47.000000004"/>
    <x v="2"/>
    <n v="0.48897211822721598"/>
  </r>
  <r>
    <x v="2"/>
    <x v="20"/>
    <n v="6.94"/>
    <n v="5.16"/>
    <x v="1539"/>
    <n v="4.8099999999999996"/>
    <n v="3.23"/>
    <n v="8.0399999999999991"/>
    <n v="59.83"/>
    <n v="86.32"/>
    <x v="89"/>
    <n v="83.28"/>
    <x v="5"/>
    <n v="0.86318407960199017"/>
  </r>
  <r>
    <x v="2"/>
    <x v="22"/>
    <n v="7.2033333329999998"/>
    <n v="3.51"/>
    <x v="1540"/>
    <n v="3.98"/>
    <n v="4.05"/>
    <n v="8.0299999999999994"/>
    <n v="49.56"/>
    <n v="89.71"/>
    <x v="89"/>
    <n v="86.439999995999997"/>
    <x v="4"/>
    <n v="0.89705271892901628"/>
  </r>
  <r>
    <x v="2"/>
    <x v="23"/>
    <n v="0.4"/>
    <n v="1.08"/>
    <x v="1541"/>
    <n v="3.26"/>
    <n v="4.78"/>
    <n v="8.0399999999999991"/>
    <n v="40.549999999999997"/>
    <n v="4.9800000000000004"/>
    <x v="89"/>
    <n v="4.8"/>
    <x v="3"/>
    <n v="4.9751243781094537E-2"/>
  </r>
  <r>
    <x v="2"/>
    <x v="24"/>
    <n v="3.98"/>
    <n v="3.91"/>
    <x v="1542"/>
    <n v="7.71"/>
    <n v="0.3"/>
    <n v="8.01"/>
    <n v="96.25"/>
    <n v="49.69"/>
    <x v="89"/>
    <n v="47.760000000000005"/>
    <x v="5"/>
    <n v="0.49687890137328339"/>
  </r>
  <r>
    <x v="2"/>
    <x v="25"/>
    <n v="3.8033333329999999"/>
    <n v="3.67"/>
    <x v="1543"/>
    <n v="3.67"/>
    <n v="4.3499999999999996"/>
    <n v="8.02"/>
    <n v="45.76"/>
    <n v="47.42"/>
    <x v="89"/>
    <n v="45.639999996"/>
    <x v="2"/>
    <n v="0.47423108890274313"/>
  </r>
  <r>
    <x v="2"/>
    <x v="26"/>
    <n v="2.4300000000000002"/>
    <n v="2.71"/>
    <x v="1544"/>
    <n v="4.13"/>
    <n v="3.9"/>
    <n v="8.0299999999999994"/>
    <n v="51.43"/>
    <n v="30.26"/>
    <x v="89"/>
    <n v="29.160000000000004"/>
    <x v="3"/>
    <n v="0.30261519302615197"/>
  </r>
  <r>
    <x v="2"/>
    <x v="27"/>
    <n v="5.24"/>
    <n v="3.79"/>
    <x v="1545"/>
    <n v="7.74"/>
    <n v="0.32"/>
    <n v="8.06"/>
    <n v="96.03"/>
    <n v="65.010000000000005"/>
    <x v="89"/>
    <n v="62.88000000000001"/>
    <x v="5"/>
    <n v="0.65012406947890822"/>
  </r>
  <r>
    <x v="2"/>
    <x v="29"/>
    <n v="1.71"/>
    <n v="2.4"/>
    <x v="1546"/>
    <n v="4.13"/>
    <n v="3.89"/>
    <n v="8.02"/>
    <n v="51.5"/>
    <n v="21.32"/>
    <x v="89"/>
    <n v="20.52"/>
    <x v="5"/>
    <n v="0.21321695760598505"/>
  </r>
  <r>
    <x v="2"/>
    <x v="30"/>
    <n v="10.18"/>
    <n v="5.41"/>
    <x v="1547"/>
    <n v="3.62"/>
    <n v="4.41"/>
    <n v="8.0299999999999994"/>
    <n v="45.08"/>
    <n v="126.77"/>
    <x v="89"/>
    <n v="122.16"/>
    <x v="5"/>
    <n v="1.2677459526774595"/>
  </r>
  <r>
    <x v="2"/>
    <x v="31"/>
    <n v="0"/>
    <n v="0"/>
    <x v="0"/>
    <n v="0"/>
    <n v="0"/>
    <n v="0"/>
    <n v="0"/>
    <n v="0"/>
    <x v="89"/>
    <n v="0"/>
    <x v="2"/>
    <n v="0"/>
  </r>
  <r>
    <x v="2"/>
    <x v="32"/>
    <n v="0"/>
    <n v="0"/>
    <x v="0"/>
    <n v="0"/>
    <n v="0"/>
    <n v="0"/>
    <n v="0"/>
    <n v="0"/>
    <x v="89"/>
    <n v="0"/>
    <x v="3"/>
    <n v="0"/>
  </r>
  <r>
    <x v="2"/>
    <x v="33"/>
    <n v="0"/>
    <n v="0"/>
    <x v="0"/>
    <n v="0"/>
    <n v="0"/>
    <n v="0"/>
    <n v="0"/>
    <n v="0"/>
    <x v="89"/>
    <n v="0"/>
    <x v="3"/>
    <n v="0"/>
  </r>
  <r>
    <x v="2"/>
    <x v="34"/>
    <n v="3.9"/>
    <n v="3.59"/>
    <x v="1548"/>
    <n v="3.59"/>
    <n v="4.43"/>
    <n v="8.02"/>
    <n v="44.76"/>
    <n v="48.63"/>
    <x v="89"/>
    <n v="46.8"/>
    <x v="4"/>
    <n v="0.486284289276808"/>
  </r>
  <r>
    <x v="2"/>
    <x v="36"/>
    <n v="0"/>
    <n v="0"/>
    <x v="0"/>
    <n v="0"/>
    <n v="0"/>
    <n v="0"/>
    <n v="0"/>
    <n v="0"/>
    <x v="89"/>
    <n v="0"/>
    <x v="4"/>
    <n v="0"/>
  </r>
  <r>
    <x v="2"/>
    <x v="37"/>
    <n v="0"/>
    <n v="0"/>
    <x v="0"/>
    <n v="0"/>
    <n v="0"/>
    <n v="0"/>
    <n v="0"/>
    <n v="0"/>
    <x v="89"/>
    <n v="0"/>
    <x v="4"/>
    <n v="0"/>
  </r>
  <r>
    <x v="2"/>
    <x v="39"/>
    <n v="4.9366666669999999"/>
    <n v="4.5"/>
    <x v="1549"/>
    <n v="4.5"/>
    <n v="3.55"/>
    <n v="8.0500000000000007"/>
    <n v="55.9"/>
    <n v="61.33"/>
    <x v="89"/>
    <n v="59.240000004000002"/>
    <x v="2"/>
    <n v="0.61325051763975147"/>
  </r>
  <r>
    <x v="2"/>
    <x v="40"/>
    <n v="0"/>
    <n v="0"/>
    <x v="0"/>
    <n v="0"/>
    <n v="0"/>
    <n v="0"/>
    <n v="0"/>
    <n v="0"/>
    <x v="89"/>
    <n v="0"/>
    <x v="3"/>
    <n v="0"/>
  </r>
  <r>
    <x v="2"/>
    <x v="41"/>
    <n v="0"/>
    <n v="0"/>
    <x v="0"/>
    <n v="0"/>
    <n v="0"/>
    <n v="0"/>
    <n v="0"/>
    <n v="0"/>
    <x v="89"/>
    <n v="0"/>
    <x v="5"/>
    <n v="0"/>
  </r>
  <r>
    <x v="2"/>
    <x v="42"/>
    <n v="4.6666666670000003"/>
    <n v="2.48"/>
    <x v="1550"/>
    <n v="4.0599999999999996"/>
    <n v="3.96"/>
    <n v="8.02"/>
    <n v="50.62"/>
    <n v="58.19"/>
    <x v="89"/>
    <n v="56.000000004"/>
    <x v="2"/>
    <n v="0.58187863678304241"/>
  </r>
  <r>
    <x v="2"/>
    <x v="43"/>
    <n v="7.9166666670000003"/>
    <n v="4.17"/>
    <x v="1551"/>
    <n v="4.17"/>
    <n v="3.86"/>
    <n v="8.0299999999999994"/>
    <n v="51.93"/>
    <n v="98.59"/>
    <x v="89"/>
    <n v="95.000000004"/>
    <x v="3"/>
    <n v="0.98588625990037371"/>
  </r>
  <r>
    <x v="2"/>
    <x v="44"/>
    <n v="0"/>
    <n v="0"/>
    <x v="0"/>
    <n v="0"/>
    <n v="0"/>
    <n v="0"/>
    <n v="0"/>
    <n v="0"/>
    <x v="89"/>
    <n v="0"/>
    <x v="3"/>
    <n v="0"/>
  </r>
  <r>
    <x v="2"/>
    <x v="46"/>
    <n v="0"/>
    <n v="0"/>
    <x v="0"/>
    <n v="0"/>
    <n v="0"/>
    <n v="0"/>
    <n v="0"/>
    <n v="0"/>
    <x v="89"/>
    <n v="0"/>
    <x v="4"/>
    <n v="0"/>
  </r>
  <r>
    <x v="2"/>
    <x v="47"/>
    <n v="5.75"/>
    <n v="3.07"/>
    <x v="1552"/>
    <n v="5.68"/>
    <n v="2.35"/>
    <n v="8.0299999999999994"/>
    <n v="70.73"/>
    <n v="71.61"/>
    <x v="89"/>
    <n v="69"/>
    <x v="5"/>
    <n v="0.71606475716064766"/>
  </r>
  <r>
    <x v="2"/>
    <x v="48"/>
    <n v="0"/>
    <n v="0"/>
    <x v="0"/>
    <n v="0"/>
    <n v="0"/>
    <n v="0"/>
    <n v="0"/>
    <n v="0"/>
    <x v="89"/>
    <n v="0"/>
    <x v="6"/>
    <n v="0"/>
  </r>
  <r>
    <x v="2"/>
    <x v="49"/>
    <n v="7.5733333329999999"/>
    <n v="4.87"/>
    <x v="1553"/>
    <n v="4.87"/>
    <n v="3.15"/>
    <n v="8.02"/>
    <n v="60.72"/>
    <n v="94.43"/>
    <x v="89"/>
    <n v="90.879999996000009"/>
    <x v="3"/>
    <n v="0.94430590187032426"/>
  </r>
  <r>
    <x v="2"/>
    <x v="50"/>
    <n v="0"/>
    <n v="0"/>
    <x v="0"/>
    <n v="0"/>
    <n v="0"/>
    <n v="0"/>
    <n v="0"/>
    <n v="0"/>
    <x v="89"/>
    <n v="0"/>
    <x v="4"/>
    <n v="0"/>
  </r>
  <r>
    <x v="0"/>
    <x v="0"/>
    <n v="0"/>
    <n v="0"/>
    <x v="0"/>
    <n v="0"/>
    <n v="0"/>
    <n v="0"/>
    <n v="0"/>
    <n v="0"/>
    <x v="90"/>
    <n v="0"/>
    <x v="0"/>
    <n v="0"/>
  </r>
  <r>
    <x v="0"/>
    <x v="1"/>
    <n v="0"/>
    <n v="0"/>
    <x v="0"/>
    <n v="0"/>
    <n v="0"/>
    <n v="0"/>
    <n v="0"/>
    <n v="0"/>
    <x v="90"/>
    <n v="0"/>
    <x v="0"/>
    <n v="0"/>
  </r>
  <r>
    <x v="0"/>
    <x v="2"/>
    <n v="0"/>
    <n v="0"/>
    <x v="0"/>
    <n v="0"/>
    <n v="0"/>
    <n v="0"/>
    <n v="0"/>
    <n v="0"/>
    <x v="90"/>
    <n v="0"/>
    <x v="0"/>
    <n v="0"/>
  </r>
  <r>
    <x v="0"/>
    <x v="3"/>
    <n v="0"/>
    <n v="0"/>
    <x v="0"/>
    <n v="0"/>
    <n v="0"/>
    <n v="0"/>
    <n v="0"/>
    <n v="0"/>
    <x v="90"/>
    <n v="0"/>
    <x v="0"/>
    <n v="0"/>
  </r>
  <r>
    <x v="0"/>
    <x v="4"/>
    <n v="0"/>
    <n v="0"/>
    <x v="0"/>
    <n v="0"/>
    <n v="0"/>
    <n v="0"/>
    <n v="0"/>
    <n v="0"/>
    <x v="90"/>
    <n v="0"/>
    <x v="0"/>
    <n v="0"/>
  </r>
  <r>
    <x v="0"/>
    <x v="5"/>
    <n v="0"/>
    <n v="0"/>
    <x v="0"/>
    <n v="0"/>
    <n v="0"/>
    <n v="0"/>
    <n v="0"/>
    <n v="0"/>
    <x v="90"/>
    <n v="0"/>
    <x v="0"/>
    <n v="0"/>
  </r>
  <r>
    <x v="0"/>
    <x v="6"/>
    <n v="0"/>
    <n v="0"/>
    <x v="0"/>
    <n v="0"/>
    <n v="0"/>
    <n v="0"/>
    <n v="0"/>
    <n v="0"/>
    <x v="90"/>
    <n v="0"/>
    <x v="0"/>
    <n v="0"/>
  </r>
  <r>
    <x v="0"/>
    <x v="7"/>
    <n v="0"/>
    <n v="0"/>
    <x v="0"/>
    <n v="0"/>
    <n v="0"/>
    <n v="0"/>
    <n v="0"/>
    <n v="0"/>
    <x v="90"/>
    <n v="0"/>
    <x v="0"/>
    <n v="0"/>
  </r>
  <r>
    <x v="0"/>
    <x v="8"/>
    <n v="0"/>
    <n v="0"/>
    <x v="0"/>
    <n v="0"/>
    <n v="0"/>
    <n v="0"/>
    <n v="0"/>
    <n v="0"/>
    <x v="90"/>
    <n v="0"/>
    <x v="0"/>
    <n v="0"/>
  </r>
  <r>
    <x v="1"/>
    <x v="9"/>
    <n v="0"/>
    <n v="0"/>
    <x v="0"/>
    <n v="0"/>
    <n v="0"/>
    <n v="0"/>
    <n v="0"/>
    <n v="0"/>
    <x v="90"/>
    <n v="0"/>
    <x v="1"/>
    <n v="0"/>
  </r>
  <r>
    <x v="1"/>
    <x v="10"/>
    <n v="0"/>
    <n v="0"/>
    <x v="0"/>
    <n v="0"/>
    <n v="0"/>
    <n v="0"/>
    <n v="0"/>
    <n v="0"/>
    <x v="90"/>
    <n v="0"/>
    <x v="1"/>
    <n v="0"/>
  </r>
  <r>
    <x v="1"/>
    <x v="11"/>
    <n v="0"/>
    <n v="0"/>
    <x v="0"/>
    <n v="0"/>
    <n v="0"/>
    <n v="0"/>
    <n v="0"/>
    <n v="0"/>
    <x v="90"/>
    <n v="0"/>
    <x v="1"/>
    <n v="0"/>
  </r>
  <r>
    <x v="1"/>
    <x v="12"/>
    <n v="0"/>
    <n v="0"/>
    <x v="0"/>
    <n v="0"/>
    <n v="0"/>
    <n v="0"/>
    <n v="0"/>
    <n v="0"/>
    <x v="90"/>
    <n v="0"/>
    <x v="1"/>
    <n v="0"/>
  </r>
  <r>
    <x v="1"/>
    <x v="13"/>
    <n v="0"/>
    <n v="0"/>
    <x v="0"/>
    <n v="0"/>
    <n v="0"/>
    <n v="0"/>
    <n v="0"/>
    <n v="0"/>
    <x v="90"/>
    <n v="0"/>
    <x v="1"/>
    <n v="0"/>
  </r>
  <r>
    <x v="2"/>
    <x v="14"/>
    <n v="0"/>
    <n v="0"/>
    <x v="0"/>
    <n v="0"/>
    <n v="0"/>
    <n v="0"/>
    <n v="0"/>
    <n v="0"/>
    <x v="90"/>
    <n v="0"/>
    <x v="2"/>
    <n v="0"/>
  </r>
  <r>
    <x v="2"/>
    <x v="15"/>
    <n v="0"/>
    <n v="0"/>
    <x v="0"/>
    <n v="0"/>
    <n v="0"/>
    <n v="0"/>
    <n v="0"/>
    <n v="0"/>
    <x v="90"/>
    <n v="0"/>
    <x v="3"/>
    <n v="0"/>
  </r>
  <r>
    <x v="2"/>
    <x v="16"/>
    <n v="0"/>
    <n v="0"/>
    <x v="0"/>
    <n v="0"/>
    <n v="0"/>
    <n v="0"/>
    <n v="0"/>
    <n v="0"/>
    <x v="90"/>
    <n v="0"/>
    <x v="4"/>
    <n v="0"/>
  </r>
  <r>
    <x v="2"/>
    <x v="17"/>
    <n v="0"/>
    <n v="0"/>
    <x v="0"/>
    <n v="0"/>
    <n v="0"/>
    <n v="0"/>
    <n v="0"/>
    <n v="0"/>
    <x v="90"/>
    <n v="0"/>
    <x v="3"/>
    <n v="0"/>
  </r>
  <r>
    <x v="2"/>
    <x v="18"/>
    <n v="0"/>
    <n v="0"/>
    <x v="0"/>
    <n v="0"/>
    <n v="0"/>
    <n v="0"/>
    <n v="0"/>
    <n v="0"/>
    <x v="90"/>
    <n v="0"/>
    <x v="3"/>
    <n v="0"/>
  </r>
  <r>
    <x v="2"/>
    <x v="19"/>
    <n v="0"/>
    <n v="0"/>
    <x v="0"/>
    <n v="0"/>
    <n v="0"/>
    <n v="0"/>
    <n v="0"/>
    <n v="0"/>
    <x v="90"/>
    <n v="0"/>
    <x v="2"/>
    <n v="0"/>
  </r>
  <r>
    <x v="2"/>
    <x v="20"/>
    <n v="0"/>
    <n v="0"/>
    <x v="0"/>
    <n v="0"/>
    <n v="0"/>
    <n v="0"/>
    <n v="0"/>
    <n v="0"/>
    <x v="90"/>
    <n v="0"/>
    <x v="5"/>
    <n v="0"/>
  </r>
  <r>
    <x v="2"/>
    <x v="21"/>
    <n v="0"/>
    <n v="0"/>
    <x v="0"/>
    <n v="0"/>
    <n v="0"/>
    <n v="0"/>
    <n v="0"/>
    <n v="0"/>
    <x v="90"/>
    <n v="0"/>
    <x v="2"/>
    <n v="0"/>
  </r>
  <r>
    <x v="2"/>
    <x v="22"/>
    <n v="0"/>
    <n v="0"/>
    <x v="0"/>
    <n v="0"/>
    <n v="0"/>
    <n v="0"/>
    <n v="0"/>
    <n v="0"/>
    <x v="90"/>
    <n v="0"/>
    <x v="4"/>
    <n v="0"/>
  </r>
  <r>
    <x v="2"/>
    <x v="23"/>
    <n v="0"/>
    <n v="0"/>
    <x v="0"/>
    <n v="0"/>
    <n v="0"/>
    <n v="0"/>
    <n v="0"/>
    <n v="0"/>
    <x v="90"/>
    <n v="0"/>
    <x v="3"/>
    <n v="0"/>
  </r>
  <r>
    <x v="2"/>
    <x v="24"/>
    <n v="0"/>
    <n v="0"/>
    <x v="0"/>
    <n v="0"/>
    <n v="0"/>
    <n v="0"/>
    <n v="0"/>
    <n v="0"/>
    <x v="90"/>
    <n v="0"/>
    <x v="5"/>
    <n v="0"/>
  </r>
  <r>
    <x v="2"/>
    <x v="25"/>
    <n v="0"/>
    <n v="0"/>
    <x v="0"/>
    <n v="0"/>
    <n v="0"/>
    <n v="0"/>
    <n v="0"/>
    <n v="0"/>
    <x v="90"/>
    <n v="0"/>
    <x v="2"/>
    <n v="0"/>
  </r>
  <r>
    <x v="2"/>
    <x v="26"/>
    <n v="0"/>
    <n v="0"/>
    <x v="0"/>
    <n v="0"/>
    <n v="0"/>
    <n v="0"/>
    <n v="0"/>
    <n v="0"/>
    <x v="90"/>
    <n v="0"/>
    <x v="3"/>
    <n v="0"/>
  </r>
  <r>
    <x v="2"/>
    <x v="27"/>
    <n v="0"/>
    <n v="0"/>
    <x v="0"/>
    <n v="0"/>
    <n v="0"/>
    <n v="0"/>
    <n v="0"/>
    <n v="0"/>
    <x v="90"/>
    <n v="0"/>
    <x v="5"/>
    <n v="0"/>
  </r>
  <r>
    <x v="2"/>
    <x v="29"/>
    <n v="0"/>
    <n v="0"/>
    <x v="0"/>
    <n v="0"/>
    <n v="0"/>
    <n v="0"/>
    <n v="0"/>
    <n v="0"/>
    <x v="90"/>
    <n v="0"/>
    <x v="5"/>
    <n v="0"/>
  </r>
  <r>
    <x v="2"/>
    <x v="30"/>
    <n v="0"/>
    <n v="0"/>
    <x v="0"/>
    <n v="0"/>
    <n v="0"/>
    <n v="0"/>
    <n v="0"/>
    <n v="0"/>
    <x v="90"/>
    <n v="0"/>
    <x v="5"/>
    <n v="0"/>
  </r>
  <r>
    <x v="2"/>
    <x v="31"/>
    <n v="0"/>
    <n v="0"/>
    <x v="0"/>
    <n v="0"/>
    <n v="0"/>
    <n v="0"/>
    <n v="0"/>
    <n v="0"/>
    <x v="90"/>
    <n v="0"/>
    <x v="2"/>
    <n v="0"/>
  </r>
  <r>
    <x v="2"/>
    <x v="32"/>
    <n v="0"/>
    <n v="0"/>
    <x v="0"/>
    <n v="0"/>
    <n v="0"/>
    <n v="0"/>
    <n v="0"/>
    <n v="0"/>
    <x v="90"/>
    <n v="0"/>
    <x v="3"/>
    <n v="0"/>
  </r>
  <r>
    <x v="2"/>
    <x v="33"/>
    <n v="0"/>
    <n v="0"/>
    <x v="0"/>
    <n v="0"/>
    <n v="0"/>
    <n v="0"/>
    <n v="0"/>
    <n v="0"/>
    <x v="90"/>
    <n v="0"/>
    <x v="3"/>
    <n v="0"/>
  </r>
  <r>
    <x v="2"/>
    <x v="34"/>
    <n v="0"/>
    <n v="0"/>
    <x v="0"/>
    <n v="0"/>
    <n v="0"/>
    <n v="0"/>
    <n v="0"/>
    <n v="0"/>
    <x v="90"/>
    <n v="0"/>
    <x v="4"/>
    <n v="0"/>
  </r>
  <r>
    <x v="2"/>
    <x v="35"/>
    <n v="0"/>
    <n v="0"/>
    <x v="0"/>
    <n v="0"/>
    <n v="0"/>
    <n v="0"/>
    <n v="0"/>
    <n v="0"/>
    <x v="90"/>
    <n v="0"/>
    <x v="2"/>
    <n v="0"/>
  </r>
  <r>
    <x v="2"/>
    <x v="36"/>
    <n v="0"/>
    <n v="0"/>
    <x v="0"/>
    <n v="0"/>
    <n v="0"/>
    <n v="0"/>
    <n v="0"/>
    <n v="0"/>
    <x v="90"/>
    <n v="0"/>
    <x v="4"/>
    <n v="0"/>
  </r>
  <r>
    <x v="2"/>
    <x v="37"/>
    <n v="0"/>
    <n v="0"/>
    <x v="0"/>
    <n v="0"/>
    <n v="0"/>
    <n v="0"/>
    <n v="0"/>
    <n v="0"/>
    <x v="90"/>
    <n v="0"/>
    <x v="4"/>
    <n v="0"/>
  </r>
  <r>
    <x v="2"/>
    <x v="38"/>
    <n v="0"/>
    <n v="0"/>
    <x v="0"/>
    <n v="0"/>
    <n v="0"/>
    <n v="0"/>
    <n v="0"/>
    <n v="0"/>
    <x v="90"/>
    <n v="0"/>
    <x v="2"/>
    <n v="0"/>
  </r>
  <r>
    <x v="2"/>
    <x v="39"/>
    <n v="0"/>
    <n v="0"/>
    <x v="0"/>
    <n v="0"/>
    <n v="0"/>
    <n v="0"/>
    <n v="0"/>
    <n v="0"/>
    <x v="90"/>
    <n v="0"/>
    <x v="2"/>
    <n v="0"/>
  </r>
  <r>
    <x v="2"/>
    <x v="40"/>
    <n v="0"/>
    <n v="0"/>
    <x v="0"/>
    <n v="0"/>
    <n v="0"/>
    <n v="0"/>
    <n v="0"/>
    <n v="0"/>
    <x v="90"/>
    <n v="0"/>
    <x v="3"/>
    <n v="0"/>
  </r>
  <r>
    <x v="2"/>
    <x v="41"/>
    <n v="0"/>
    <n v="0"/>
    <x v="0"/>
    <n v="0"/>
    <n v="0"/>
    <n v="0"/>
    <n v="0"/>
    <n v="0"/>
    <x v="90"/>
    <n v="0"/>
    <x v="5"/>
    <n v="0"/>
  </r>
  <r>
    <x v="2"/>
    <x v="42"/>
    <n v="0"/>
    <n v="0"/>
    <x v="0"/>
    <n v="0"/>
    <n v="0"/>
    <n v="0"/>
    <n v="0"/>
    <n v="0"/>
    <x v="90"/>
    <n v="0"/>
    <x v="2"/>
    <n v="0"/>
  </r>
  <r>
    <x v="2"/>
    <x v="43"/>
    <n v="0"/>
    <n v="0"/>
    <x v="0"/>
    <n v="0"/>
    <n v="0"/>
    <n v="0"/>
    <n v="0"/>
    <n v="0"/>
    <x v="90"/>
    <n v="0"/>
    <x v="3"/>
    <n v="0"/>
  </r>
  <r>
    <x v="2"/>
    <x v="44"/>
    <n v="0"/>
    <n v="0"/>
    <x v="0"/>
    <n v="0"/>
    <n v="0"/>
    <n v="0"/>
    <n v="0"/>
    <n v="0"/>
    <x v="90"/>
    <n v="0"/>
    <x v="3"/>
    <n v="0"/>
  </r>
  <r>
    <x v="2"/>
    <x v="45"/>
    <n v="0"/>
    <n v="0"/>
    <x v="0"/>
    <n v="0"/>
    <n v="0"/>
    <n v="0"/>
    <n v="0"/>
    <n v="0"/>
    <x v="90"/>
    <n v="0"/>
    <x v="4"/>
    <n v="0"/>
  </r>
  <r>
    <x v="2"/>
    <x v="46"/>
    <n v="0"/>
    <n v="0"/>
    <x v="0"/>
    <n v="0"/>
    <n v="0"/>
    <n v="0"/>
    <n v="0"/>
    <n v="0"/>
    <x v="90"/>
    <n v="0"/>
    <x v="4"/>
    <n v="0"/>
  </r>
  <r>
    <x v="2"/>
    <x v="47"/>
    <n v="0"/>
    <n v="0"/>
    <x v="0"/>
    <n v="0"/>
    <n v="0"/>
    <n v="0"/>
    <n v="0"/>
    <n v="0"/>
    <x v="90"/>
    <n v="0"/>
    <x v="5"/>
    <n v="0"/>
  </r>
  <r>
    <x v="2"/>
    <x v="48"/>
    <n v="0"/>
    <n v="0"/>
    <x v="0"/>
    <n v="0"/>
    <n v="0"/>
    <n v="0"/>
    <n v="0"/>
    <n v="0"/>
    <x v="90"/>
    <n v="0"/>
    <x v="6"/>
    <n v="0"/>
  </r>
  <r>
    <x v="2"/>
    <x v="49"/>
    <n v="0"/>
    <n v="0"/>
    <x v="0"/>
    <n v="0"/>
    <n v="0"/>
    <n v="0"/>
    <n v="0"/>
    <n v="0"/>
    <x v="90"/>
    <n v="0"/>
    <x v="3"/>
    <n v="0"/>
  </r>
  <r>
    <x v="2"/>
    <x v="50"/>
    <n v="0"/>
    <n v="0"/>
    <x v="0"/>
    <n v="0"/>
    <n v="0"/>
    <n v="0"/>
    <n v="0"/>
    <n v="0"/>
    <x v="90"/>
    <n v="0"/>
    <x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956B1-A805-4521-965D-9EF8512ED4D4}" name="樞紐分析表3" cacheId="0" applyNumberFormats="0" applyBorderFormats="0" applyFontFormats="0" applyPatternFormats="0" applyAlignmentFormats="0" applyWidthHeightFormats="1" dataCaption="值" updatedVersion="7" minRefreshableVersion="5" useAutoFormatting="1" itemPrintTitles="1" createdVersion="7" indent="0" outline="1" outlineData="1" multipleFieldFilters="0" chartFormat="7">
  <location ref="N1:O34" firstHeaderRow="1" firstDataRow="1" firstDataCol="1"/>
  <pivotFields count="15"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numFmtId="177" showAll="0"/>
    <pivotField showAll="0"/>
    <pivotField showAll="0"/>
    <pivotField showAll="0"/>
    <pivotField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>
      <items count="15">
        <item sd="0" x="0"/>
        <item x="1"/>
        <item x="2"/>
        <item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10"/>
  </rowFields>
  <rowItems count="3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grand">
      <x/>
    </i>
  </rowItems>
  <colItems count="1">
    <i/>
  </colItems>
  <dataFields count="1">
    <dataField name="加總 - 售出工時" fld="2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dateBetween" evalOrder="-1" id="306" name="數據日期_2">
      <autoFilter ref="A1">
        <filterColumn colId="0">
          <customFilters and="1">
            <customFilter operator="greaterThanOrEqual" val="45292"/>
            <customFilter operator="lessThanOrEqual" val="453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5BF37-5586-48B6-B299-30CBA2A80390}" name="樞紐分析表2" cacheId="0" applyNumberFormats="0" applyBorderFormats="0" applyFontFormats="0" applyPatternFormats="0" applyAlignmentFormats="0" applyWidthHeightFormats="1" dataCaption="值" updatedVersion="7" minRefreshableVersion="5" useAutoFormatting="1" itemPrintTitles="1" createdVersion="7" indent="0" outline="1" outlineData="1" multipleFieldFilters="0" chartFormat="8">
  <location ref="K1:L4" firstHeaderRow="1" firstDataRow="1" firstDataCol="1"/>
  <pivotFields count="15"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77" showAll="0"/>
    <pivotField showAll="0"/>
    <pivotField dataField="1"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 sortType="ascending">
      <items count="8">
        <item x="2"/>
        <item x="5"/>
        <item h="1" x="4"/>
        <item h="1" x="3"/>
        <item h="1" x="6"/>
        <item h="1" x="1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3">
    <i>
      <x v="1"/>
    </i>
    <i>
      <x/>
    </i>
    <i t="grand">
      <x/>
    </i>
  </rowItems>
  <colItems count="1">
    <i/>
  </colItems>
  <dataFields count="1">
    <dataField name="加總 - 怠工時間" fld="6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dateBetween" evalOrder="-1" id="580" name="數據日期_2">
      <autoFilter ref="A1">
        <filterColumn colId="0">
          <customFilters and="1">
            <customFilter operator="greaterThanOrEqual" val="45292"/>
            <customFilter operator="lessThanOrEqual" val="453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53079-EFCD-46B9-BDD3-3E5A4B7613ED}" name="樞紐分析表7" cacheId="0" applyNumberFormats="0" applyBorderFormats="0" applyFontFormats="0" applyPatternFormats="0" applyAlignmentFormats="0" applyWidthHeightFormats="1" dataCaption="值" updatedVersion="7" minRefreshableVersion="5" useAutoFormatting="1" itemPrintTitles="1" createdVersion="7" indent="0" outline="1" outlineData="1" multipleFieldFilters="0" chartFormat="5" rowHeaderCaption="列標籤">
  <location ref="F1:G19" firstHeaderRow="1" firstDataRow="1" firstDataCol="1"/>
  <pivotFields count="15">
    <pivotField multipleItemSelectionAllowed="1" showAll="0">
      <items count="4">
        <item x="2"/>
        <item x="1"/>
        <item x="0"/>
        <item t="default"/>
      </items>
    </pivotField>
    <pivotField axis="axisRow" showAll="0" sortType="ascending">
      <items count="52">
        <item x="6"/>
        <item x="4"/>
        <item x="8"/>
        <item x="0"/>
        <item x="3"/>
        <item x="2"/>
        <item x="1"/>
        <item x="7"/>
        <item x="5"/>
        <item x="10"/>
        <item x="11"/>
        <item x="9"/>
        <item x="13"/>
        <item x="12"/>
        <item x="17"/>
        <item x="18"/>
        <item x="23"/>
        <item x="27"/>
        <item x="43"/>
        <item x="14"/>
        <item x="15"/>
        <item x="20"/>
        <item x="34"/>
        <item x="40"/>
        <item x="47"/>
        <item x="49"/>
        <item x="38"/>
        <item x="44"/>
        <item x="45"/>
        <item x="32"/>
        <item x="50"/>
        <item x="37"/>
        <item x="16"/>
        <item x="22"/>
        <item x="26"/>
        <item x="33"/>
        <item x="42"/>
        <item x="30"/>
        <item x="36"/>
        <item x="41"/>
        <item x="31"/>
        <item x="46"/>
        <item x="39"/>
        <item x="29"/>
        <item x="24"/>
        <item x="35"/>
        <item x="25"/>
        <item x="19"/>
        <item x="21"/>
        <item h="1" x="48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77" showAll="0">
      <items count="1555">
        <item x="0"/>
        <item x="152"/>
        <item x="377"/>
        <item x="566"/>
        <item x="157"/>
        <item x="1125"/>
        <item x="10"/>
        <item x="575"/>
        <item x="1100"/>
        <item x="11"/>
        <item x="1098"/>
        <item x="156"/>
        <item x="562"/>
        <item x="941"/>
        <item x="1222"/>
        <item x="1309"/>
        <item x="1153"/>
        <item x="153"/>
        <item x="464"/>
        <item x="592"/>
        <item x="779"/>
        <item x="316"/>
        <item x="1251"/>
        <item x="296"/>
        <item x="299"/>
        <item x="40"/>
        <item x="1194"/>
        <item x="387"/>
        <item x="783"/>
        <item x="1152"/>
        <item x="994"/>
        <item x="627"/>
        <item x="535"/>
        <item x="630"/>
        <item x="820"/>
        <item x="875"/>
        <item x="425"/>
        <item x="1226"/>
        <item x="205"/>
        <item x="972"/>
        <item x="481"/>
        <item x="1170"/>
        <item x="1030"/>
        <item x="722"/>
        <item x="653"/>
        <item x="1425"/>
        <item x="8"/>
        <item x="747"/>
        <item x="1317"/>
        <item x="416"/>
        <item x="831"/>
        <item x="580"/>
        <item x="1494"/>
        <item x="1508"/>
        <item x="1506"/>
        <item x="277"/>
        <item x="1507"/>
        <item x="1267"/>
        <item x="274"/>
        <item x="1460"/>
        <item x="1348"/>
        <item x="1519"/>
        <item x="1497"/>
        <item x="881"/>
        <item x="1097"/>
        <item x="166"/>
        <item x="720"/>
        <item x="1203"/>
        <item x="312"/>
        <item x="1205"/>
        <item x="937"/>
        <item x="140"/>
        <item x="1453"/>
        <item x="1444"/>
        <item x="507"/>
        <item x="1521"/>
        <item x="912"/>
        <item x="529"/>
        <item x="983"/>
        <item x="269"/>
        <item x="389"/>
        <item x="676"/>
        <item x="211"/>
        <item x="338"/>
        <item x="657"/>
        <item x="465"/>
        <item x="1266"/>
        <item x="451"/>
        <item x="1469"/>
        <item x="1161"/>
        <item x="143"/>
        <item x="1479"/>
        <item x="1121"/>
        <item x="421"/>
        <item x="71"/>
        <item x="1338"/>
        <item x="1259"/>
        <item x="775"/>
        <item x="825"/>
        <item x="597"/>
        <item x="989"/>
        <item x="1048"/>
        <item x="988"/>
        <item x="15"/>
        <item x="394"/>
        <item x="1182"/>
        <item x="1477"/>
        <item x="1115"/>
        <item x="551"/>
        <item x="1156"/>
        <item x="1181"/>
        <item x="1322"/>
        <item x="326"/>
        <item x="1474"/>
        <item x="354"/>
        <item x="569"/>
        <item x="499"/>
        <item x="346"/>
        <item x="1449"/>
        <item x="13"/>
        <item x="1204"/>
        <item x="301"/>
        <item x="297"/>
        <item x="1395"/>
        <item x="534"/>
        <item x="1068"/>
        <item x="567"/>
        <item x="295"/>
        <item x="800"/>
        <item x="723"/>
        <item x="174"/>
        <item x="1541"/>
        <item x="1216"/>
        <item x="1238"/>
        <item x="344"/>
        <item x="954"/>
        <item x="1480"/>
        <item x="1371"/>
        <item x="1522"/>
        <item x="928"/>
        <item x="151"/>
        <item x="1212"/>
        <item x="886"/>
        <item x="461"/>
        <item x="419"/>
        <item x="1230"/>
        <item x="1189"/>
        <item x="1524"/>
        <item x="1451"/>
        <item x="1447"/>
        <item x="190"/>
        <item x="997"/>
        <item x="570"/>
        <item x="259"/>
        <item x="981"/>
        <item x="276"/>
        <item x="1400"/>
        <item x="370"/>
        <item x="102"/>
        <item x="302"/>
        <item x="79"/>
        <item x="1015"/>
        <item x="544"/>
        <item x="94"/>
        <item x="126"/>
        <item x="951"/>
        <item x="298"/>
        <item x="846"/>
        <item x="124"/>
        <item x="372"/>
        <item x="1256"/>
        <item x="1223"/>
        <item x="1067"/>
        <item x="280"/>
        <item x="361"/>
        <item x="887"/>
        <item x="6"/>
        <item x="1403"/>
        <item x="375"/>
        <item x="459"/>
        <item x="397"/>
        <item x="478"/>
        <item x="1308"/>
        <item x="245"/>
        <item x="1017"/>
        <item x="476"/>
        <item x="418"/>
        <item x="1160"/>
        <item x="642"/>
        <item x="108"/>
        <item x="602"/>
        <item x="1066"/>
        <item x="1024"/>
        <item x="1440"/>
        <item x="674"/>
        <item x="1366"/>
        <item x="1306"/>
        <item x="1001"/>
        <item x="64"/>
        <item x="337"/>
        <item x="1409"/>
        <item x="324"/>
        <item x="801"/>
        <item x="1295"/>
        <item x="233"/>
        <item x="23"/>
        <item x="178"/>
        <item x="1434"/>
        <item x="1399"/>
        <item x="242"/>
        <item x="228"/>
        <item x="705"/>
        <item x="93"/>
        <item x="1410"/>
        <item x="112"/>
        <item x="50"/>
        <item x="1301"/>
        <item x="1065"/>
        <item x="278"/>
        <item x="334"/>
        <item x="595"/>
        <item x="593"/>
        <item x="484"/>
        <item x="89"/>
        <item x="1454"/>
        <item x="17"/>
        <item x="1269"/>
        <item x="1233"/>
        <item x="34"/>
        <item x="1331"/>
        <item x="85"/>
        <item x="230"/>
        <item x="407"/>
        <item x="788"/>
        <item x="463"/>
        <item x="1108"/>
        <item x="154"/>
        <item x="293"/>
        <item x="471"/>
        <item x="677"/>
        <item x="457"/>
        <item x="1089"/>
        <item x="1346"/>
        <item x="443"/>
        <item x="1021"/>
        <item x="1071"/>
        <item x="305"/>
        <item x="839"/>
        <item x="200"/>
        <item x="1500"/>
        <item x="55"/>
        <item x="125"/>
        <item x="216"/>
        <item x="1358"/>
        <item x="111"/>
        <item x="248"/>
        <item x="1260"/>
        <item x="508"/>
        <item x="63"/>
        <item x="223"/>
        <item x="905"/>
        <item x="270"/>
        <item x="1418"/>
        <item x="561"/>
        <item x="1022"/>
        <item x="1278"/>
        <item x="1334"/>
        <item x="876"/>
        <item x="908"/>
        <item x="721"/>
        <item x="171"/>
        <item x="821"/>
        <item x="1390"/>
        <item x="1092"/>
        <item x="1372"/>
        <item x="1441"/>
        <item x="527"/>
        <item x="88"/>
        <item x="1408"/>
        <item x="857"/>
        <item x="650"/>
        <item x="285"/>
        <item x="1442"/>
        <item x="614"/>
        <item x="159"/>
        <item x="867"/>
        <item x="35"/>
        <item x="557"/>
        <item x="380"/>
        <item x="145"/>
        <item x="456"/>
        <item x="1318"/>
        <item x="1184"/>
        <item x="904"/>
        <item x="1339"/>
        <item x="678"/>
        <item x="1119"/>
        <item x="537"/>
        <item x="1046"/>
        <item x="352"/>
        <item x="1025"/>
        <item x="1378"/>
        <item x="1525"/>
        <item x="1412"/>
        <item x="871"/>
        <item x="283"/>
        <item x="532"/>
        <item x="444"/>
        <item x="182"/>
        <item x="525"/>
        <item x="1470"/>
        <item x="830"/>
        <item x="322"/>
        <item x="1533"/>
        <item x="1342"/>
        <item x="1083"/>
        <item x="363"/>
        <item x="1389"/>
        <item x="149"/>
        <item x="1369"/>
        <item x="90"/>
        <item x="1080"/>
        <item x="536"/>
        <item x="1084"/>
        <item x="519"/>
        <item x="701"/>
        <item x="408"/>
        <item x="581"/>
        <item x="130"/>
        <item x="1099"/>
        <item x="413"/>
        <item x="709"/>
        <item x="822"/>
        <item x="792"/>
        <item x="613"/>
        <item x="1085"/>
        <item x="1133"/>
        <item x="554"/>
        <item x="1528"/>
        <item x="1502"/>
        <item x="72"/>
        <item x="610"/>
        <item x="1018"/>
        <item x="281"/>
        <item x="264"/>
        <item x="371"/>
        <item x="979"/>
        <item x="366"/>
        <item x="435"/>
        <item x="504"/>
        <item x="1398"/>
        <item x="300"/>
        <item x="914"/>
        <item x="238"/>
        <item x="386"/>
        <item x="633"/>
        <item x="249"/>
        <item x="1199"/>
        <item x="442"/>
        <item x="583"/>
        <item x="353"/>
        <item x="873"/>
        <item x="356"/>
        <item x="842"/>
        <item x="1195"/>
        <item x="1520"/>
        <item x="213"/>
        <item x="942"/>
        <item x="1288"/>
        <item x="4"/>
        <item x="696"/>
        <item x="196"/>
        <item x="198"/>
        <item x="957"/>
        <item x="635"/>
        <item x="49"/>
        <item x="1154"/>
        <item x="1458"/>
        <item x="309"/>
        <item x="1101"/>
        <item x="771"/>
        <item x="910"/>
        <item x="1391"/>
        <item x="304"/>
        <item x="1382"/>
        <item x="1486"/>
        <item x="956"/>
        <item x="1011"/>
        <item x="539"/>
        <item x="1148"/>
        <item x="431"/>
        <item x="1315"/>
        <item x="1114"/>
        <item x="927"/>
        <item x="660"/>
        <item x="1294"/>
        <item x="43"/>
        <item x="882"/>
        <item x="1070"/>
        <item x="48"/>
        <item x="240"/>
        <item x="531"/>
        <item x="1244"/>
        <item x="1393"/>
        <item x="987"/>
        <item x="441"/>
        <item x="715"/>
        <item x="921"/>
        <item x="526"/>
        <item x="553"/>
        <item x="641"/>
        <item x="518"/>
        <item x="290"/>
        <item x="439"/>
        <item x="1157"/>
        <item x="391"/>
        <item x="2"/>
        <item x="1489"/>
        <item x="1146"/>
        <item x="36"/>
        <item x="514"/>
        <item x="523"/>
        <item x="1546"/>
        <item x="608"/>
        <item x="1357"/>
        <item x="207"/>
        <item x="1145"/>
        <item x="232"/>
        <item x="453"/>
        <item x="847"/>
        <item x="1078"/>
        <item x="1016"/>
        <item x="505"/>
        <item x="574"/>
        <item x="1012"/>
        <item x="1250"/>
        <item x="181"/>
        <item x="487"/>
        <item x="588"/>
        <item x="1504"/>
        <item x="343"/>
        <item x="1332"/>
        <item x="798"/>
        <item x="620"/>
        <item x="1517"/>
        <item x="1079"/>
        <item x="132"/>
        <item x="894"/>
        <item x="1344"/>
        <item x="1131"/>
        <item x="136"/>
        <item x="900"/>
        <item x="731"/>
        <item x="680"/>
        <item x="24"/>
        <item x="936"/>
        <item x="814"/>
        <item x="92"/>
        <item x="826"/>
        <item x="31"/>
        <item x="995"/>
        <item x="837"/>
        <item x="317"/>
        <item x="1210"/>
        <item x="430"/>
        <item x="1345"/>
        <item x="736"/>
        <item x="869"/>
        <item x="14"/>
        <item x="742"/>
        <item x="1258"/>
        <item x="949"/>
        <item x="751"/>
        <item x="784"/>
        <item x="911"/>
        <item x="590"/>
        <item x="103"/>
        <item x="80"/>
        <item x="185"/>
        <item x="1211"/>
        <item x="268"/>
        <item x="528"/>
        <item x="118"/>
        <item x="1240"/>
        <item x="716"/>
        <item x="817"/>
        <item x="150"/>
        <item x="690"/>
        <item x="194"/>
        <item x="862"/>
        <item x="364"/>
        <item x="1427"/>
        <item x="1218"/>
        <item x="438"/>
        <item x="1476"/>
        <item x="1423"/>
        <item x="1126"/>
        <item x="772"/>
        <item x="38"/>
        <item x="929"/>
        <item x="349"/>
        <item x="373"/>
        <item x="545"/>
        <item x="669"/>
        <item x="173"/>
        <item x="119"/>
        <item x="1201"/>
        <item x="257"/>
        <item x="796"/>
        <item x="470"/>
        <item x="327"/>
        <item x="437"/>
        <item x="990"/>
        <item x="1379"/>
        <item x="1171"/>
        <item x="319"/>
        <item x="1336"/>
        <item x="1004"/>
        <item x="861"/>
        <item x="1175"/>
        <item x="1274"/>
        <item x="1155"/>
        <item x="890"/>
        <item x="587"/>
        <item x="1448"/>
        <item x="467"/>
        <item x="598"/>
        <item x="516"/>
        <item x="355"/>
        <item x="121"/>
        <item x="1325"/>
        <item x="436"/>
        <item x="1042"/>
        <item x="1516"/>
        <item x="1465"/>
        <item x="381"/>
        <item x="852"/>
        <item x="1438"/>
        <item x="87"/>
        <item x="1385"/>
        <item x="1314"/>
        <item x="548"/>
        <item x="1355"/>
        <item x="202"/>
        <item x="967"/>
        <item x="99"/>
        <item x="781"/>
        <item x="107"/>
        <item x="1384"/>
        <item x="428"/>
        <item x="45"/>
        <item x="787"/>
        <item x="606"/>
        <item x="1035"/>
        <item x="170"/>
        <item x="1187"/>
        <item x="195"/>
        <item x="1236"/>
        <item x="795"/>
        <item x="511"/>
        <item x="292"/>
        <item x="991"/>
        <item x="571"/>
        <item x="710"/>
        <item x="410"/>
        <item x="426"/>
        <item x="1044"/>
        <item x="1074"/>
        <item x="1305"/>
        <item x="624"/>
        <item x="250"/>
        <item x="1038"/>
        <item x="965"/>
        <item x="769"/>
        <item x="853"/>
        <item x="365"/>
        <item x="105"/>
        <item x="594"/>
        <item x="445"/>
        <item x="797"/>
        <item x="172"/>
        <item x="745"/>
        <item x="1037"/>
        <item x="1140"/>
        <item x="218"/>
        <item x="1265"/>
        <item x="86"/>
        <item x="1139"/>
        <item x="307"/>
        <item x="591"/>
        <item x="963"/>
        <item x="1178"/>
        <item x="793"/>
        <item x="320"/>
        <item x="204"/>
        <item x="806"/>
        <item x="267"/>
        <item x="1351"/>
        <item x="176"/>
        <item x="891"/>
        <item x="239"/>
        <item x="909"/>
        <item x="1130"/>
        <item x="128"/>
        <item x="395"/>
        <item x="1183"/>
        <item x="462"/>
        <item x="1397"/>
        <item x="577"/>
        <item x="1103"/>
        <item x="59"/>
        <item x="1086"/>
        <item x="813"/>
        <item x="208"/>
        <item x="376"/>
        <item x="52"/>
        <item x="656"/>
        <item x="255"/>
        <item x="740"/>
        <item x="1376"/>
        <item x="599"/>
        <item x="1445"/>
        <item x="335"/>
        <item x="1544"/>
        <item x="447"/>
        <item x="1252"/>
        <item x="851"/>
        <item x="1452"/>
        <item x="1353"/>
        <item x="612"/>
        <item x="855"/>
        <item x="224"/>
        <item x="1102"/>
        <item x="743"/>
        <item x="637"/>
        <item x="907"/>
        <item x="640"/>
        <item x="133"/>
        <item x="1511"/>
        <item x="1526"/>
        <item x="241"/>
        <item x="393"/>
        <item x="41"/>
        <item x="810"/>
        <item x="1302"/>
        <item x="1340"/>
        <item x="495"/>
        <item x="502"/>
        <item x="808"/>
        <item x="901"/>
        <item x="752"/>
        <item x="960"/>
        <item x="647"/>
        <item x="501"/>
        <item x="1484"/>
        <item x="1360"/>
        <item x="500"/>
        <item x="256"/>
        <item x="946"/>
        <item x="604"/>
        <item x="26"/>
        <item x="883"/>
        <item x="1505"/>
        <item x="1356"/>
        <item x="294"/>
        <item x="1392"/>
        <item x="342"/>
        <item x="129"/>
        <item x="550"/>
        <item x="903"/>
        <item x="1134"/>
        <item x="350"/>
        <item x="1208"/>
        <item x="110"/>
        <item x="177"/>
        <item x="212"/>
        <item x="496"/>
        <item x="1043"/>
        <item x="675"/>
        <item x="1312"/>
        <item x="579"/>
        <item x="961"/>
        <item x="966"/>
        <item x="201"/>
        <item x="32"/>
        <item x="1180"/>
        <item x="3"/>
        <item x="738"/>
        <item x="1402"/>
        <item x="117"/>
        <item x="503"/>
        <item x="1243"/>
        <item x="362"/>
        <item x="700"/>
        <item x="687"/>
        <item x="1202"/>
        <item x="28"/>
        <item x="584"/>
        <item x="1268"/>
        <item x="1055"/>
        <item x="845"/>
        <item x="491"/>
        <item x="1124"/>
        <item x="492"/>
        <item x="719"/>
        <item x="333"/>
        <item x="935"/>
        <item x="1495"/>
        <item x="930"/>
        <item x="116"/>
        <item x="115"/>
        <item x="888"/>
        <item x="65"/>
        <item x="969"/>
        <item x="804"/>
        <item x="506"/>
        <item x="1247"/>
        <item x="206"/>
        <item x="475"/>
        <item x="1014"/>
        <item x="144"/>
        <item x="897"/>
        <item x="756"/>
        <item x="964"/>
        <item x="944"/>
        <item x="948"/>
        <item x="1542"/>
        <item x="1045"/>
        <item x="127"/>
        <item x="231"/>
        <item x="134"/>
        <item x="308"/>
        <item x="1503"/>
        <item x="1151"/>
        <item x="1487"/>
        <item x="673"/>
        <item x="62"/>
        <item x="1029"/>
        <item x="273"/>
        <item x="1446"/>
        <item x="403"/>
        <item x="1135"/>
        <item x="1297"/>
        <item x="980"/>
        <item x="1350"/>
        <item x="858"/>
        <item x="5"/>
        <item x="1475"/>
        <item x="1359"/>
        <item x="1374"/>
        <item x="1543"/>
        <item x="863"/>
        <item x="427"/>
        <item x="1061"/>
        <item x="236"/>
        <item x="609"/>
        <item x="369"/>
        <item x="586"/>
        <item x="777"/>
        <item x="1482"/>
        <item x="663"/>
        <item x="1287"/>
        <item x="1002"/>
        <item x="1207"/>
        <item x="1435"/>
        <item x="1327"/>
        <item x="1481"/>
        <item x="1261"/>
        <item x="60"/>
        <item x="186"/>
        <item x="51"/>
        <item x="323"/>
        <item x="576"/>
        <item x="252"/>
        <item x="167"/>
        <item x="220"/>
        <item x="1006"/>
        <item x="219"/>
        <item x="1142"/>
        <item x="1010"/>
        <item x="78"/>
        <item x="1326"/>
        <item x="667"/>
        <item x="485"/>
        <item x="1206"/>
        <item x="383"/>
        <item x="628"/>
        <item x="1141"/>
        <item x="556"/>
        <item x="1193"/>
        <item x="411"/>
        <item x="659"/>
        <item x="46"/>
        <item x="1158"/>
        <item x="1296"/>
        <item x="67"/>
        <item x="412"/>
        <item x="1478"/>
        <item x="1548"/>
        <item x="75"/>
        <item x="672"/>
        <item x="760"/>
        <item x="210"/>
        <item x="498"/>
        <item x="1058"/>
        <item x="848"/>
        <item x="1221"/>
        <item x="773"/>
        <item x="1549"/>
        <item x="434"/>
        <item x="1059"/>
        <item x="191"/>
        <item x="1166"/>
        <item x="374"/>
        <item x="702"/>
        <item x="725"/>
        <item x="724"/>
        <item x="47"/>
        <item x="1110"/>
        <item x="1093"/>
        <item x="1073"/>
        <item x="805"/>
        <item x="1147"/>
        <item x="450"/>
        <item x="959"/>
        <item x="263"/>
        <item x="1483"/>
        <item x="7"/>
        <item x="661"/>
        <item x="483"/>
        <item x="188"/>
        <item x="493"/>
        <item x="345"/>
        <item x="733"/>
        <item x="1411"/>
        <item x="1225"/>
        <item x="563"/>
        <item x="895"/>
        <item x="1457"/>
        <item x="1064"/>
        <item x="836"/>
        <item x="976"/>
        <item x="1095"/>
        <item x="1179"/>
        <item x="215"/>
        <item x="1245"/>
        <item x="18"/>
        <item x="865"/>
        <item x="629"/>
        <item x="392"/>
        <item x="473"/>
        <item x="1271"/>
        <item x="98"/>
        <item x="164"/>
        <item x="1463"/>
        <item x="315"/>
        <item x="1415"/>
        <item x="288"/>
        <item x="291"/>
        <item x="807"/>
        <item x="838"/>
        <item x="601"/>
        <item x="469"/>
        <item x="1239"/>
        <item x="1105"/>
        <item x="1174"/>
        <item x="1455"/>
        <item x="422"/>
        <item x="1041"/>
        <item x="163"/>
        <item x="1281"/>
        <item x="971"/>
        <item x="148"/>
        <item x="803"/>
        <item x="1416"/>
        <item x="314"/>
        <item x="605"/>
        <item x="695"/>
        <item x="390"/>
        <item x="1054"/>
        <item x="452"/>
        <item x="120"/>
        <item x="968"/>
        <item x="1284"/>
        <item x="1150"/>
        <item x="217"/>
        <item x="925"/>
        <item x="1450"/>
        <item x="898"/>
        <item x="1127"/>
        <item x="1220"/>
        <item x="30"/>
        <item x="1167"/>
        <item x="1047"/>
        <item x="1113"/>
        <item x="400"/>
        <item x="1192"/>
        <item x="654"/>
        <item x="440"/>
        <item x="254"/>
        <item x="1198"/>
        <item x="1492"/>
        <item x="786"/>
        <item x="357"/>
        <item x="1197"/>
        <item x="540"/>
        <item x="1419"/>
        <item x="97"/>
        <item x="284"/>
        <item x="850"/>
        <item x="303"/>
        <item x="920"/>
        <item x="658"/>
        <item x="893"/>
        <item x="1426"/>
        <item x="244"/>
        <item x="924"/>
        <item x="931"/>
        <item x="524"/>
        <item x="892"/>
        <item x="945"/>
        <item x="785"/>
        <item x="1388"/>
        <item x="1335"/>
        <item x="1255"/>
        <item x="423"/>
        <item x="137"/>
        <item x="789"/>
        <item x="348"/>
        <item x="704"/>
        <item x="683"/>
        <item x="902"/>
        <item x="1320"/>
        <item x="286"/>
        <item x="1513"/>
        <item x="486"/>
        <item x="617"/>
        <item x="1235"/>
        <item x="1368"/>
        <item x="449"/>
        <item x="940"/>
        <item x="27"/>
        <item x="448"/>
        <item x="664"/>
        <item x="670"/>
        <item x="1200"/>
        <item x="868"/>
        <item x="402"/>
        <item x="686"/>
        <item x="382"/>
        <item x="1163"/>
        <item x="474"/>
        <item x="1176"/>
        <item x="54"/>
        <item x="746"/>
        <item x="984"/>
        <item x="1430"/>
        <item x="1088"/>
        <item x="860"/>
        <item x="874"/>
        <item x="1028"/>
        <item x="1063"/>
        <item x="261"/>
        <item x="648"/>
        <item x="913"/>
        <item x="359"/>
        <item x="1138"/>
        <item x="1227"/>
        <item x="1493"/>
        <item x="209"/>
        <item x="490"/>
        <item x="488"/>
        <item x="96"/>
        <item x="235"/>
        <item x="652"/>
        <item x="809"/>
        <item x="271"/>
        <item x="703"/>
        <item x="1165"/>
        <item x="358"/>
        <item x="472"/>
        <item x="1473"/>
        <item x="947"/>
        <item x="692"/>
        <item x="977"/>
        <item x="899"/>
        <item x="20"/>
        <item x="1172"/>
        <item x="668"/>
        <item x="1394"/>
        <item x="1050"/>
        <item x="138"/>
        <item x="1049"/>
        <item x="77"/>
        <item x="310"/>
        <item x="671"/>
        <item x="1036"/>
        <item x="872"/>
        <item x="237"/>
        <item x="1094"/>
        <item x="818"/>
        <item x="332"/>
        <item x="815"/>
        <item x="1008"/>
        <item x="1311"/>
        <item x="1290"/>
        <item x="943"/>
        <item x="1118"/>
        <item x="578"/>
        <item x="1319"/>
        <item x="744"/>
        <item x="626"/>
        <item x="189"/>
        <item x="1117"/>
        <item x="1033"/>
        <item x="812"/>
        <item x="1381"/>
        <item x="306"/>
        <item x="615"/>
        <item x="84"/>
        <item x="187"/>
        <item x="347"/>
        <item x="1539"/>
        <item x="1162"/>
        <item x="1531"/>
        <item x="1422"/>
        <item x="479"/>
        <item x="856"/>
        <item x="520"/>
        <item x="114"/>
        <item x="955"/>
        <item x="1032"/>
        <item x="321"/>
        <item x="996"/>
        <item x="666"/>
        <item x="339"/>
        <item x="568"/>
        <item x="106"/>
        <item x="1413"/>
        <item x="522"/>
        <item x="1387"/>
        <item x="726"/>
        <item x="707"/>
        <item x="1177"/>
        <item x="1104"/>
        <item x="260"/>
        <item x="229"/>
        <item x="414"/>
        <item x="243"/>
        <item x="877"/>
        <item x="1034"/>
        <item x="1545"/>
        <item x="1432"/>
        <item x="44"/>
        <item x="1"/>
        <item x="1057"/>
        <item x="1532"/>
        <item x="859"/>
        <item x="513"/>
        <item x="693"/>
        <item x="1293"/>
        <item x="497"/>
        <item x="183"/>
        <item x="768"/>
        <item x="1219"/>
        <item x="1279"/>
        <item x="646"/>
        <item x="1467"/>
        <item x="1283"/>
        <item x="1277"/>
        <item x="1232"/>
        <item x="1231"/>
        <item x="689"/>
        <item x="542"/>
        <item x="399"/>
        <item x="415"/>
        <item x="515"/>
        <item x="618"/>
        <item x="622"/>
        <item x="782"/>
        <item x="1136"/>
        <item x="706"/>
        <item x="1298"/>
        <item x="489"/>
        <item x="973"/>
        <item x="1490"/>
        <item x="1537"/>
        <item x="1007"/>
        <item x="385"/>
        <item x="1106"/>
        <item x="262"/>
        <item x="1276"/>
        <item x="313"/>
        <item x="184"/>
        <item x="1286"/>
        <item x="1116"/>
        <item x="109"/>
        <item x="547"/>
        <item x="1330"/>
        <item x="165"/>
        <item x="1087"/>
        <item x="1421"/>
        <item x="634"/>
        <item x="340"/>
        <item x="970"/>
        <item x="1436"/>
        <item x="649"/>
        <item x="651"/>
        <item x="1333"/>
        <item x="992"/>
        <item x="986"/>
        <item x="1229"/>
        <item x="70"/>
        <item x="765"/>
        <item x="1303"/>
        <item x="56"/>
        <item x="735"/>
        <item x="101"/>
        <item x="1443"/>
        <item x="774"/>
        <item x="113"/>
        <item x="533"/>
        <item x="564"/>
        <item x="1280"/>
        <item x="22"/>
        <item x="823"/>
        <item x="330"/>
        <item x="279"/>
        <item x="510"/>
        <item x="265"/>
        <item x="844"/>
        <item x="1313"/>
        <item x="711"/>
        <item x="158"/>
        <item x="1428"/>
        <item x="552"/>
        <item x="885"/>
        <item x="638"/>
        <item x="247"/>
        <item x="1285"/>
        <item x="549"/>
        <item x="446"/>
        <item x="1529"/>
        <item x="1082"/>
        <item x="1291"/>
        <item x="466"/>
        <item x="759"/>
        <item x="135"/>
        <item x="761"/>
        <item x="1241"/>
        <item x="12"/>
        <item x="76"/>
        <item x="974"/>
        <item x="739"/>
        <item x="1254"/>
        <item x="1003"/>
        <item x="123"/>
        <item x="19"/>
        <item x="854"/>
        <item x="1062"/>
        <item x="384"/>
        <item x="1375"/>
        <item x="455"/>
        <item x="543"/>
        <item x="1262"/>
        <item x="730"/>
        <item x="727"/>
        <item x="829"/>
        <item x="975"/>
        <item x="517"/>
        <item x="147"/>
        <item x="639"/>
        <item x="160"/>
        <item x="66"/>
        <item x="91"/>
        <item x="155"/>
        <item x="811"/>
        <item x="757"/>
        <item x="1553"/>
        <item x="203"/>
        <item x="713"/>
        <item x="1186"/>
        <item x="1215"/>
        <item x="21"/>
        <item x="565"/>
        <item x="142"/>
        <item x="1031"/>
        <item x="1405"/>
        <item x="180"/>
        <item x="1005"/>
        <item x="841"/>
        <item x="39"/>
        <item x="1491"/>
        <item x="555"/>
        <item x="482"/>
        <item x="755"/>
        <item x="718"/>
        <item x="141"/>
        <item x="1249"/>
        <item x="1053"/>
        <item x="1090"/>
        <item x="1373"/>
        <item x="621"/>
        <item x="1439"/>
        <item x="1128"/>
        <item x="1129"/>
        <item x="1056"/>
        <item x="1213"/>
        <item x="978"/>
        <item x="878"/>
        <item x="1270"/>
        <item x="1026"/>
        <item x="816"/>
        <item x="57"/>
        <item x="728"/>
        <item x="1214"/>
        <item x="16"/>
        <item x="750"/>
        <item x="734"/>
        <item x="1051"/>
        <item x="1307"/>
        <item x="681"/>
        <item x="95"/>
        <item x="1530"/>
        <item x="665"/>
        <item x="1538"/>
        <item x="933"/>
        <item x="122"/>
        <item x="644"/>
        <item x="1328"/>
        <item x="458"/>
        <item x="934"/>
        <item x="573"/>
        <item x="1362"/>
        <item x="1273"/>
        <item x="146"/>
        <item x="916"/>
        <item x="682"/>
        <item x="1289"/>
        <item x="993"/>
        <item x="790"/>
        <item x="558"/>
        <item x="1424"/>
        <item x="538"/>
        <item x="1013"/>
        <item x="918"/>
        <item x="258"/>
        <item x="589"/>
        <item x="1190"/>
        <item x="1417"/>
        <item x="420"/>
        <item x="162"/>
        <item x="799"/>
        <item x="1456"/>
        <item x="396"/>
        <item x="600"/>
        <item x="512"/>
        <item x="1075"/>
        <item x="1514"/>
        <item x="1304"/>
        <item x="175"/>
        <item x="1196"/>
        <item x="802"/>
        <item x="74"/>
        <item x="541"/>
        <item x="560"/>
        <item x="311"/>
        <item x="409"/>
        <item x="1217"/>
        <item x="1257"/>
        <item x="923"/>
        <item x="1039"/>
        <item x="1107"/>
        <item x="433"/>
        <item x="1323"/>
        <item x="732"/>
        <item x="834"/>
        <item x="741"/>
        <item x="1437"/>
        <item x="1120"/>
        <item x="1429"/>
        <item x="835"/>
        <item x="889"/>
        <item x="632"/>
        <item x="139"/>
        <item x="1234"/>
        <item x="1164"/>
        <item x="999"/>
        <item x="401"/>
        <item x="685"/>
        <item x="767"/>
        <item x="1472"/>
        <item x="1499"/>
        <item x="37"/>
        <item x="1169"/>
        <item x="770"/>
        <item x="645"/>
        <item x="679"/>
        <item x="619"/>
        <item x="226"/>
        <item x="272"/>
        <item x="694"/>
        <item x="833"/>
        <item x="1263"/>
        <item x="753"/>
        <item x="1019"/>
        <item x="607"/>
        <item x="880"/>
        <item x="429"/>
        <item x="843"/>
        <item x="100"/>
        <item x="737"/>
        <item x="636"/>
        <item x="1228"/>
        <item x="962"/>
        <item x="585"/>
        <item x="68"/>
        <item x="780"/>
        <item x="572"/>
        <item x="69"/>
        <item x="824"/>
        <item x="1370"/>
        <item x="161"/>
        <item x="611"/>
        <item x="1510"/>
        <item x="266"/>
        <item x="1361"/>
        <item x="1300"/>
        <item x="917"/>
        <item x="1496"/>
        <item x="791"/>
        <item x="596"/>
        <item x="1111"/>
        <item x="1224"/>
        <item x="691"/>
        <item x="1341"/>
        <item x="199"/>
        <item x="83"/>
        <item x="1069"/>
        <item x="1464"/>
        <item x="1299"/>
        <item x="404"/>
        <item x="1377"/>
        <item x="325"/>
        <item x="360"/>
        <item x="879"/>
        <item x="1552"/>
        <item x="794"/>
        <item x="1329"/>
        <item x="282"/>
        <item x="1547"/>
        <item x="1550"/>
        <item x="559"/>
        <item x="1380"/>
        <item x="1551"/>
        <item x="1365"/>
        <item x="1248"/>
        <item x="460"/>
        <item x="1310"/>
        <item x="1433"/>
        <item x="776"/>
        <item x="509"/>
        <item x="828"/>
        <item x="378"/>
        <item x="1324"/>
        <item x="368"/>
        <item x="1515"/>
        <item x="227"/>
        <item x="379"/>
        <item x="1292"/>
        <item x="1535"/>
        <item x="1337"/>
        <item x="1404"/>
        <item x="341"/>
        <item x="712"/>
        <item x="225"/>
        <item x="287"/>
        <item x="754"/>
        <item x="1534"/>
        <item x="623"/>
        <item x="1406"/>
        <item x="1352"/>
        <item x="1407"/>
        <item x="454"/>
        <item x="1367"/>
        <item x="919"/>
        <item x="819"/>
        <item x="197"/>
        <item x="922"/>
        <item x="1096"/>
        <item x="1060"/>
        <item x="1246"/>
        <item x="406"/>
        <item x="1168"/>
        <item x="896"/>
        <item x="331"/>
        <item x="1077"/>
        <item x="388"/>
        <item x="631"/>
        <item x="1122"/>
        <item x="1137"/>
        <item x="688"/>
        <item x="1132"/>
        <item x="351"/>
        <item x="953"/>
        <item x="1462"/>
        <item x="1091"/>
        <item x="1347"/>
        <item x="477"/>
        <item x="1431"/>
        <item x="1540"/>
        <item x="1459"/>
        <item x="1123"/>
        <item x="398"/>
        <item x="546"/>
        <item x="1242"/>
        <item x="169"/>
        <item x="405"/>
        <item x="655"/>
        <item x="1173"/>
        <item x="1498"/>
        <item x="1112"/>
        <item x="61"/>
        <item x="758"/>
        <item x="684"/>
        <item x="179"/>
        <item x="662"/>
        <item x="729"/>
        <item x="1009"/>
        <item x="251"/>
        <item x="1488"/>
        <item x="1020"/>
        <item x="832"/>
        <item x="367"/>
        <item x="1027"/>
        <item x="1512"/>
        <item x="932"/>
        <item x="33"/>
        <item x="1349"/>
        <item x="625"/>
        <item x="1420"/>
        <item x="864"/>
        <item x="1209"/>
        <item x="939"/>
        <item x="530"/>
        <item x="432"/>
        <item x="221"/>
        <item x="1143"/>
        <item x="131"/>
        <item x="1466"/>
        <item x="1191"/>
        <item x="717"/>
        <item x="1023"/>
        <item x="1364"/>
        <item x="193"/>
        <item x="42"/>
        <item x="1471"/>
        <item x="714"/>
        <item x="866"/>
        <item x="766"/>
        <item x="762"/>
        <item x="168"/>
        <item x="1468"/>
        <item x="1383"/>
        <item x="1052"/>
        <item x="1527"/>
        <item x="253"/>
        <item x="616"/>
        <item x="697"/>
        <item x="480"/>
        <item x="998"/>
        <item x="1000"/>
        <item x="749"/>
        <item x="1144"/>
        <item x="1363"/>
        <item x="1188"/>
        <item x="952"/>
        <item x="1159"/>
        <item x="521"/>
        <item x="1272"/>
        <item x="950"/>
        <item x="906"/>
        <item x="1185"/>
        <item x="1275"/>
        <item x="1282"/>
        <item x="827"/>
        <item x="1321"/>
        <item x="1485"/>
        <item x="982"/>
        <item x="1237"/>
        <item x="778"/>
        <item x="82"/>
        <item x="1518"/>
        <item x="468"/>
        <item x="708"/>
        <item x="1414"/>
        <item x="1072"/>
        <item x="763"/>
        <item x="926"/>
        <item x="73"/>
        <item x="29"/>
        <item x="840"/>
        <item x="985"/>
        <item x="424"/>
        <item x="938"/>
        <item x="643"/>
        <item x="329"/>
        <item x="1253"/>
        <item x="53"/>
        <item x="318"/>
        <item x="234"/>
        <item x="494"/>
        <item x="289"/>
        <item x="884"/>
        <item x="1264"/>
        <item x="1076"/>
        <item x="764"/>
        <item x="582"/>
        <item x="849"/>
        <item x="1386"/>
        <item x="275"/>
        <item x="1501"/>
        <item x="58"/>
        <item x="104"/>
        <item x="25"/>
        <item x="1040"/>
        <item x="336"/>
        <item x="9"/>
        <item x="915"/>
        <item x="1396"/>
        <item x="1149"/>
        <item x="699"/>
        <item x="1354"/>
        <item x="1401"/>
        <item x="81"/>
        <item x="1509"/>
        <item x="1081"/>
        <item x="870"/>
        <item x="417"/>
        <item x="1536"/>
        <item x="222"/>
        <item x="246"/>
        <item x="214"/>
        <item x="1523"/>
        <item x="1316"/>
        <item x="328"/>
        <item x="603"/>
        <item x="748"/>
        <item x="1343"/>
        <item x="698"/>
        <item x="958"/>
        <item x="1461"/>
        <item x="192"/>
        <item x="1109"/>
        <item t="default"/>
      </items>
    </pivotField>
    <pivotField showAll="0"/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8">
        <item x="2"/>
        <item x="5"/>
        <item h="1" x="4"/>
        <item h="1" x="3"/>
        <item h="1" x="6"/>
        <item h="1" x="1"/>
        <item h="1"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8">
    <i>
      <x v="37"/>
    </i>
    <i>
      <x v="47"/>
    </i>
    <i>
      <x v="50"/>
    </i>
    <i>
      <x v="44"/>
    </i>
    <i>
      <x v="36"/>
    </i>
    <i>
      <x v="39"/>
    </i>
    <i>
      <x v="42"/>
    </i>
    <i>
      <x v="24"/>
    </i>
    <i>
      <x v="17"/>
    </i>
    <i>
      <x v="40"/>
    </i>
    <i>
      <x v="46"/>
    </i>
    <i>
      <x v="43"/>
    </i>
    <i>
      <x v="21"/>
    </i>
    <i>
      <x v="19"/>
    </i>
    <i>
      <x v="45"/>
    </i>
    <i>
      <x v="48"/>
    </i>
    <i>
      <x v="26"/>
    </i>
    <i t="grand">
      <x/>
    </i>
  </rowItems>
  <colItems count="1">
    <i/>
  </colItems>
  <dataFields count="1">
    <dataField name="平均值 - 效率" fld="4" subtotal="average" baseField="1" baseItem="0"/>
  </dataFields>
  <formats count="1">
    <format dxfId="9">
      <pivotArea collapsedLevelsAreSubtotals="1" fieldPosition="0">
        <references count="2">
          <reference field="4294967294" count="1" selected="0">
            <x v="0"/>
          </reference>
          <reference field="1" count="1">
            <x v="37"/>
          </reference>
        </references>
      </pivotArea>
    </format>
  </formats>
  <chartFormats count="1"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dateBetween" evalOrder="-1" id="719" name="數據日期_2">
      <autoFilter ref="A1">
        <filterColumn colId="0">
          <customFilters and="1">
            <customFilter operator="greaterThanOrEqual" val="45292"/>
            <customFilter operator="lessThanOrEqual" val="453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CC353-F341-4352-9E6D-13A5B4650E48}" name="樞紐分析表1" cacheId="0" applyNumberFormats="0" applyBorderFormats="0" applyFontFormats="0" applyPatternFormats="0" applyAlignmentFormats="0" applyWidthHeightFormats="1" dataCaption="值" updatedVersion="7" minRefreshableVersion="5" useAutoFormatting="1" itemPrintTitles="1" createdVersion="7" indent="0" outline="1" outlineData="1" multipleFieldFilters="0" chartFormat="14">
  <location ref="A1:D4" firstHeaderRow="0" firstDataRow="1" firstDataCol="1"/>
  <pivotFields count="15"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numFmtId="177" showAll="0"/>
    <pivotField showAll="0"/>
    <pivotField showAll="0"/>
    <pivotField showAll="0"/>
    <pivotField dataField="1" showAll="0"/>
    <pivotField dataField="1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 sortType="ascending">
      <items count="8">
        <item x="2"/>
        <item x="5"/>
        <item h="1" x="4"/>
        <item h="1" x="3"/>
        <item h="1" x="6"/>
        <item h="1" x="1"/>
        <item h="1"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3"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平均值 - 利用率" fld="9" subtotal="average" baseField="0" baseItem="0"/>
    <dataField name="平均值 - 生產率" fld="8" subtotal="average" baseField="0" baseItem="0"/>
    <dataField name="平均值 - 效率" fld="4" subtotal="average" baseField="0" baseItem="0"/>
  </dataFields>
  <chartFormats count="6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dateBetween" evalOrder="-1" id="664" name="數據日期_2">
      <autoFilter ref="A1">
        <filterColumn colId="0">
          <customFilters and="1">
            <customFilter operator="greaterThanOrEqual" val="45292"/>
            <customFilter operator="lessThanOrEqual" val="453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6BEE1-2D4A-4275-8B34-57634AAA7A64}" name="樞紐分析表4" cacheId="0" applyNumberFormats="0" applyBorderFormats="0" applyFontFormats="0" applyPatternFormats="0" applyAlignmentFormats="0" applyWidthHeightFormats="1" dataCaption="值" updatedVersion="7" minRefreshableVersion="5" useAutoFormatting="1" itemPrintTitles="1" createdVersion="7" indent="0" outline="1" outlineData="1" multipleFieldFilters="0" chartFormat="6">
  <location ref="Q1:R5" firstHeaderRow="1" firstDataRow="1" firstDataCol="1"/>
  <pivotFields count="15">
    <pivotField axis="axisRow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77" showAll="0"/>
    <pivotField showAll="0"/>
    <pivotField showAll="0"/>
    <pivotField showAll="0"/>
    <pivotField showAll="0"/>
    <pivotField dataField="1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8">
        <item x="2"/>
        <item x="5"/>
        <item x="4"/>
        <item x="3"/>
        <item h="1" x="6"/>
        <item x="1"/>
        <item x="0"/>
        <item t="default"/>
      </items>
    </pivotField>
    <pivotField showAll="0"/>
    <pivotField showAll="0" defaultSubtotal="0"/>
  </pivotFields>
  <rowFields count="1">
    <field x="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加總 - 利用率" fld="9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dateBetween" evalOrder="-1" id="7" name="數據日期_2">
      <autoFilter ref="A1">
        <filterColumn colId="0">
          <customFilters and="1">
            <customFilter operator="greaterThanOrEqual" val="45292"/>
            <customFilter operator="lessThanOrEqual" val="453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0C39AEA4-D5C0-435A-978F-7A429E23BEEF}" autoFormatId="16" applyNumberFormats="0" applyBorderFormats="0" applyFontFormats="0" applyPatternFormats="0" applyAlignmentFormats="0" applyWidthHeightFormats="0">
  <queryTableRefresh nextId="20" unboundColumnsRight="4">
    <queryTableFields count="15">
      <queryTableField id="2" name="部門別" tableColumnId="2"/>
      <queryTableField id="3" name="人員代號" tableColumnId="3"/>
      <queryTableField id="4" name="售出工時" tableColumnId="4"/>
      <queryTableField id="5" name="所花費時間" tableColumnId="5"/>
      <queryTableField id="6" name="效率" tableColumnId="6"/>
      <queryTableField id="7" name="維修時間" tableColumnId="7"/>
      <queryTableField id="8" name="怠工時間" tableColumnId="8"/>
      <queryTableField id="9" name="上班時間" tableColumnId="9"/>
      <queryTableField id="10" name="效率_1" tableColumnId="10"/>
      <queryTableField id="11" name="利用率" tableColumnId="11"/>
      <queryTableField id="13" name="數據日期_2" tableColumnId="13"/>
      <queryTableField id="14" dataBound="0" tableColumnId="14"/>
      <queryTableField id="15" dataBound="0" tableColumnId="1"/>
      <queryTableField id="18" dataBound="0" tableColumnId="12"/>
      <queryTableField id="19" dataBound="0" tableColumnId="15"/>
    </queryTableFields>
    <queryTableDeletedFields count="2">
      <deletedField name="數據日期"/>
      <deletedField name="Source.Name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組別" xr10:uid="{19B9C060-573D-4770-9FC9-AF836E8DC4C8}" sourceName="組別">
  <pivotTables>
    <pivotTable tabId="8" name="樞紐分析表7"/>
    <pivotTable tabId="8" name="樞紐分析表1"/>
    <pivotTable tabId="8" name="樞紐分析表2"/>
  </pivotTables>
  <data>
    <tabular pivotCacheId="1303564834">
      <items count="7">
        <i x="2" s="1"/>
        <i x="5" s="1"/>
        <i x="4"/>
        <i x="3"/>
        <i x="6"/>
        <i x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部門別" xr10:uid="{1F8A98E2-7DD7-4F0A-A1E6-8ADC2EBCD8AA}" sourceName="部門別">
  <pivotTables>
    <pivotTable tabId="8" name="樞紐分析表1"/>
    <pivotTable tabId="8" name="樞紐分析表2"/>
    <pivotTable tabId="8" name="樞紐分析表3"/>
    <pivotTable tabId="8" name="樞紐分析表7"/>
  </pivotTables>
  <data>
    <tabular pivotCacheId="1303564834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組別" xr10:uid="{D931182D-A83D-4F54-8F05-1103DA381368}" cache="Slicer_組別" caption="組別" showCaption="0" style="交叉分析篩選器樣式 1" rowHeight="222250"/>
  <slicer name="部門別" xr10:uid="{D2EE75BE-2495-4FB3-BA0A-26F6BA9C1B39}" cache="Slicer_部門別" caption="部門別" showCaption="0" style="交叉分析篩選器樣式 1" rowHeight="2222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D9264-07E8-43C0-B664-81B63A89B448}" name="交易處理資料__3" displayName="交易處理資料__3" ref="A1:O3535" tableType="queryTable" totalsRowShown="0">
  <autoFilter ref="A1:O3535" xr:uid="{6D1D9264-07E8-43C0-B664-81B63A89B448}">
    <filterColumn colId="1">
      <filters>
        <filter val="AM121"/>
      </filters>
    </filterColumn>
  </autoFilter>
  <tableColumns count="15">
    <tableColumn id="2" xr3:uid="{4FEF8232-F2E7-465C-B016-60E1BAFA9DB8}" uniqueName="2" name="部門別" queryTableFieldId="2" dataDxfId="17"/>
    <tableColumn id="3" xr3:uid="{F6934320-03DB-403B-B56E-347A03197F31}" uniqueName="3" name="人員代號" queryTableFieldId="3" dataDxfId="16"/>
    <tableColumn id="4" xr3:uid="{859D00F6-CB37-4CC3-9E83-EC4A7532235C}" uniqueName="4" name="售出工時" queryTableFieldId="4"/>
    <tableColumn id="5" xr3:uid="{5DF90E2A-AA02-48EC-AD06-268929D40D77}" uniqueName="5" name="所花費時間" queryTableFieldId="5"/>
    <tableColumn id="6" xr3:uid="{0019413B-AE6B-4148-A607-71C3D8377F93}" uniqueName="6" name="效率" queryTableFieldId="6" dataDxfId="15"/>
    <tableColumn id="7" xr3:uid="{19E990DB-84FD-4585-A4ED-07399DC8AD2C}" uniqueName="7" name="維修時間" queryTableFieldId="7"/>
    <tableColumn id="8" xr3:uid="{E5B4ECFA-9F41-4218-B728-C84BE5117ED9}" uniqueName="8" name="怠工時間" queryTableFieldId="8"/>
    <tableColumn id="9" xr3:uid="{40F54952-91DE-4AA1-B4EA-7813A0BA5241}" uniqueName="9" name="上班時間" queryTableFieldId="9"/>
    <tableColumn id="10" xr3:uid="{D9552475-1115-47C4-AB06-E6BBF2D9C1DC}" uniqueName="10" name="生產率" queryTableFieldId="10"/>
    <tableColumn id="11" xr3:uid="{7BE3E792-250F-400B-99A5-50B0E61C7471}" uniqueName="11" name="利用率" queryTableFieldId="11"/>
    <tableColumn id="13" xr3:uid="{5A0645BA-0038-4F5C-B099-F21720FD626F}" uniqueName="13" name="數據日期_2" queryTableFieldId="13" dataDxfId="14"/>
    <tableColumn id="14" xr3:uid="{C5032115-E5C3-483A-8432-50EB45A9D433}" uniqueName="14" name="FRU" queryTableFieldId="14" dataDxfId="13">
      <calculatedColumnFormula xml:space="preserve"> (交易處理資料__3[[#This Row],[售出工時]] * 60) / 5</calculatedColumnFormula>
    </tableColumn>
    <tableColumn id="1" xr3:uid="{970F34D7-A54F-4954-98B6-CC0738F6AFC2}" uniqueName="1" name="組別" queryTableFieldId="15" dataDxfId="12">
      <calculatedColumnFormula>VLOOKUP(交易處理資料__3[[#This Row],[人員代號]],團隊分組!$B$1:$C$52,2,FALSE)</calculatedColumnFormula>
    </tableColumn>
    <tableColumn id="12" xr3:uid="{61D79B3A-A312-44FC-8BAC-EBAAC54513B1}" uniqueName="12" name="MU" queryTableFieldId="18" dataDxfId="11">
      <calculatedColumnFormula>IF(交易處理資料__3[[#This Row],[上班時間]]=0,0,交易處理資料__3[[#This Row],[售出工時]]/交易處理資料__3[[#This Row],[上班時間]])</calculatedColumnFormula>
    </tableColumn>
    <tableColumn id="15" xr3:uid="{34165D99-2881-4508-A3D5-4ACB71BC6BD6}" uniqueName="15" name="上班與否" queryTableFieldId="19" dataDxfId="10">
      <calculatedColumnFormula>IF(交易處理資料__3[[#This Row],[上班時間]]=0,"否","是")</calculatedColumnFormula>
    </tableColumn>
  </tableColumns>
  <tableStyleInfo name="TableStyleMedium7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帶狀">
  <a:themeElements>
    <a:clrScheme name="帶狀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帶狀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帶狀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數據日期_2" xr10:uid="{917FDBE1-52BD-43A1-8190-0C6D096547C4}" sourceName="數據日期_2">
  <pivotTables>
    <pivotTable tabId="8" name="樞紐分析表7"/>
    <pivotTable tabId="8" name="樞紐分析表1"/>
    <pivotTable tabId="8" name="樞紐分析表2"/>
    <pivotTable tabId="8" name="樞紐分析表3"/>
  </pivotTables>
  <state minimalRefreshVersion="6" lastRefreshVersion="6" pivotCacheId="1303564834" filterType="dateBetween">
    <selection startDate="2024-01-01T00:00:00" endDate="2024-01-31T00:00:00"/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數據日期_2" xr10:uid="{B711DAD0-1D47-4394-84E7-03C331983937}" cache="NativeTimeline_數據日期_2" caption="數據日期_2" showHeader="0" level="2" selectionLevel="2" scrollPosition="2024-01-01T00:00:00" style="時間表樣式 1"/>
</timeline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2"/>
  <sheetViews>
    <sheetView topLeftCell="A22" zoomScale="70" zoomScaleNormal="70" workbookViewId="0">
      <selection activeCell="B52" sqref="B52"/>
    </sheetView>
  </sheetViews>
  <sheetFormatPr defaultRowHeight="16.2"/>
  <cols>
    <col min="1" max="2" width="9" style="8"/>
    <col min="6" max="6" width="18.6640625" customWidth="1"/>
    <col min="7" max="7" width="18.77734375" customWidth="1"/>
    <col min="13" max="13" width="8.88671875" customWidth="1"/>
  </cols>
  <sheetData>
    <row r="1" spans="1:13">
      <c r="A1" s="8" t="s">
        <v>61</v>
      </c>
      <c r="B1" s="8" t="s">
        <v>62</v>
      </c>
    </row>
    <row r="2" spans="1:13">
      <c r="A2" s="11" t="s">
        <v>16</v>
      </c>
      <c r="B2" s="24" t="s">
        <v>37</v>
      </c>
      <c r="C2" s="8" t="s">
        <v>54</v>
      </c>
    </row>
    <row r="3" spans="1:13">
      <c r="A3" s="13" t="s">
        <v>16</v>
      </c>
      <c r="B3" s="24" t="s">
        <v>48</v>
      </c>
      <c r="C3" s="8" t="s">
        <v>54</v>
      </c>
    </row>
    <row r="4" spans="1:13">
      <c r="A4" s="11" t="s">
        <v>16</v>
      </c>
      <c r="B4" s="24" t="s">
        <v>53</v>
      </c>
      <c r="C4" s="8" t="s">
        <v>54</v>
      </c>
    </row>
    <row r="5" spans="1:13">
      <c r="A5" s="13" t="s">
        <v>16</v>
      </c>
      <c r="B5" s="24" t="s">
        <v>40</v>
      </c>
      <c r="C5" s="8" t="s">
        <v>54</v>
      </c>
    </row>
    <row r="6" spans="1:13">
      <c r="A6" s="11" t="s">
        <v>16</v>
      </c>
      <c r="B6" s="24" t="s">
        <v>19</v>
      </c>
      <c r="C6" s="8" t="s">
        <v>54</v>
      </c>
      <c r="K6" t="s">
        <v>78</v>
      </c>
      <c r="L6" t="s">
        <v>82</v>
      </c>
    </row>
    <row r="7" spans="1:13">
      <c r="A7" s="13" t="s">
        <v>16</v>
      </c>
      <c r="B7" s="24" t="s">
        <v>25</v>
      </c>
      <c r="C7" s="8" t="s">
        <v>54</v>
      </c>
      <c r="J7" s="1"/>
      <c r="K7" s="26" t="s">
        <v>77</v>
      </c>
      <c r="L7" s="8" t="s">
        <v>79</v>
      </c>
    </row>
    <row r="8" spans="1:13">
      <c r="A8" s="11" t="s">
        <v>16</v>
      </c>
      <c r="B8" s="24" t="s">
        <v>39</v>
      </c>
      <c r="C8" s="8" t="s">
        <v>54</v>
      </c>
      <c r="J8" s="2"/>
      <c r="K8" s="8" t="s">
        <v>55</v>
      </c>
      <c r="L8" s="8" t="s">
        <v>80</v>
      </c>
    </row>
    <row r="9" spans="1:13">
      <c r="A9" s="21" t="s">
        <v>16</v>
      </c>
      <c r="B9" s="25" t="s">
        <v>49</v>
      </c>
      <c r="C9" s="8" t="s">
        <v>54</v>
      </c>
      <c r="J9" s="3"/>
      <c r="K9" s="8" t="s">
        <v>56</v>
      </c>
      <c r="L9" s="8" t="s">
        <v>81</v>
      </c>
    </row>
    <row r="10" spans="1:13">
      <c r="A10" s="11" t="s">
        <v>16</v>
      </c>
      <c r="B10" s="15" t="s">
        <v>20</v>
      </c>
      <c r="C10" s="8" t="s">
        <v>55</v>
      </c>
      <c r="J10" s="4"/>
      <c r="K10" s="8" t="s">
        <v>57</v>
      </c>
      <c r="L10" s="8"/>
    </row>
    <row r="11" spans="1:13">
      <c r="A11" s="13" t="s">
        <v>16</v>
      </c>
      <c r="B11" s="15" t="s">
        <v>21</v>
      </c>
      <c r="C11" s="8" t="s">
        <v>55</v>
      </c>
      <c r="J11" s="5"/>
      <c r="K11" s="8" t="s">
        <v>58</v>
      </c>
    </row>
    <row r="12" spans="1:13">
      <c r="A12" s="11" t="s">
        <v>16</v>
      </c>
      <c r="B12" s="15" t="s">
        <v>26</v>
      </c>
      <c r="C12" s="8" t="s">
        <v>55</v>
      </c>
      <c r="J12" s="6"/>
      <c r="K12" s="8" t="s">
        <v>59</v>
      </c>
    </row>
    <row r="13" spans="1:13">
      <c r="A13" s="13" t="s">
        <v>16</v>
      </c>
      <c r="B13" s="15" t="s">
        <v>46</v>
      </c>
      <c r="C13" s="8" t="s">
        <v>55</v>
      </c>
      <c r="J13" s="7"/>
      <c r="K13" s="8" t="s">
        <v>60</v>
      </c>
    </row>
    <row r="14" spans="1:13">
      <c r="A14" s="11" t="s">
        <v>16</v>
      </c>
      <c r="B14" s="15" t="s">
        <v>18</v>
      </c>
      <c r="C14" s="8" t="s">
        <v>55</v>
      </c>
    </row>
    <row r="15" spans="1:13">
      <c r="A15" s="13" t="s">
        <v>16</v>
      </c>
      <c r="B15" s="15" t="s">
        <v>43</v>
      </c>
      <c r="C15" s="8" t="s">
        <v>55</v>
      </c>
      <c r="M15" s="8"/>
    </row>
    <row r="16" spans="1:13">
      <c r="A16" s="11" t="s">
        <v>16</v>
      </c>
      <c r="B16" s="15" t="s">
        <v>52</v>
      </c>
      <c r="C16" s="8" t="s">
        <v>55</v>
      </c>
    </row>
    <row r="17" spans="1:62">
      <c r="A17" s="13" t="s">
        <v>16</v>
      </c>
      <c r="B17" s="15" t="s">
        <v>47</v>
      </c>
      <c r="C17" s="8" t="s">
        <v>55</v>
      </c>
    </row>
    <row r="18" spans="1:62">
      <c r="A18" s="11" t="s">
        <v>16</v>
      </c>
      <c r="B18" s="15" t="s">
        <v>35</v>
      </c>
      <c r="C18" s="8" t="s">
        <v>55</v>
      </c>
    </row>
    <row r="19" spans="1:62">
      <c r="A19" s="13" t="s">
        <v>16</v>
      </c>
      <c r="B19" s="15" t="s">
        <v>29</v>
      </c>
      <c r="C19" s="8" t="s">
        <v>55</v>
      </c>
    </row>
    <row r="20" spans="1:62">
      <c r="A20" s="16" t="s">
        <v>16</v>
      </c>
      <c r="B20" s="17" t="s">
        <v>36</v>
      </c>
      <c r="C20" s="8" t="s">
        <v>55</v>
      </c>
      <c r="K20" t="s">
        <v>78</v>
      </c>
      <c r="L20" s="26" t="s">
        <v>77</v>
      </c>
      <c r="M20" s="8" t="s">
        <v>55</v>
      </c>
      <c r="N20" s="8" t="s">
        <v>56</v>
      </c>
      <c r="O20" s="8" t="s">
        <v>57</v>
      </c>
      <c r="P20" s="8" t="s">
        <v>58</v>
      </c>
      <c r="Q20" s="8" t="s">
        <v>59</v>
      </c>
      <c r="R20" s="8" t="s">
        <v>60</v>
      </c>
    </row>
    <row r="21" spans="1:62">
      <c r="A21" s="11" t="s">
        <v>16</v>
      </c>
      <c r="B21" s="20" t="s">
        <v>17</v>
      </c>
      <c r="C21" s="8" t="s">
        <v>56</v>
      </c>
      <c r="K21" t="s">
        <v>82</v>
      </c>
      <c r="L21" s="8" t="s">
        <v>79</v>
      </c>
      <c r="M21" s="8" t="s">
        <v>80</v>
      </c>
      <c r="N21" s="8" t="s">
        <v>81</v>
      </c>
      <c r="O21" s="8"/>
    </row>
    <row r="22" spans="1:62">
      <c r="A22" s="13" t="s">
        <v>16</v>
      </c>
      <c r="B22" s="20" t="s">
        <v>41</v>
      </c>
      <c r="C22" s="8" t="s">
        <v>56</v>
      </c>
      <c r="K22" t="s">
        <v>83</v>
      </c>
      <c r="L22" s="24" t="s">
        <v>37</v>
      </c>
      <c r="M22" s="24" t="s">
        <v>48</v>
      </c>
      <c r="N22" s="24" t="s">
        <v>53</v>
      </c>
      <c r="O22" s="24" t="s">
        <v>40</v>
      </c>
      <c r="P22" s="24" t="s">
        <v>19</v>
      </c>
      <c r="Q22" s="24" t="s">
        <v>25</v>
      </c>
      <c r="R22" s="24" t="s">
        <v>39</v>
      </c>
      <c r="S22" s="25" t="s">
        <v>49</v>
      </c>
      <c r="T22" s="15" t="s">
        <v>20</v>
      </c>
      <c r="U22" s="15" t="s">
        <v>21</v>
      </c>
      <c r="V22" s="15" t="s">
        <v>26</v>
      </c>
      <c r="W22" s="15" t="s">
        <v>46</v>
      </c>
      <c r="X22" s="15" t="s">
        <v>18</v>
      </c>
      <c r="Y22" s="15" t="s">
        <v>43</v>
      </c>
      <c r="Z22" s="15" t="s">
        <v>52</v>
      </c>
      <c r="AA22" s="15" t="s">
        <v>47</v>
      </c>
      <c r="AB22" s="15" t="s">
        <v>35</v>
      </c>
      <c r="AC22" s="15" t="s">
        <v>29</v>
      </c>
      <c r="AD22" s="17" t="s">
        <v>36</v>
      </c>
      <c r="AE22" s="20" t="s">
        <v>17</v>
      </c>
      <c r="AF22" s="20" t="s">
        <v>41</v>
      </c>
      <c r="AG22" s="20" t="s">
        <v>45</v>
      </c>
      <c r="AH22" s="20" t="s">
        <v>34</v>
      </c>
      <c r="AI22" s="20" t="s">
        <v>42</v>
      </c>
      <c r="AJ22" s="20" t="s">
        <v>38</v>
      </c>
      <c r="AK22" s="20" t="s">
        <v>28</v>
      </c>
      <c r="AL22" s="20" t="s">
        <v>22</v>
      </c>
      <c r="AM22" s="20" t="s">
        <v>24</v>
      </c>
      <c r="AN22" s="22" t="s">
        <v>31</v>
      </c>
      <c r="AO22" s="18" t="s">
        <v>30</v>
      </c>
      <c r="AP22" s="18" t="s">
        <v>23</v>
      </c>
      <c r="AQ22" s="18" t="s">
        <v>50</v>
      </c>
      <c r="AR22" s="18" t="s">
        <v>33</v>
      </c>
      <c r="AS22" s="18" t="s">
        <v>44</v>
      </c>
      <c r="AT22" s="18" t="s">
        <v>32</v>
      </c>
      <c r="AU22" s="19" t="s">
        <v>27</v>
      </c>
      <c r="AV22" s="14" t="s">
        <v>12</v>
      </c>
      <c r="AW22" s="14" t="s">
        <v>13</v>
      </c>
      <c r="AX22" s="14" t="s">
        <v>11</v>
      </c>
      <c r="AY22" s="14" t="s">
        <v>15</v>
      </c>
      <c r="AZ22" s="14" t="s">
        <v>14</v>
      </c>
      <c r="BA22" s="12" t="s">
        <v>7</v>
      </c>
      <c r="BB22" s="12" t="s">
        <v>5</v>
      </c>
      <c r="BC22" s="12" t="s">
        <v>9</v>
      </c>
      <c r="BD22" s="12" t="s">
        <v>1</v>
      </c>
      <c r="BE22" s="12" t="s">
        <v>4</v>
      </c>
      <c r="BF22" s="12" t="s">
        <v>3</v>
      </c>
      <c r="BG22" s="12" t="s">
        <v>2</v>
      </c>
      <c r="BH22" s="12" t="s">
        <v>8</v>
      </c>
      <c r="BI22" s="12" t="s">
        <v>6</v>
      </c>
      <c r="BJ22" s="23" t="s">
        <v>51</v>
      </c>
    </row>
    <row r="23" spans="1:62">
      <c r="A23" s="11" t="s">
        <v>16</v>
      </c>
      <c r="B23" s="20" t="s">
        <v>45</v>
      </c>
      <c r="C23" s="8" t="s">
        <v>56</v>
      </c>
    </row>
    <row r="24" spans="1:62">
      <c r="A24" s="13" t="s">
        <v>16</v>
      </c>
      <c r="B24" s="20" t="s">
        <v>34</v>
      </c>
      <c r="C24" s="8" t="s">
        <v>56</v>
      </c>
    </row>
    <row r="25" spans="1:62">
      <c r="A25" s="11" t="s">
        <v>16</v>
      </c>
      <c r="B25" s="20" t="s">
        <v>42</v>
      </c>
      <c r="C25" s="8" t="s">
        <v>56</v>
      </c>
    </row>
    <row r="26" spans="1:62">
      <c r="A26" s="13" t="s">
        <v>16</v>
      </c>
      <c r="B26" s="20" t="s">
        <v>38</v>
      </c>
      <c r="C26" s="8" t="s">
        <v>56</v>
      </c>
    </row>
    <row r="27" spans="1:62">
      <c r="A27" s="11" t="s">
        <v>16</v>
      </c>
      <c r="B27" s="20" t="s">
        <v>28</v>
      </c>
      <c r="C27" s="8" t="s">
        <v>56</v>
      </c>
    </row>
    <row r="28" spans="1:62">
      <c r="A28" s="13" t="s">
        <v>16</v>
      </c>
      <c r="B28" s="20" t="s">
        <v>22</v>
      </c>
      <c r="C28" s="8" t="s">
        <v>56</v>
      </c>
    </row>
    <row r="29" spans="1:62">
      <c r="A29" s="11" t="s">
        <v>16</v>
      </c>
      <c r="B29" s="20" t="s">
        <v>24</v>
      </c>
      <c r="C29" s="8" t="s">
        <v>56</v>
      </c>
    </row>
    <row r="30" spans="1:62">
      <c r="A30" s="21" t="s">
        <v>16</v>
      </c>
      <c r="B30" s="22" t="s">
        <v>31</v>
      </c>
      <c r="C30" s="8" t="s">
        <v>56</v>
      </c>
    </row>
    <row r="31" spans="1:62">
      <c r="A31" s="11" t="s">
        <v>16</v>
      </c>
      <c r="B31" s="18" t="s">
        <v>30</v>
      </c>
      <c r="C31" s="8" t="s">
        <v>57</v>
      </c>
    </row>
    <row r="32" spans="1:62">
      <c r="A32" s="13" t="s">
        <v>16</v>
      </c>
      <c r="B32" s="18" t="s">
        <v>23</v>
      </c>
      <c r="C32" s="8" t="s">
        <v>57</v>
      </c>
    </row>
    <row r="33" spans="1:3">
      <c r="A33" s="11" t="s">
        <v>16</v>
      </c>
      <c r="B33" s="18" t="s">
        <v>50</v>
      </c>
      <c r="C33" s="8" t="s">
        <v>57</v>
      </c>
    </row>
    <row r="34" spans="1:3">
      <c r="A34" s="13" t="s">
        <v>16</v>
      </c>
      <c r="B34" s="18" t="s">
        <v>33</v>
      </c>
      <c r="C34" s="8" t="s">
        <v>57</v>
      </c>
    </row>
    <row r="35" spans="1:3">
      <c r="A35" s="11" t="s">
        <v>16</v>
      </c>
      <c r="B35" s="18" t="s">
        <v>44</v>
      </c>
      <c r="C35" s="8" t="s">
        <v>57</v>
      </c>
    </row>
    <row r="36" spans="1:3">
      <c r="A36" s="13" t="s">
        <v>16</v>
      </c>
      <c r="B36" s="18" t="s">
        <v>32</v>
      </c>
      <c r="C36" s="8" t="s">
        <v>57</v>
      </c>
    </row>
    <row r="37" spans="1:3">
      <c r="A37" s="16" t="s">
        <v>16</v>
      </c>
      <c r="B37" s="19" t="s">
        <v>27</v>
      </c>
      <c r="C37" s="8" t="s">
        <v>57</v>
      </c>
    </row>
    <row r="38" spans="1:3">
      <c r="A38" s="11" t="s">
        <v>10</v>
      </c>
      <c r="B38" s="14" t="s">
        <v>12</v>
      </c>
      <c r="C38" s="8" t="s">
        <v>58</v>
      </c>
    </row>
    <row r="39" spans="1:3">
      <c r="A39" s="13" t="s">
        <v>10</v>
      </c>
      <c r="B39" s="14" t="s">
        <v>13</v>
      </c>
      <c r="C39" s="8" t="s">
        <v>58</v>
      </c>
    </row>
    <row r="40" spans="1:3">
      <c r="A40" s="11" t="s">
        <v>10</v>
      </c>
      <c r="B40" s="14" t="s">
        <v>11</v>
      </c>
      <c r="C40" s="8" t="s">
        <v>58</v>
      </c>
    </row>
    <row r="41" spans="1:3">
      <c r="A41" s="13" t="s">
        <v>10</v>
      </c>
      <c r="B41" s="14" t="s">
        <v>15</v>
      </c>
      <c r="C41" s="8" t="s">
        <v>58</v>
      </c>
    </row>
    <row r="42" spans="1:3">
      <c r="A42" s="11" t="s">
        <v>10</v>
      </c>
      <c r="B42" s="14" t="s">
        <v>14</v>
      </c>
      <c r="C42" s="8" t="s">
        <v>58</v>
      </c>
    </row>
    <row r="43" spans="1:3">
      <c r="A43" s="11" t="s">
        <v>0</v>
      </c>
      <c r="B43" s="12" t="s">
        <v>7</v>
      </c>
      <c r="C43" s="8" t="s">
        <v>59</v>
      </c>
    </row>
    <row r="44" spans="1:3">
      <c r="A44" s="13" t="s">
        <v>0</v>
      </c>
      <c r="B44" s="12" t="s">
        <v>5</v>
      </c>
      <c r="C44" s="8" t="s">
        <v>59</v>
      </c>
    </row>
    <row r="45" spans="1:3">
      <c r="A45" s="11" t="s">
        <v>0</v>
      </c>
      <c r="B45" s="12" t="s">
        <v>9</v>
      </c>
      <c r="C45" s="8" t="s">
        <v>59</v>
      </c>
    </row>
    <row r="46" spans="1:3">
      <c r="A46" s="13" t="s">
        <v>0</v>
      </c>
      <c r="B46" s="12" t="s">
        <v>1</v>
      </c>
      <c r="C46" s="8" t="s">
        <v>59</v>
      </c>
    </row>
    <row r="47" spans="1:3">
      <c r="A47" s="11" t="s">
        <v>0</v>
      </c>
      <c r="B47" s="12" t="s">
        <v>4</v>
      </c>
      <c r="C47" s="8" t="s">
        <v>59</v>
      </c>
    </row>
    <row r="48" spans="1:3">
      <c r="A48" s="13" t="s">
        <v>0</v>
      </c>
      <c r="B48" s="12" t="s">
        <v>3</v>
      </c>
      <c r="C48" s="8" t="s">
        <v>59</v>
      </c>
    </row>
    <row r="49" spans="1:3">
      <c r="A49" s="11" t="s">
        <v>0</v>
      </c>
      <c r="B49" s="12" t="s">
        <v>2</v>
      </c>
      <c r="C49" s="8" t="s">
        <v>59</v>
      </c>
    </row>
    <row r="50" spans="1:3">
      <c r="A50" s="13" t="s">
        <v>0</v>
      </c>
      <c r="B50" s="12" t="s">
        <v>8</v>
      </c>
      <c r="C50" s="8" t="s">
        <v>59</v>
      </c>
    </row>
    <row r="51" spans="1:3">
      <c r="A51" s="11" t="s">
        <v>0</v>
      </c>
      <c r="B51" s="12" t="s">
        <v>6</v>
      </c>
      <c r="C51" s="8" t="s">
        <v>59</v>
      </c>
    </row>
    <row r="52" spans="1:3">
      <c r="A52" s="16" t="s">
        <v>76</v>
      </c>
      <c r="B52" s="23" t="s">
        <v>51</v>
      </c>
      <c r="C52" s="8" t="s">
        <v>60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2C6D-11F5-4694-A5DB-A1E6CBFBD466}">
  <dimension ref="A1:O3535"/>
  <sheetViews>
    <sheetView topLeftCell="A1866" workbookViewId="0">
      <selection activeCell="K2269" sqref="K2269"/>
    </sheetView>
  </sheetViews>
  <sheetFormatPr defaultRowHeight="16.2"/>
  <cols>
    <col min="1" max="1" width="10.77734375" style="10" bestFit="1" customWidth="1"/>
    <col min="2" max="3" width="13.21875" bestFit="1" customWidth="1"/>
    <col min="4" max="4" width="15.77734375" bestFit="1" customWidth="1"/>
    <col min="5" max="5" width="12.77734375" style="27" bestFit="1" customWidth="1"/>
    <col min="6" max="8" width="13.21875" bestFit="1" customWidth="1"/>
    <col min="9" max="9" width="10.6640625" bestFit="1" customWidth="1"/>
    <col min="10" max="10" width="10.77734375" bestFit="1" customWidth="1"/>
    <col min="11" max="11" width="15.6640625" bestFit="1" customWidth="1"/>
    <col min="12" max="12" width="10.33203125" bestFit="1" customWidth="1"/>
    <col min="13" max="13" width="14.109375" customWidth="1"/>
    <col min="15" max="15" width="12.5546875" customWidth="1"/>
  </cols>
  <sheetData>
    <row r="1" spans="1:15">
      <c r="A1" s="10" t="s">
        <v>63</v>
      </c>
      <c r="B1" t="s">
        <v>64</v>
      </c>
      <c r="C1" t="s">
        <v>65</v>
      </c>
      <c r="D1" t="s">
        <v>66</v>
      </c>
      <c r="E1" s="28" t="s">
        <v>67</v>
      </c>
      <c r="F1" t="s">
        <v>68</v>
      </c>
      <c r="G1" t="s">
        <v>69</v>
      </c>
      <c r="H1" t="s">
        <v>93</v>
      </c>
      <c r="I1" t="s">
        <v>86</v>
      </c>
      <c r="J1" t="s">
        <v>70</v>
      </c>
      <c r="K1" t="s">
        <v>72</v>
      </c>
      <c r="L1" t="s">
        <v>71</v>
      </c>
      <c r="M1" t="s">
        <v>85</v>
      </c>
      <c r="N1" t="s">
        <v>84</v>
      </c>
      <c r="O1" t="s">
        <v>92</v>
      </c>
    </row>
    <row r="2" spans="1:15" hidden="1">
      <c r="A2" s="10" t="s">
        <v>73</v>
      </c>
      <c r="B2" t="s">
        <v>1</v>
      </c>
      <c r="C2">
        <v>0</v>
      </c>
      <c r="D2">
        <v>0</v>
      </c>
      <c r="E2" s="27">
        <v>0</v>
      </c>
      <c r="F2">
        <v>0</v>
      </c>
      <c r="G2">
        <v>0</v>
      </c>
      <c r="H2">
        <v>0</v>
      </c>
      <c r="I2">
        <v>0</v>
      </c>
      <c r="J2">
        <v>0</v>
      </c>
      <c r="K2" s="9">
        <v>45292</v>
      </c>
      <c r="L2">
        <f xml:space="preserve"> (交易處理資料__3[[#This Row],[售出工時]] * 60) / 5</f>
        <v>0</v>
      </c>
      <c r="M2" t="str">
        <f>VLOOKUP(交易處理資料__3[[#This Row],[人員代號]],團隊分組!$B$1:$C$52,2,FALSE)</f>
        <v>噴漆維修組</v>
      </c>
      <c r="N2">
        <f>IF(交易處理資料__3[[#This Row],[上班時間]]=0,0,交易處理資料__3[[#This Row],[售出工時]]/交易處理資料__3[[#This Row],[上班時間]])</f>
        <v>0</v>
      </c>
      <c r="O2" s="31" t="str">
        <f>IF(交易處理資料__3[[#This Row],[上班時間]]=0,"否","是")</f>
        <v>否</v>
      </c>
    </row>
    <row r="3" spans="1:15" hidden="1">
      <c r="A3" s="10" t="s">
        <v>73</v>
      </c>
      <c r="B3" t="s">
        <v>2</v>
      </c>
      <c r="C3">
        <v>0</v>
      </c>
      <c r="D3">
        <v>0</v>
      </c>
      <c r="E3" s="27">
        <v>0</v>
      </c>
      <c r="F3">
        <v>0</v>
      </c>
      <c r="G3">
        <v>0</v>
      </c>
      <c r="H3">
        <v>0</v>
      </c>
      <c r="I3">
        <v>0</v>
      </c>
      <c r="J3">
        <v>0</v>
      </c>
      <c r="K3" s="9">
        <v>45292</v>
      </c>
      <c r="L3">
        <f xml:space="preserve"> (交易處理資料__3[[#This Row],[售出工時]] * 60) / 5</f>
        <v>0</v>
      </c>
      <c r="M3" t="str">
        <f>VLOOKUP(交易處理資料__3[[#This Row],[人員代號]],團隊分組!$B$1:$C$52,2,FALSE)</f>
        <v>噴漆維修組</v>
      </c>
      <c r="N3">
        <f>IF(交易處理資料__3[[#This Row],[上班時間]]=0,0,交易處理資料__3[[#This Row],[售出工時]]/交易處理資料__3[[#This Row],[上班時間]])</f>
        <v>0</v>
      </c>
      <c r="O3" s="31" t="str">
        <f>IF(交易處理資料__3[[#This Row],[上班時間]]=0,"否","是")</f>
        <v>否</v>
      </c>
    </row>
    <row r="4" spans="1:15" hidden="1">
      <c r="A4" s="10" t="s">
        <v>73</v>
      </c>
      <c r="B4" t="s">
        <v>3</v>
      </c>
      <c r="C4">
        <v>0</v>
      </c>
      <c r="D4">
        <v>0</v>
      </c>
      <c r="E4" s="27">
        <v>0</v>
      </c>
      <c r="F4">
        <v>0</v>
      </c>
      <c r="G4">
        <v>0</v>
      </c>
      <c r="H4">
        <v>0</v>
      </c>
      <c r="I4">
        <v>0</v>
      </c>
      <c r="J4">
        <v>0</v>
      </c>
      <c r="K4" s="9">
        <v>45292</v>
      </c>
      <c r="L4">
        <f xml:space="preserve"> (交易處理資料__3[[#This Row],[售出工時]] * 60) / 5</f>
        <v>0</v>
      </c>
      <c r="M4" t="str">
        <f>VLOOKUP(交易處理資料__3[[#This Row],[人員代號]],團隊分組!$B$1:$C$52,2,FALSE)</f>
        <v>噴漆維修組</v>
      </c>
      <c r="N4">
        <f>IF(交易處理資料__3[[#This Row],[上班時間]]=0,0,交易處理資料__3[[#This Row],[售出工時]]/交易處理資料__3[[#This Row],[上班時間]])</f>
        <v>0</v>
      </c>
      <c r="O4" s="31" t="str">
        <f>IF(交易處理資料__3[[#This Row],[上班時間]]=0,"否","是")</f>
        <v>否</v>
      </c>
    </row>
    <row r="5" spans="1:15" hidden="1">
      <c r="A5" s="10" t="s">
        <v>73</v>
      </c>
      <c r="B5" t="s">
        <v>4</v>
      </c>
      <c r="C5">
        <v>0</v>
      </c>
      <c r="D5">
        <v>0</v>
      </c>
      <c r="E5" s="27">
        <v>0</v>
      </c>
      <c r="F5">
        <v>0</v>
      </c>
      <c r="G5">
        <v>0</v>
      </c>
      <c r="H5">
        <v>0</v>
      </c>
      <c r="I5">
        <v>0</v>
      </c>
      <c r="J5">
        <v>0</v>
      </c>
      <c r="K5" s="9">
        <v>45292</v>
      </c>
      <c r="L5">
        <f xml:space="preserve"> (交易處理資料__3[[#This Row],[售出工時]] * 60) / 5</f>
        <v>0</v>
      </c>
      <c r="M5" t="str">
        <f>VLOOKUP(交易處理資料__3[[#This Row],[人員代號]],團隊分組!$B$1:$C$52,2,FALSE)</f>
        <v>噴漆維修組</v>
      </c>
      <c r="N5">
        <f>IF(交易處理資料__3[[#This Row],[上班時間]]=0,0,交易處理資料__3[[#This Row],[售出工時]]/交易處理資料__3[[#This Row],[上班時間]])</f>
        <v>0</v>
      </c>
      <c r="O5" s="31" t="str">
        <f>IF(交易處理資料__3[[#This Row],[上班時間]]=0,"否","是")</f>
        <v>否</v>
      </c>
    </row>
    <row r="6" spans="1:15" hidden="1">
      <c r="A6" s="10" t="s">
        <v>73</v>
      </c>
      <c r="B6" t="s">
        <v>5</v>
      </c>
      <c r="C6">
        <v>0</v>
      </c>
      <c r="D6">
        <v>0</v>
      </c>
      <c r="E6" s="27">
        <v>0</v>
      </c>
      <c r="F6">
        <v>0</v>
      </c>
      <c r="G6">
        <v>0</v>
      </c>
      <c r="H6">
        <v>0</v>
      </c>
      <c r="I6">
        <v>0</v>
      </c>
      <c r="J6">
        <v>0</v>
      </c>
      <c r="K6" s="9">
        <v>45292</v>
      </c>
      <c r="L6">
        <f xml:space="preserve"> (交易處理資料__3[[#This Row],[售出工時]] * 60) / 5</f>
        <v>0</v>
      </c>
      <c r="M6" t="str">
        <f>VLOOKUP(交易處理資料__3[[#This Row],[人員代號]],團隊分組!$B$1:$C$52,2,FALSE)</f>
        <v>噴漆維修組</v>
      </c>
      <c r="N6">
        <f>IF(交易處理資料__3[[#This Row],[上班時間]]=0,0,交易處理資料__3[[#This Row],[售出工時]]/交易處理資料__3[[#This Row],[上班時間]])</f>
        <v>0</v>
      </c>
      <c r="O6" s="31" t="str">
        <f>IF(交易處理資料__3[[#This Row],[上班時間]]=0,"否","是")</f>
        <v>否</v>
      </c>
    </row>
    <row r="7" spans="1:15" hidden="1">
      <c r="A7" s="10" t="s">
        <v>73</v>
      </c>
      <c r="B7" t="s">
        <v>6</v>
      </c>
      <c r="C7">
        <v>0</v>
      </c>
      <c r="D7">
        <v>0</v>
      </c>
      <c r="E7" s="27">
        <v>0</v>
      </c>
      <c r="F7">
        <v>0</v>
      </c>
      <c r="G7">
        <v>0</v>
      </c>
      <c r="H7">
        <v>0</v>
      </c>
      <c r="I7">
        <v>0</v>
      </c>
      <c r="J7">
        <v>0</v>
      </c>
      <c r="K7" s="9">
        <v>45292</v>
      </c>
      <c r="L7">
        <f xml:space="preserve"> (交易處理資料__3[[#This Row],[售出工時]] * 60) / 5</f>
        <v>0</v>
      </c>
      <c r="M7" t="str">
        <f>VLOOKUP(交易處理資料__3[[#This Row],[人員代號]],團隊分組!$B$1:$C$52,2,FALSE)</f>
        <v>噴漆維修組</v>
      </c>
      <c r="N7">
        <f>IF(交易處理資料__3[[#This Row],[上班時間]]=0,0,交易處理資料__3[[#This Row],[售出工時]]/交易處理資料__3[[#This Row],[上班時間]])</f>
        <v>0</v>
      </c>
      <c r="O7" s="31" t="str">
        <f>IF(交易處理資料__3[[#This Row],[上班時間]]=0,"否","是")</f>
        <v>否</v>
      </c>
    </row>
    <row r="8" spans="1:15" hidden="1">
      <c r="A8" s="10" t="s">
        <v>73</v>
      </c>
      <c r="B8" t="s">
        <v>7</v>
      </c>
      <c r="C8">
        <v>0</v>
      </c>
      <c r="D8">
        <v>0</v>
      </c>
      <c r="E8" s="27">
        <v>0</v>
      </c>
      <c r="F8">
        <v>0</v>
      </c>
      <c r="G8">
        <v>0</v>
      </c>
      <c r="H8">
        <v>0</v>
      </c>
      <c r="I8">
        <v>0</v>
      </c>
      <c r="J8">
        <v>0</v>
      </c>
      <c r="K8" s="9">
        <v>45292</v>
      </c>
      <c r="L8">
        <f xml:space="preserve"> (交易處理資料__3[[#This Row],[售出工時]] * 60) / 5</f>
        <v>0</v>
      </c>
      <c r="M8" t="str">
        <f>VLOOKUP(交易處理資料__3[[#This Row],[人員代號]],團隊分組!$B$1:$C$52,2,FALSE)</f>
        <v>噴漆維修組</v>
      </c>
      <c r="N8">
        <f>IF(交易處理資料__3[[#This Row],[上班時間]]=0,0,交易處理資料__3[[#This Row],[售出工時]]/交易處理資料__3[[#This Row],[上班時間]])</f>
        <v>0</v>
      </c>
      <c r="O8" s="31" t="str">
        <f>IF(交易處理資料__3[[#This Row],[上班時間]]=0,"否","是")</f>
        <v>否</v>
      </c>
    </row>
    <row r="9" spans="1:15" hidden="1">
      <c r="A9" s="10" t="s">
        <v>73</v>
      </c>
      <c r="B9" t="s">
        <v>8</v>
      </c>
      <c r="C9">
        <v>0</v>
      </c>
      <c r="D9">
        <v>0</v>
      </c>
      <c r="E9" s="27">
        <v>0</v>
      </c>
      <c r="F9">
        <v>0</v>
      </c>
      <c r="G9">
        <v>0</v>
      </c>
      <c r="H9">
        <v>0</v>
      </c>
      <c r="I9">
        <v>0</v>
      </c>
      <c r="J9">
        <v>0</v>
      </c>
      <c r="K9" s="9">
        <v>45292</v>
      </c>
      <c r="L9">
        <f xml:space="preserve"> (交易處理資料__3[[#This Row],[售出工時]] * 60) / 5</f>
        <v>0</v>
      </c>
      <c r="M9" t="str">
        <f>VLOOKUP(交易處理資料__3[[#This Row],[人員代號]],團隊分組!$B$1:$C$52,2,FALSE)</f>
        <v>噴漆維修組</v>
      </c>
      <c r="N9">
        <f>IF(交易處理資料__3[[#This Row],[上班時間]]=0,0,交易處理資料__3[[#This Row],[售出工時]]/交易處理資料__3[[#This Row],[上班時間]])</f>
        <v>0</v>
      </c>
      <c r="O9" s="31" t="str">
        <f>IF(交易處理資料__3[[#This Row],[上班時間]]=0,"否","是")</f>
        <v>否</v>
      </c>
    </row>
    <row r="10" spans="1:15" hidden="1">
      <c r="A10" s="10" t="s">
        <v>73</v>
      </c>
      <c r="B10" t="s">
        <v>9</v>
      </c>
      <c r="C10">
        <v>0</v>
      </c>
      <c r="D10">
        <v>0</v>
      </c>
      <c r="E10" s="27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9">
        <v>45292</v>
      </c>
      <c r="L10">
        <f xml:space="preserve"> (交易處理資料__3[[#This Row],[售出工時]] * 60) / 5</f>
        <v>0</v>
      </c>
      <c r="M10" t="str">
        <f>VLOOKUP(交易處理資料__3[[#This Row],[人員代號]],團隊分組!$B$1:$C$52,2,FALSE)</f>
        <v>噴漆維修組</v>
      </c>
      <c r="N10">
        <f>IF(交易處理資料__3[[#This Row],[上班時間]]=0,0,交易處理資料__3[[#This Row],[售出工時]]/交易處理資料__3[[#This Row],[上班時間]])</f>
        <v>0</v>
      </c>
      <c r="O10" s="31" t="str">
        <f>IF(交易處理資料__3[[#This Row],[上班時間]]=0,"否","是")</f>
        <v>否</v>
      </c>
    </row>
    <row r="11" spans="1:15" hidden="1">
      <c r="A11" t="s">
        <v>74</v>
      </c>
      <c r="B11" t="s">
        <v>11</v>
      </c>
      <c r="C11">
        <v>0</v>
      </c>
      <c r="D11">
        <v>0</v>
      </c>
      <c r="E11" s="27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9">
        <v>45292</v>
      </c>
      <c r="L11">
        <f xml:space="preserve"> (交易處理資料__3[[#This Row],[售出工時]] * 60) / 5</f>
        <v>0</v>
      </c>
      <c r="M11" t="str">
        <f>VLOOKUP(交易處理資料__3[[#This Row],[人員代號]],團隊分組!$B$1:$C$52,2,FALSE)</f>
        <v>鈑金維修組</v>
      </c>
      <c r="N11">
        <f>IF(交易處理資料__3[[#This Row],[上班時間]]=0,0,交易處理資料__3[[#This Row],[售出工時]]/交易處理資料__3[[#This Row],[上班時間]])</f>
        <v>0</v>
      </c>
      <c r="O11" s="31" t="str">
        <f>IF(交易處理資料__3[[#This Row],[上班時間]]=0,"否","是")</f>
        <v>否</v>
      </c>
    </row>
    <row r="12" spans="1:15" hidden="1">
      <c r="A12" t="s">
        <v>74</v>
      </c>
      <c r="B12" t="s">
        <v>12</v>
      </c>
      <c r="C12">
        <v>0</v>
      </c>
      <c r="D12">
        <v>0</v>
      </c>
      <c r="E12" s="27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9">
        <v>45292</v>
      </c>
      <c r="L12">
        <f xml:space="preserve"> (交易處理資料__3[[#This Row],[售出工時]] * 60) / 5</f>
        <v>0</v>
      </c>
      <c r="M12" t="str">
        <f>VLOOKUP(交易處理資料__3[[#This Row],[人員代號]],團隊分組!$B$1:$C$52,2,FALSE)</f>
        <v>鈑金維修組</v>
      </c>
      <c r="N12">
        <f>IF(交易處理資料__3[[#This Row],[上班時間]]=0,0,交易處理資料__3[[#This Row],[售出工時]]/交易處理資料__3[[#This Row],[上班時間]])</f>
        <v>0</v>
      </c>
      <c r="O12" s="31" t="str">
        <f>IF(交易處理資料__3[[#This Row],[上班時間]]=0,"否","是")</f>
        <v>否</v>
      </c>
    </row>
    <row r="13" spans="1:15" hidden="1">
      <c r="A13" t="s">
        <v>74</v>
      </c>
      <c r="B13" t="s">
        <v>13</v>
      </c>
      <c r="C13">
        <v>0</v>
      </c>
      <c r="D13">
        <v>0</v>
      </c>
      <c r="E13" s="27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9">
        <v>45292</v>
      </c>
      <c r="L13">
        <f xml:space="preserve"> (交易處理資料__3[[#This Row],[售出工時]] * 60) / 5</f>
        <v>0</v>
      </c>
      <c r="M13" t="str">
        <f>VLOOKUP(交易處理資料__3[[#This Row],[人員代號]],團隊分組!$B$1:$C$52,2,FALSE)</f>
        <v>鈑金維修組</v>
      </c>
      <c r="N13">
        <f>IF(交易處理資料__3[[#This Row],[上班時間]]=0,0,交易處理資料__3[[#This Row],[售出工時]]/交易處理資料__3[[#This Row],[上班時間]])</f>
        <v>0</v>
      </c>
      <c r="O13" s="31" t="str">
        <f>IF(交易處理資料__3[[#This Row],[上班時間]]=0,"否","是")</f>
        <v>否</v>
      </c>
    </row>
    <row r="14" spans="1:15" hidden="1">
      <c r="A14" t="s">
        <v>74</v>
      </c>
      <c r="B14" t="s">
        <v>14</v>
      </c>
      <c r="C14">
        <v>0</v>
      </c>
      <c r="D14">
        <v>0</v>
      </c>
      <c r="E14" s="27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9">
        <v>45292</v>
      </c>
      <c r="L14">
        <f xml:space="preserve"> (交易處理資料__3[[#This Row],[售出工時]] * 60) / 5</f>
        <v>0</v>
      </c>
      <c r="M14" t="str">
        <f>VLOOKUP(交易處理資料__3[[#This Row],[人員代號]],團隊分組!$B$1:$C$52,2,FALSE)</f>
        <v>鈑金維修組</v>
      </c>
      <c r="N14">
        <f>IF(交易處理資料__3[[#This Row],[上班時間]]=0,0,交易處理資料__3[[#This Row],[售出工時]]/交易處理資料__3[[#This Row],[上班時間]])</f>
        <v>0</v>
      </c>
      <c r="O14" s="31" t="str">
        <f>IF(交易處理資料__3[[#This Row],[上班時間]]=0,"否","是")</f>
        <v>否</v>
      </c>
    </row>
    <row r="15" spans="1:15" hidden="1">
      <c r="A15" t="s">
        <v>74</v>
      </c>
      <c r="B15" t="s">
        <v>15</v>
      </c>
      <c r="C15">
        <v>0</v>
      </c>
      <c r="D15">
        <v>0</v>
      </c>
      <c r="E15" s="27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9">
        <v>45292</v>
      </c>
      <c r="L15">
        <f xml:space="preserve"> (交易處理資料__3[[#This Row],[售出工時]] * 60) / 5</f>
        <v>0</v>
      </c>
      <c r="M15" t="str">
        <f>VLOOKUP(交易處理資料__3[[#This Row],[人員代號]],團隊分組!$B$1:$C$52,2,FALSE)</f>
        <v>鈑金維修組</v>
      </c>
      <c r="N15">
        <f>IF(交易處理資料__3[[#This Row],[上班時間]]=0,0,交易處理資料__3[[#This Row],[售出工時]]/交易處理資料__3[[#This Row],[上班時間]])</f>
        <v>0</v>
      </c>
      <c r="O15" s="31" t="str">
        <f>IF(交易處理資料__3[[#This Row],[上班時間]]=0,"否","是")</f>
        <v>否</v>
      </c>
    </row>
    <row r="16" spans="1:15" hidden="1">
      <c r="A16" t="s">
        <v>75</v>
      </c>
      <c r="B16" t="s">
        <v>17</v>
      </c>
      <c r="C16">
        <v>0</v>
      </c>
      <c r="D16">
        <v>0</v>
      </c>
      <c r="E16" s="27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9">
        <v>45292</v>
      </c>
      <c r="L16">
        <f xml:space="preserve"> (交易處理資料__3[[#This Row],[售出工時]] * 60) / 5</f>
        <v>0</v>
      </c>
      <c r="M16" t="str">
        <f>VLOOKUP(交易處理資料__3[[#This Row],[人員代號]],團隊分組!$B$1:$C$52,2,FALSE)</f>
        <v>快速保養團隊A</v>
      </c>
      <c r="N16">
        <f>IF(交易處理資料__3[[#This Row],[上班時間]]=0,0,交易處理資料__3[[#This Row],[售出工時]]/交易處理資料__3[[#This Row],[上班時間]])</f>
        <v>0</v>
      </c>
      <c r="O16" s="31" t="str">
        <f>IF(交易處理資料__3[[#This Row],[上班時間]]=0,"否","是")</f>
        <v>否</v>
      </c>
    </row>
    <row r="17" spans="1:15" hidden="1">
      <c r="A17" t="s">
        <v>75</v>
      </c>
      <c r="B17" t="s">
        <v>18</v>
      </c>
      <c r="C17">
        <v>0</v>
      </c>
      <c r="D17">
        <v>0</v>
      </c>
      <c r="E17" s="2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9">
        <v>45292</v>
      </c>
      <c r="L17">
        <f xml:space="preserve"> (交易處理資料__3[[#This Row],[售出工時]] * 60) / 5</f>
        <v>0</v>
      </c>
      <c r="M17" t="str">
        <f>VLOOKUP(交易處理資料__3[[#This Row],[人員代號]],團隊分組!$B$1:$C$52,2,FALSE)</f>
        <v>查修團隊B</v>
      </c>
      <c r="N17">
        <f>IF(交易處理資料__3[[#This Row],[上班時間]]=0,0,交易處理資料__3[[#This Row],[售出工時]]/交易處理資料__3[[#This Row],[上班時間]])</f>
        <v>0</v>
      </c>
      <c r="O17" s="31" t="str">
        <f>IF(交易處理資料__3[[#This Row],[上班時間]]=0,"否","是")</f>
        <v>否</v>
      </c>
    </row>
    <row r="18" spans="1:15" hidden="1">
      <c r="A18" t="s">
        <v>75</v>
      </c>
      <c r="B18" t="s">
        <v>19</v>
      </c>
      <c r="C18">
        <v>1.99</v>
      </c>
      <c r="D18">
        <v>1.44</v>
      </c>
      <c r="E18" s="27">
        <v>138.41999999999999</v>
      </c>
      <c r="F18">
        <v>1.89</v>
      </c>
      <c r="G18">
        <v>6.48</v>
      </c>
      <c r="H18">
        <v>8.3699999999999992</v>
      </c>
      <c r="I18">
        <v>22.58</v>
      </c>
      <c r="J18">
        <v>23.82</v>
      </c>
      <c r="K18" s="9">
        <v>45292</v>
      </c>
      <c r="L18">
        <f xml:space="preserve"> (交易處理資料__3[[#This Row],[售出工時]] * 60) / 5</f>
        <v>23.880000000000003</v>
      </c>
      <c r="M18" t="str">
        <f>VLOOKUP(交易處理資料__3[[#This Row],[人員代號]],團隊分組!$B$1:$C$52,2,FALSE)</f>
        <v>查修團隊A</v>
      </c>
      <c r="N18">
        <f>IF(交易處理資料__3[[#This Row],[上班時間]]=0,0,交易處理資料__3[[#This Row],[售出工時]]/交易處理資料__3[[#This Row],[上班時間]])</f>
        <v>0.23775388291517327</v>
      </c>
      <c r="O18" s="31" t="str">
        <f>IF(交易處理資料__3[[#This Row],[上班時間]]=0,"否","是")</f>
        <v>是</v>
      </c>
    </row>
    <row r="19" spans="1:15" hidden="1">
      <c r="A19" t="s">
        <v>75</v>
      </c>
      <c r="B19" t="s">
        <v>20</v>
      </c>
      <c r="C19">
        <v>0</v>
      </c>
      <c r="D19">
        <v>0</v>
      </c>
      <c r="E19" s="27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9">
        <v>45292</v>
      </c>
      <c r="L19">
        <f xml:space="preserve"> (交易處理資料__3[[#This Row],[售出工時]] * 60) / 5</f>
        <v>0</v>
      </c>
      <c r="M19" t="str">
        <f>VLOOKUP(交易處理資料__3[[#This Row],[人員代號]],團隊分組!$B$1:$C$52,2,FALSE)</f>
        <v>查修團隊B</v>
      </c>
      <c r="N19">
        <f>IF(交易處理資料__3[[#This Row],[上班時間]]=0,0,交易處理資料__3[[#This Row],[售出工時]]/交易處理資料__3[[#This Row],[上班時間]])</f>
        <v>0</v>
      </c>
      <c r="O19" s="31" t="str">
        <f>IF(交易處理資料__3[[#This Row],[上班時間]]=0,"否","是")</f>
        <v>否</v>
      </c>
    </row>
    <row r="20" spans="1:15" hidden="1">
      <c r="A20" t="s">
        <v>75</v>
      </c>
      <c r="B20" t="s">
        <v>21</v>
      </c>
      <c r="C20">
        <v>1.2</v>
      </c>
      <c r="D20">
        <v>1.7</v>
      </c>
      <c r="E20" s="27">
        <v>70.78</v>
      </c>
      <c r="F20">
        <v>3.59</v>
      </c>
      <c r="G20">
        <v>4.75</v>
      </c>
      <c r="H20">
        <v>8.34</v>
      </c>
      <c r="I20">
        <v>43.05</v>
      </c>
      <c r="J20">
        <v>14.43</v>
      </c>
      <c r="K20" s="9">
        <v>45292</v>
      </c>
      <c r="L20">
        <f xml:space="preserve"> (交易處理資料__3[[#This Row],[售出工時]] * 60) / 5</f>
        <v>14.4</v>
      </c>
      <c r="M20" t="str">
        <f>VLOOKUP(交易處理資料__3[[#This Row],[人員代號]],團隊分組!$B$1:$C$52,2,FALSE)</f>
        <v>查修團隊B</v>
      </c>
      <c r="N20">
        <f>IF(交易處理資料__3[[#This Row],[上班時間]]=0,0,交易處理資料__3[[#This Row],[售出工時]]/交易處理資料__3[[#This Row],[上班時間]])</f>
        <v>0.14388489208633093</v>
      </c>
      <c r="O20" s="31" t="str">
        <f>IF(交易處理資料__3[[#This Row],[上班時間]]=0,"否","是")</f>
        <v>是</v>
      </c>
    </row>
    <row r="21" spans="1:15" hidden="1">
      <c r="A21" t="s">
        <v>75</v>
      </c>
      <c r="B21" t="s">
        <v>22</v>
      </c>
      <c r="C21">
        <v>0</v>
      </c>
      <c r="D21">
        <v>0</v>
      </c>
      <c r="E21" s="27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9">
        <v>45292</v>
      </c>
      <c r="L21">
        <f xml:space="preserve"> (交易處理資料__3[[#This Row],[售出工時]] * 60) / 5</f>
        <v>0</v>
      </c>
      <c r="M21" t="str">
        <f>VLOOKUP(交易處理資料__3[[#This Row],[人員代號]],團隊分組!$B$1:$C$52,2,FALSE)</f>
        <v>快速保養團隊A</v>
      </c>
      <c r="N21">
        <f>IF(交易處理資料__3[[#This Row],[上班時間]]=0,0,交易處理資料__3[[#This Row],[售出工時]]/交易處理資料__3[[#This Row],[上班時間]])</f>
        <v>0</v>
      </c>
      <c r="O21" s="31" t="str">
        <f>IF(交易處理資料__3[[#This Row],[上班時間]]=0,"否","是")</f>
        <v>否</v>
      </c>
    </row>
    <row r="22" spans="1:15" hidden="1">
      <c r="A22" t="s">
        <v>75</v>
      </c>
      <c r="B22" t="s">
        <v>23</v>
      </c>
      <c r="C22">
        <v>0</v>
      </c>
      <c r="D22">
        <v>0</v>
      </c>
      <c r="E22" s="27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9">
        <v>45292</v>
      </c>
      <c r="L22">
        <f xml:space="preserve"> (交易處理資料__3[[#This Row],[售出工時]] * 60) / 5</f>
        <v>0</v>
      </c>
      <c r="M22" t="str">
        <f>VLOOKUP(交易處理資料__3[[#This Row],[人員代號]],團隊分組!$B$1:$C$52,2,FALSE)</f>
        <v>快速保養團隊B</v>
      </c>
      <c r="N22">
        <f>IF(交易處理資料__3[[#This Row],[上班時間]]=0,0,交易處理資料__3[[#This Row],[售出工時]]/交易處理資料__3[[#This Row],[上班時間]])</f>
        <v>0</v>
      </c>
      <c r="O22" s="31" t="str">
        <f>IF(交易處理資料__3[[#This Row],[上班時間]]=0,"否","是")</f>
        <v>否</v>
      </c>
    </row>
    <row r="23" spans="1:15" hidden="1">
      <c r="A23" t="s">
        <v>75</v>
      </c>
      <c r="B23" t="s">
        <v>24</v>
      </c>
      <c r="C23">
        <v>1.5</v>
      </c>
      <c r="D23">
        <v>1.55</v>
      </c>
      <c r="E23" s="27">
        <v>96.77</v>
      </c>
      <c r="F23">
        <v>1.98</v>
      </c>
      <c r="G23">
        <v>6.38</v>
      </c>
      <c r="H23">
        <v>8.36</v>
      </c>
      <c r="I23">
        <v>23.68</v>
      </c>
      <c r="J23">
        <v>17.940000000000001</v>
      </c>
      <c r="K23" s="9">
        <v>45292</v>
      </c>
      <c r="L23">
        <f xml:space="preserve"> (交易處理資料__3[[#This Row],[售出工時]] * 60) / 5</f>
        <v>18</v>
      </c>
      <c r="M23" t="str">
        <f>VLOOKUP(交易處理資料__3[[#This Row],[人員代號]],團隊分組!$B$1:$C$52,2,FALSE)</f>
        <v>快速保養團隊A</v>
      </c>
      <c r="N23">
        <f>IF(交易處理資料__3[[#This Row],[上班時間]]=0,0,交易處理資料__3[[#This Row],[售出工時]]/交易處理資料__3[[#This Row],[上班時間]])</f>
        <v>0.17942583732057418</v>
      </c>
      <c r="O23" s="31" t="str">
        <f>IF(交易處理資料__3[[#This Row],[上班時間]]=0,"否","是")</f>
        <v>是</v>
      </c>
    </row>
    <row r="24" spans="1:15" hidden="1">
      <c r="A24" t="s">
        <v>75</v>
      </c>
      <c r="B24" t="s">
        <v>25</v>
      </c>
      <c r="C24">
        <v>0</v>
      </c>
      <c r="D24">
        <v>0</v>
      </c>
      <c r="E24" s="27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9">
        <v>45292</v>
      </c>
      <c r="L24">
        <f xml:space="preserve"> (交易處理資料__3[[#This Row],[售出工時]] * 60) / 5</f>
        <v>0</v>
      </c>
      <c r="M24" t="str">
        <f>VLOOKUP(交易處理資料__3[[#This Row],[人員代號]],團隊分組!$B$1:$C$52,2,FALSE)</f>
        <v>查修團隊A</v>
      </c>
      <c r="N24">
        <f>IF(交易處理資料__3[[#This Row],[上班時間]]=0,0,交易處理資料__3[[#This Row],[售出工時]]/交易處理資料__3[[#This Row],[上班時間]])</f>
        <v>0</v>
      </c>
      <c r="O24" s="31" t="str">
        <f>IF(交易處理資料__3[[#This Row],[上班時間]]=0,"否","是")</f>
        <v>否</v>
      </c>
    </row>
    <row r="25" spans="1:15" hidden="1">
      <c r="A25" t="s">
        <v>75</v>
      </c>
      <c r="B25" t="s">
        <v>26</v>
      </c>
      <c r="C25">
        <v>0</v>
      </c>
      <c r="D25">
        <v>0</v>
      </c>
      <c r="E25" s="27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9">
        <v>45292</v>
      </c>
      <c r="L25">
        <f xml:space="preserve"> (交易處理資料__3[[#This Row],[售出工時]] * 60) / 5</f>
        <v>0</v>
      </c>
      <c r="M25" t="str">
        <f>VLOOKUP(交易處理資料__3[[#This Row],[人員代號]],團隊分組!$B$1:$C$52,2,FALSE)</f>
        <v>查修團隊B</v>
      </c>
      <c r="N25">
        <f>IF(交易處理資料__3[[#This Row],[上班時間]]=0,0,交易處理資料__3[[#This Row],[售出工時]]/交易處理資料__3[[#This Row],[上班時間]])</f>
        <v>0</v>
      </c>
      <c r="O25" s="31" t="str">
        <f>IF(交易處理資料__3[[#This Row],[上班時間]]=0,"否","是")</f>
        <v>否</v>
      </c>
    </row>
    <row r="26" spans="1:15" hidden="1">
      <c r="A26" t="s">
        <v>75</v>
      </c>
      <c r="B26" t="s">
        <v>27</v>
      </c>
      <c r="C26">
        <v>0</v>
      </c>
      <c r="D26">
        <v>0</v>
      </c>
      <c r="E26" s="27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9">
        <v>45292</v>
      </c>
      <c r="L26">
        <f xml:space="preserve"> (交易處理資料__3[[#This Row],[售出工時]] * 60) / 5</f>
        <v>0</v>
      </c>
      <c r="M26" t="str">
        <f>VLOOKUP(交易處理資料__3[[#This Row],[人員代號]],團隊分組!$B$1:$C$52,2,FALSE)</f>
        <v>快速保養團隊B</v>
      </c>
      <c r="N26">
        <f>IF(交易處理資料__3[[#This Row],[上班時間]]=0,0,交易處理資料__3[[#This Row],[售出工時]]/交易處理資料__3[[#This Row],[上班時間]])</f>
        <v>0</v>
      </c>
      <c r="O26" s="31" t="str">
        <f>IF(交易處理資料__3[[#This Row],[上班時間]]=0,"否","是")</f>
        <v>否</v>
      </c>
    </row>
    <row r="27" spans="1:15" hidden="1">
      <c r="A27" t="s">
        <v>75</v>
      </c>
      <c r="B27" t="s">
        <v>28</v>
      </c>
      <c r="C27">
        <v>1</v>
      </c>
      <c r="D27">
        <v>1.53</v>
      </c>
      <c r="E27" s="27">
        <v>65.349999999999994</v>
      </c>
      <c r="F27">
        <v>1.98</v>
      </c>
      <c r="G27">
        <v>6.37</v>
      </c>
      <c r="H27">
        <v>8.35</v>
      </c>
      <c r="I27">
        <v>23.71</v>
      </c>
      <c r="J27">
        <v>11.98</v>
      </c>
      <c r="K27" s="9">
        <v>45292</v>
      </c>
      <c r="L27">
        <f xml:space="preserve"> (交易處理資料__3[[#This Row],[售出工時]] * 60) / 5</f>
        <v>12</v>
      </c>
      <c r="M27" t="str">
        <f>VLOOKUP(交易處理資料__3[[#This Row],[人員代號]],團隊分組!$B$1:$C$52,2,FALSE)</f>
        <v>快速保養團隊A</v>
      </c>
      <c r="N27">
        <f>IF(交易處理資料__3[[#This Row],[上班時間]]=0,0,交易處理資料__3[[#This Row],[售出工時]]/交易處理資料__3[[#This Row],[上班時間]])</f>
        <v>0.11976047904191617</v>
      </c>
      <c r="O27" s="31" t="str">
        <f>IF(交易處理資料__3[[#This Row],[上班時間]]=0,"否","是")</f>
        <v>是</v>
      </c>
    </row>
    <row r="28" spans="1:15" hidden="1">
      <c r="A28" t="s">
        <v>75</v>
      </c>
      <c r="B28" t="s">
        <v>29</v>
      </c>
      <c r="C28">
        <v>0</v>
      </c>
      <c r="D28">
        <v>0</v>
      </c>
      <c r="E28" s="27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9">
        <v>45292</v>
      </c>
      <c r="L28">
        <f xml:space="preserve"> (交易處理資料__3[[#This Row],[售出工時]] * 60) / 5</f>
        <v>0</v>
      </c>
      <c r="M28" t="str">
        <f>VLOOKUP(交易處理資料__3[[#This Row],[人員代號]],團隊分組!$B$1:$C$52,2,FALSE)</f>
        <v>查修團隊B</v>
      </c>
      <c r="N28">
        <f>IF(交易處理資料__3[[#This Row],[上班時間]]=0,0,交易處理資料__3[[#This Row],[售出工時]]/交易處理資料__3[[#This Row],[上班時間]])</f>
        <v>0</v>
      </c>
      <c r="O28" s="31" t="str">
        <f>IF(交易處理資料__3[[#This Row],[上班時間]]=0,"否","是")</f>
        <v>否</v>
      </c>
    </row>
    <row r="29" spans="1:15" hidden="1">
      <c r="A29" t="s">
        <v>75</v>
      </c>
      <c r="B29" t="s">
        <v>30</v>
      </c>
      <c r="C29">
        <v>0</v>
      </c>
      <c r="D29">
        <v>0</v>
      </c>
      <c r="E29" s="27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9">
        <v>45292</v>
      </c>
      <c r="L29">
        <f xml:space="preserve"> (交易處理資料__3[[#This Row],[售出工時]] * 60) / 5</f>
        <v>0</v>
      </c>
      <c r="M29" t="str">
        <f>VLOOKUP(交易處理資料__3[[#This Row],[人員代號]],團隊分組!$B$1:$C$52,2,FALSE)</f>
        <v>快速保養團隊B</v>
      </c>
      <c r="N29">
        <f>IF(交易處理資料__3[[#This Row],[上班時間]]=0,0,交易處理資料__3[[#This Row],[售出工時]]/交易處理資料__3[[#This Row],[上班時間]])</f>
        <v>0</v>
      </c>
      <c r="O29" s="31" t="str">
        <f>IF(交易處理資料__3[[#This Row],[上班時間]]=0,"否","是")</f>
        <v>否</v>
      </c>
    </row>
    <row r="30" spans="1:15" hidden="1">
      <c r="A30" t="s">
        <v>75</v>
      </c>
      <c r="B30" t="s">
        <v>31</v>
      </c>
      <c r="C30">
        <v>0</v>
      </c>
      <c r="D30">
        <v>0</v>
      </c>
      <c r="E30" s="27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9">
        <v>45292</v>
      </c>
      <c r="L30">
        <f xml:space="preserve"> (交易處理資料__3[[#This Row],[售出工時]] * 60) / 5</f>
        <v>0</v>
      </c>
      <c r="M30" t="str">
        <f>VLOOKUP(交易處理資料__3[[#This Row],[人員代號]],團隊分組!$B$1:$C$52,2,FALSE)</f>
        <v>快速保養團隊A</v>
      </c>
      <c r="N30">
        <f>IF(交易處理資料__3[[#This Row],[上班時間]]=0,0,交易處理資料__3[[#This Row],[售出工時]]/交易處理資料__3[[#This Row],[上班時間]])</f>
        <v>0</v>
      </c>
      <c r="O30" s="31" t="str">
        <f>IF(交易處理資料__3[[#This Row],[上班時間]]=0,"否","是")</f>
        <v>否</v>
      </c>
    </row>
    <row r="31" spans="1:15" hidden="1">
      <c r="A31" t="s">
        <v>75</v>
      </c>
      <c r="B31" t="s">
        <v>32</v>
      </c>
      <c r="C31">
        <v>0</v>
      </c>
      <c r="D31">
        <v>0</v>
      </c>
      <c r="E31" s="27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9">
        <v>45292</v>
      </c>
      <c r="L31">
        <f xml:space="preserve"> (交易處理資料__3[[#This Row],[售出工時]] * 60) / 5</f>
        <v>0</v>
      </c>
      <c r="M31" t="str">
        <f>VLOOKUP(交易處理資料__3[[#This Row],[人員代號]],團隊分組!$B$1:$C$52,2,FALSE)</f>
        <v>快速保養團隊B</v>
      </c>
      <c r="N31">
        <f>IF(交易處理資料__3[[#This Row],[上班時間]]=0,0,交易處理資料__3[[#This Row],[售出工時]]/交易處理資料__3[[#This Row],[上班時間]])</f>
        <v>0</v>
      </c>
      <c r="O31" s="31" t="str">
        <f>IF(交易處理資料__3[[#This Row],[上班時間]]=0,"否","是")</f>
        <v>否</v>
      </c>
    </row>
    <row r="32" spans="1:15">
      <c r="A32" t="s">
        <v>75</v>
      </c>
      <c r="B32" t="s">
        <v>33</v>
      </c>
      <c r="C32">
        <v>0</v>
      </c>
      <c r="D32">
        <v>0</v>
      </c>
      <c r="E32" s="27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9">
        <v>45292</v>
      </c>
      <c r="L32">
        <f xml:space="preserve"> (交易處理資料__3[[#This Row],[售出工時]] * 60) / 5</f>
        <v>0</v>
      </c>
      <c r="M32" t="str">
        <f>VLOOKUP(交易處理資料__3[[#This Row],[人員代號]],團隊分組!$B$1:$C$52,2,FALSE)</f>
        <v>快速保養團隊B</v>
      </c>
      <c r="N32">
        <f>IF(交易處理資料__3[[#This Row],[上班時間]]=0,0,交易處理資料__3[[#This Row],[售出工時]]/交易處理資料__3[[#This Row],[上班時間]])</f>
        <v>0</v>
      </c>
      <c r="O32" s="31" t="str">
        <f>IF(交易處理資料__3[[#This Row],[上班時間]]=0,"否","是")</f>
        <v>否</v>
      </c>
    </row>
    <row r="33" spans="1:15" hidden="1">
      <c r="A33" t="s">
        <v>75</v>
      </c>
      <c r="B33" t="s">
        <v>34</v>
      </c>
      <c r="C33">
        <v>0</v>
      </c>
      <c r="D33">
        <v>0</v>
      </c>
      <c r="E33" s="27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9">
        <v>45292</v>
      </c>
      <c r="L33">
        <f xml:space="preserve"> (交易處理資料__3[[#This Row],[售出工時]] * 60) / 5</f>
        <v>0</v>
      </c>
      <c r="M33" t="str">
        <f>VLOOKUP(交易處理資料__3[[#This Row],[人員代號]],團隊分組!$B$1:$C$52,2,FALSE)</f>
        <v>快速保養團隊A</v>
      </c>
      <c r="N33">
        <f>IF(交易處理資料__3[[#This Row],[上班時間]]=0,0,交易處理資料__3[[#This Row],[售出工時]]/交易處理資料__3[[#This Row],[上班時間]])</f>
        <v>0</v>
      </c>
      <c r="O33" s="31" t="str">
        <f>IF(交易處理資料__3[[#This Row],[上班時間]]=0,"否","是")</f>
        <v>否</v>
      </c>
    </row>
    <row r="34" spans="1:15" hidden="1">
      <c r="A34" t="s">
        <v>75</v>
      </c>
      <c r="B34" t="s">
        <v>35</v>
      </c>
      <c r="C34">
        <v>0</v>
      </c>
      <c r="D34">
        <v>0</v>
      </c>
      <c r="E34" s="27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9">
        <v>45292</v>
      </c>
      <c r="L34">
        <f xml:space="preserve"> (交易處理資料__3[[#This Row],[售出工時]] * 60) / 5</f>
        <v>0</v>
      </c>
      <c r="M34" t="str">
        <f>VLOOKUP(交易處理資料__3[[#This Row],[人員代號]],團隊分組!$B$1:$C$52,2,FALSE)</f>
        <v>查修團隊B</v>
      </c>
      <c r="N34">
        <f>IF(交易處理資料__3[[#This Row],[上班時間]]=0,0,交易處理資料__3[[#This Row],[售出工時]]/交易處理資料__3[[#This Row],[上班時間]])</f>
        <v>0</v>
      </c>
      <c r="O34" s="31" t="str">
        <f>IF(交易處理資料__3[[#This Row],[上班時間]]=0,"否","是")</f>
        <v>否</v>
      </c>
    </row>
    <row r="35" spans="1:15" hidden="1">
      <c r="A35" t="s">
        <v>75</v>
      </c>
      <c r="B35" t="s">
        <v>36</v>
      </c>
      <c r="C35">
        <v>0</v>
      </c>
      <c r="D35">
        <v>0</v>
      </c>
      <c r="E35" s="27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9">
        <v>45292</v>
      </c>
      <c r="L35">
        <f xml:space="preserve"> (交易處理資料__3[[#This Row],[售出工時]] * 60) / 5</f>
        <v>0</v>
      </c>
      <c r="M35" t="str">
        <f>VLOOKUP(交易處理資料__3[[#This Row],[人員代號]],團隊分組!$B$1:$C$52,2,FALSE)</f>
        <v>查修團隊B</v>
      </c>
      <c r="N35">
        <f>IF(交易處理資料__3[[#This Row],[上班時間]]=0,0,交易處理資料__3[[#This Row],[售出工時]]/交易處理資料__3[[#This Row],[上班時間]])</f>
        <v>0</v>
      </c>
      <c r="O35" s="31" t="str">
        <f>IF(交易處理資料__3[[#This Row],[上班時間]]=0,"否","是")</f>
        <v>否</v>
      </c>
    </row>
    <row r="36" spans="1:15" hidden="1">
      <c r="A36" t="s">
        <v>75</v>
      </c>
      <c r="B36" t="s">
        <v>37</v>
      </c>
      <c r="C36">
        <v>0</v>
      </c>
      <c r="D36">
        <v>0</v>
      </c>
      <c r="E36" s="27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9">
        <v>45292</v>
      </c>
      <c r="L36">
        <f xml:space="preserve"> (交易處理資料__3[[#This Row],[售出工時]] * 60) / 5</f>
        <v>0</v>
      </c>
      <c r="M36" t="str">
        <f>VLOOKUP(交易處理資料__3[[#This Row],[人員代號]],團隊分組!$B$1:$C$52,2,FALSE)</f>
        <v>查修團隊A</v>
      </c>
      <c r="N36">
        <f>IF(交易處理資料__3[[#This Row],[上班時間]]=0,0,交易處理資料__3[[#This Row],[售出工時]]/交易處理資料__3[[#This Row],[上班時間]])</f>
        <v>0</v>
      </c>
      <c r="O36" s="31" t="str">
        <f>IF(交易處理資料__3[[#This Row],[上班時間]]=0,"否","是")</f>
        <v>否</v>
      </c>
    </row>
    <row r="37" spans="1:15" hidden="1">
      <c r="A37" t="s">
        <v>75</v>
      </c>
      <c r="B37" t="s">
        <v>38</v>
      </c>
      <c r="C37">
        <v>0</v>
      </c>
      <c r="D37">
        <v>0</v>
      </c>
      <c r="E37" s="2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9">
        <v>45292</v>
      </c>
      <c r="L37">
        <f xml:space="preserve"> (交易處理資料__3[[#This Row],[售出工時]] * 60) / 5</f>
        <v>0</v>
      </c>
      <c r="M37" t="str">
        <f>VLOOKUP(交易處理資料__3[[#This Row],[人員代號]],團隊分組!$B$1:$C$52,2,FALSE)</f>
        <v>快速保養團隊A</v>
      </c>
      <c r="N37">
        <f>IF(交易處理資料__3[[#This Row],[上班時間]]=0,0,交易處理資料__3[[#This Row],[售出工時]]/交易處理資料__3[[#This Row],[上班時間]])</f>
        <v>0</v>
      </c>
      <c r="O37" s="31" t="str">
        <f>IF(交易處理資料__3[[#This Row],[上班時間]]=0,"否","是")</f>
        <v>否</v>
      </c>
    </row>
    <row r="38" spans="1:15" hidden="1">
      <c r="A38" t="s">
        <v>75</v>
      </c>
      <c r="B38" t="s">
        <v>39</v>
      </c>
      <c r="C38">
        <v>0</v>
      </c>
      <c r="D38">
        <v>0</v>
      </c>
      <c r="E38" s="27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9">
        <v>45292</v>
      </c>
      <c r="L38">
        <f xml:space="preserve"> (交易處理資料__3[[#This Row],[售出工時]] * 60) / 5</f>
        <v>0</v>
      </c>
      <c r="M38" t="str">
        <f>VLOOKUP(交易處理資料__3[[#This Row],[人員代號]],團隊分組!$B$1:$C$52,2,FALSE)</f>
        <v>查修團隊A</v>
      </c>
      <c r="N38">
        <f>IF(交易處理資料__3[[#This Row],[上班時間]]=0,0,交易處理資料__3[[#This Row],[售出工時]]/交易處理資料__3[[#This Row],[上班時間]])</f>
        <v>0</v>
      </c>
      <c r="O38" s="31" t="str">
        <f>IF(交易處理資料__3[[#This Row],[上班時間]]=0,"否","是")</f>
        <v>否</v>
      </c>
    </row>
    <row r="39" spans="1:15" hidden="1">
      <c r="A39" t="s">
        <v>75</v>
      </c>
      <c r="B39" t="s">
        <v>40</v>
      </c>
      <c r="C39">
        <v>0</v>
      </c>
      <c r="D39">
        <v>0</v>
      </c>
      <c r="E39" s="27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9">
        <v>45292</v>
      </c>
      <c r="L39">
        <f xml:space="preserve"> (交易處理資料__3[[#This Row],[售出工時]] * 60) / 5</f>
        <v>0</v>
      </c>
      <c r="M39" t="str">
        <f>VLOOKUP(交易處理資料__3[[#This Row],[人員代號]],團隊分組!$B$1:$C$52,2,FALSE)</f>
        <v>查修團隊A</v>
      </c>
      <c r="N39">
        <f>IF(交易處理資料__3[[#This Row],[上班時間]]=0,0,交易處理資料__3[[#This Row],[售出工時]]/交易處理資料__3[[#This Row],[上班時間]])</f>
        <v>0</v>
      </c>
      <c r="O39" s="31" t="str">
        <f>IF(交易處理資料__3[[#This Row],[上班時間]]=0,"否","是")</f>
        <v>否</v>
      </c>
    </row>
    <row r="40" spans="1:15" hidden="1">
      <c r="A40" t="s">
        <v>75</v>
      </c>
      <c r="B40" t="s">
        <v>41</v>
      </c>
      <c r="C40">
        <v>1.58</v>
      </c>
      <c r="D40">
        <v>1.53</v>
      </c>
      <c r="E40" s="27">
        <v>103.48</v>
      </c>
      <c r="F40">
        <v>1.98</v>
      </c>
      <c r="G40">
        <v>6.37</v>
      </c>
      <c r="H40">
        <v>8.35</v>
      </c>
      <c r="I40">
        <v>23.71</v>
      </c>
      <c r="J40">
        <v>18.96</v>
      </c>
      <c r="K40" s="9">
        <v>45292</v>
      </c>
      <c r="L40">
        <f xml:space="preserve"> (交易處理資料__3[[#This Row],[售出工時]] * 60) / 5</f>
        <v>18.96</v>
      </c>
      <c r="M40" t="str">
        <f>VLOOKUP(交易處理資料__3[[#This Row],[人員代號]],團隊分組!$B$1:$C$52,2,FALSE)</f>
        <v>快速保養團隊A</v>
      </c>
      <c r="N40">
        <f>IF(交易處理資料__3[[#This Row],[上班時間]]=0,0,交易處理資料__3[[#This Row],[售出工時]]/交易處理資料__3[[#This Row],[上班時間]])</f>
        <v>0.18922155688622755</v>
      </c>
      <c r="O40" s="31" t="str">
        <f>IF(交易處理資料__3[[#This Row],[上班時間]]=0,"否","是")</f>
        <v>是</v>
      </c>
    </row>
    <row r="41" spans="1:15" hidden="1">
      <c r="A41" t="s">
        <v>75</v>
      </c>
      <c r="B41" t="s">
        <v>42</v>
      </c>
      <c r="C41">
        <v>0</v>
      </c>
      <c r="D41">
        <v>0</v>
      </c>
      <c r="E41" s="27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9">
        <v>45292</v>
      </c>
      <c r="L41">
        <f xml:space="preserve"> (交易處理資料__3[[#This Row],[售出工時]] * 60) / 5</f>
        <v>0</v>
      </c>
      <c r="M41" t="str">
        <f>VLOOKUP(交易處理資料__3[[#This Row],[人員代號]],團隊分組!$B$1:$C$52,2,FALSE)</f>
        <v>快速保養團隊A</v>
      </c>
      <c r="N41">
        <f>IF(交易處理資料__3[[#This Row],[上班時間]]=0,0,交易處理資料__3[[#This Row],[售出工時]]/交易處理資料__3[[#This Row],[上班時間]])</f>
        <v>0</v>
      </c>
      <c r="O41" s="31" t="str">
        <f>IF(交易處理資料__3[[#This Row],[上班時間]]=0,"否","是")</f>
        <v>否</v>
      </c>
    </row>
    <row r="42" spans="1:15" hidden="1">
      <c r="A42" t="s">
        <v>75</v>
      </c>
      <c r="B42" t="s">
        <v>43</v>
      </c>
      <c r="C42">
        <v>0</v>
      </c>
      <c r="D42">
        <v>0</v>
      </c>
      <c r="E42" s="27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9">
        <v>45292</v>
      </c>
      <c r="L42">
        <f xml:space="preserve"> (交易處理資料__3[[#This Row],[售出工時]] * 60) / 5</f>
        <v>0</v>
      </c>
      <c r="M42" t="str">
        <f>VLOOKUP(交易處理資料__3[[#This Row],[人員代號]],團隊分組!$B$1:$C$52,2,FALSE)</f>
        <v>查修團隊B</v>
      </c>
      <c r="N42">
        <f>IF(交易處理資料__3[[#This Row],[上班時間]]=0,0,交易處理資料__3[[#This Row],[售出工時]]/交易處理資料__3[[#This Row],[上班時間]])</f>
        <v>0</v>
      </c>
      <c r="O42" s="31" t="str">
        <f>IF(交易處理資料__3[[#This Row],[上班時間]]=0,"否","是")</f>
        <v>否</v>
      </c>
    </row>
    <row r="43" spans="1:15" hidden="1">
      <c r="A43" t="s">
        <v>75</v>
      </c>
      <c r="B43" t="s">
        <v>44</v>
      </c>
      <c r="C43">
        <v>0</v>
      </c>
      <c r="D43">
        <v>0</v>
      </c>
      <c r="E43" s="27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9">
        <v>45292</v>
      </c>
      <c r="L43">
        <f xml:space="preserve"> (交易處理資料__3[[#This Row],[售出工時]] * 60) / 5</f>
        <v>0</v>
      </c>
      <c r="M43" t="str">
        <f>VLOOKUP(交易處理資料__3[[#This Row],[人員代號]],團隊分組!$B$1:$C$52,2,FALSE)</f>
        <v>快速保養團隊B</v>
      </c>
      <c r="N43">
        <f>IF(交易處理資料__3[[#This Row],[上班時間]]=0,0,交易處理資料__3[[#This Row],[售出工時]]/交易處理資料__3[[#This Row],[上班時間]])</f>
        <v>0</v>
      </c>
      <c r="O43" s="31" t="str">
        <f>IF(交易處理資料__3[[#This Row],[上班時間]]=0,"否","是")</f>
        <v>否</v>
      </c>
    </row>
    <row r="44" spans="1:15" hidden="1">
      <c r="A44" t="s">
        <v>75</v>
      </c>
      <c r="B44" t="s">
        <v>45</v>
      </c>
      <c r="C44">
        <v>0</v>
      </c>
      <c r="D44">
        <v>0</v>
      </c>
      <c r="E44" s="27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9">
        <v>45292</v>
      </c>
      <c r="L44">
        <f xml:space="preserve"> (交易處理資料__3[[#This Row],[售出工時]] * 60) / 5</f>
        <v>0</v>
      </c>
      <c r="M44" t="str">
        <f>VLOOKUP(交易處理資料__3[[#This Row],[人員代號]],團隊分組!$B$1:$C$52,2,FALSE)</f>
        <v>快速保養團隊A</v>
      </c>
      <c r="N44">
        <f>IF(交易處理資料__3[[#This Row],[上班時間]]=0,0,交易處理資料__3[[#This Row],[售出工時]]/交易處理資料__3[[#This Row],[上班時間]])</f>
        <v>0</v>
      </c>
      <c r="O44" s="31" t="str">
        <f>IF(交易處理資料__3[[#This Row],[上班時間]]=0,"否","是")</f>
        <v>否</v>
      </c>
    </row>
    <row r="45" spans="1:15" hidden="1">
      <c r="A45" t="s">
        <v>75</v>
      </c>
      <c r="B45" t="s">
        <v>46</v>
      </c>
      <c r="C45">
        <v>0</v>
      </c>
      <c r="D45">
        <v>0</v>
      </c>
      <c r="E45" s="27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9">
        <v>45292</v>
      </c>
      <c r="L45">
        <f xml:space="preserve"> (交易處理資料__3[[#This Row],[售出工時]] * 60) / 5</f>
        <v>0</v>
      </c>
      <c r="M45" t="str">
        <f>VLOOKUP(交易處理資料__3[[#This Row],[人員代號]],團隊分組!$B$1:$C$52,2,FALSE)</f>
        <v>查修團隊B</v>
      </c>
      <c r="N45">
        <f>IF(交易處理資料__3[[#This Row],[上班時間]]=0,0,交易處理資料__3[[#This Row],[售出工時]]/交易處理資料__3[[#This Row],[上班時間]])</f>
        <v>0</v>
      </c>
      <c r="O45" s="31" t="str">
        <f>IF(交易處理資料__3[[#This Row],[上班時間]]=0,"否","是")</f>
        <v>否</v>
      </c>
    </row>
    <row r="46" spans="1:15" hidden="1">
      <c r="A46" t="s">
        <v>75</v>
      </c>
      <c r="B46" t="s">
        <v>47</v>
      </c>
      <c r="C46">
        <v>0.7</v>
      </c>
      <c r="D46">
        <v>1.68</v>
      </c>
      <c r="E46" s="27">
        <v>41.86</v>
      </c>
      <c r="F46">
        <v>3.57</v>
      </c>
      <c r="G46">
        <v>4.7699999999999996</v>
      </c>
      <c r="H46">
        <v>8.34</v>
      </c>
      <c r="I46">
        <v>42.81</v>
      </c>
      <c r="J46">
        <v>8.43</v>
      </c>
      <c r="K46" s="9">
        <v>45292</v>
      </c>
      <c r="L46">
        <f xml:space="preserve"> (交易處理資料__3[[#This Row],[售出工時]] * 60) / 5</f>
        <v>8.4</v>
      </c>
      <c r="M46" t="str">
        <f>VLOOKUP(交易處理資料__3[[#This Row],[人員代號]],團隊分組!$B$1:$C$52,2,FALSE)</f>
        <v>查修團隊B</v>
      </c>
      <c r="N46">
        <f>IF(交易處理資料__3[[#This Row],[上班時間]]=0,0,交易處理資料__3[[#This Row],[售出工時]]/交易處理資料__3[[#This Row],[上班時間]])</f>
        <v>8.3932853717026371E-2</v>
      </c>
      <c r="O46" s="31" t="str">
        <f>IF(交易處理資料__3[[#This Row],[上班時間]]=0,"否","是")</f>
        <v>是</v>
      </c>
    </row>
    <row r="47" spans="1:15" hidden="1">
      <c r="A47" t="s">
        <v>75</v>
      </c>
      <c r="B47" t="s">
        <v>48</v>
      </c>
      <c r="C47">
        <v>0</v>
      </c>
      <c r="D47">
        <v>0</v>
      </c>
      <c r="E47" s="2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9">
        <v>45292</v>
      </c>
      <c r="L47">
        <f xml:space="preserve"> (交易處理資料__3[[#This Row],[售出工時]] * 60) / 5</f>
        <v>0</v>
      </c>
      <c r="M47" t="str">
        <f>VLOOKUP(交易處理資料__3[[#This Row],[人員代號]],團隊分組!$B$1:$C$52,2,FALSE)</f>
        <v>查修團隊A</v>
      </c>
      <c r="N47">
        <f>IF(交易處理資料__3[[#This Row],[上班時間]]=0,0,交易處理資料__3[[#This Row],[售出工時]]/交易處理資料__3[[#This Row],[上班時間]])</f>
        <v>0</v>
      </c>
      <c r="O47" s="31" t="str">
        <f>IF(交易處理資料__3[[#This Row],[上班時間]]=0,"否","是")</f>
        <v>否</v>
      </c>
    </row>
    <row r="48" spans="1:15" hidden="1">
      <c r="A48" t="s">
        <v>75</v>
      </c>
      <c r="B48" t="s">
        <v>49</v>
      </c>
      <c r="C48">
        <v>1.58</v>
      </c>
      <c r="D48">
        <v>1.43</v>
      </c>
      <c r="E48" s="27">
        <v>110.95</v>
      </c>
      <c r="F48">
        <v>1.86</v>
      </c>
      <c r="G48">
        <v>6.49</v>
      </c>
      <c r="H48">
        <v>8.35</v>
      </c>
      <c r="I48">
        <v>22.28</v>
      </c>
      <c r="J48">
        <v>19</v>
      </c>
      <c r="K48" s="9">
        <v>45292</v>
      </c>
      <c r="L48">
        <f xml:space="preserve"> (交易處理資料__3[[#This Row],[售出工時]] * 60) / 5</f>
        <v>18.96</v>
      </c>
      <c r="M48" t="str">
        <f>VLOOKUP(交易處理資料__3[[#This Row],[人員代號]],團隊分組!$B$1:$C$52,2,FALSE)</f>
        <v>查修團隊A</v>
      </c>
      <c r="N48">
        <f>IF(交易處理資料__3[[#This Row],[上班時間]]=0,0,交易處理資料__3[[#This Row],[售出工時]]/交易處理資料__3[[#This Row],[上班時間]])</f>
        <v>0.18922155688622755</v>
      </c>
      <c r="O48" s="31" t="str">
        <f>IF(交易處理資料__3[[#This Row],[上班時間]]=0,"否","是")</f>
        <v>是</v>
      </c>
    </row>
    <row r="49" spans="1:15" hidden="1">
      <c r="A49" t="s">
        <v>75</v>
      </c>
      <c r="B49" t="s">
        <v>50</v>
      </c>
      <c r="C49">
        <v>0</v>
      </c>
      <c r="D49">
        <v>0</v>
      </c>
      <c r="E49" s="27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9">
        <v>45292</v>
      </c>
      <c r="L49">
        <f xml:space="preserve"> (交易處理資料__3[[#This Row],[售出工時]] * 60) / 5</f>
        <v>0</v>
      </c>
      <c r="M49" t="str">
        <f>VLOOKUP(交易處理資料__3[[#This Row],[人員代號]],團隊分組!$B$1:$C$52,2,FALSE)</f>
        <v>快速保養團隊B</v>
      </c>
      <c r="N49">
        <f>IF(交易處理資料__3[[#This Row],[上班時間]]=0,0,交易處理資料__3[[#This Row],[售出工時]]/交易處理資料__3[[#This Row],[上班時間]])</f>
        <v>0</v>
      </c>
      <c r="O49" s="31" t="str">
        <f>IF(交易處理資料__3[[#This Row],[上班時間]]=0,"否","是")</f>
        <v>否</v>
      </c>
    </row>
    <row r="50" spans="1:15" hidden="1">
      <c r="A50" t="s">
        <v>75</v>
      </c>
      <c r="B50" t="s">
        <v>51</v>
      </c>
      <c r="C50">
        <v>0</v>
      </c>
      <c r="D50">
        <v>0</v>
      </c>
      <c r="E50" s="27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9">
        <v>45292</v>
      </c>
      <c r="L50">
        <f xml:space="preserve"> (交易處理資料__3[[#This Row],[售出工時]] * 60) / 5</f>
        <v>0</v>
      </c>
      <c r="M50" t="str">
        <f>VLOOKUP(交易處理資料__3[[#This Row],[人員代號]],團隊分組!$B$1:$C$52,2,FALSE)</f>
        <v>無效數據</v>
      </c>
      <c r="N50">
        <f>IF(交易處理資料__3[[#This Row],[上班時間]]=0,0,交易處理資料__3[[#This Row],[售出工時]]/交易處理資料__3[[#This Row],[上班時間]])</f>
        <v>0</v>
      </c>
      <c r="O50" s="31" t="str">
        <f>IF(交易處理資料__3[[#This Row],[上班時間]]=0,"否","是")</f>
        <v>否</v>
      </c>
    </row>
    <row r="51" spans="1:15" hidden="1">
      <c r="A51" t="s">
        <v>75</v>
      </c>
      <c r="B51" t="s">
        <v>52</v>
      </c>
      <c r="C51">
        <v>0</v>
      </c>
      <c r="D51">
        <v>0</v>
      </c>
      <c r="E51" s="27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9">
        <v>45292</v>
      </c>
      <c r="L51">
        <f xml:space="preserve"> (交易處理資料__3[[#This Row],[售出工時]] * 60) / 5</f>
        <v>0</v>
      </c>
      <c r="M51" t="str">
        <f>VLOOKUP(交易處理資料__3[[#This Row],[人員代號]],團隊分組!$B$1:$C$52,2,FALSE)</f>
        <v>查修團隊B</v>
      </c>
      <c r="N51">
        <f>IF(交易處理資料__3[[#This Row],[上班時間]]=0,0,交易處理資料__3[[#This Row],[售出工時]]/交易處理資料__3[[#This Row],[上班時間]])</f>
        <v>0</v>
      </c>
      <c r="O51" s="31" t="str">
        <f>IF(交易處理資料__3[[#This Row],[上班時間]]=0,"否","是")</f>
        <v>否</v>
      </c>
    </row>
    <row r="52" spans="1:15" hidden="1">
      <c r="A52" t="s">
        <v>75</v>
      </c>
      <c r="B52" t="s">
        <v>53</v>
      </c>
      <c r="C52">
        <v>0</v>
      </c>
      <c r="D52">
        <v>0</v>
      </c>
      <c r="E52" s="27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9">
        <v>45292</v>
      </c>
      <c r="L52">
        <f xml:space="preserve"> (交易處理資料__3[[#This Row],[售出工時]] * 60) / 5</f>
        <v>0</v>
      </c>
      <c r="M52" t="str">
        <f>VLOOKUP(交易處理資料__3[[#This Row],[人員代號]],團隊分組!$B$1:$C$52,2,FALSE)</f>
        <v>查修團隊A</v>
      </c>
      <c r="N52">
        <f>IF(交易處理資料__3[[#This Row],[上班時間]]=0,0,交易處理資料__3[[#This Row],[售出工時]]/交易處理資料__3[[#This Row],[上班時間]])</f>
        <v>0</v>
      </c>
      <c r="O52" s="31" t="str">
        <f>IF(交易處理資料__3[[#This Row],[上班時間]]=0,"否","是")</f>
        <v>否</v>
      </c>
    </row>
    <row r="53" spans="1:15" hidden="1">
      <c r="A53" s="10" t="s">
        <v>73</v>
      </c>
      <c r="B53" t="s">
        <v>1</v>
      </c>
      <c r="C53">
        <v>0</v>
      </c>
      <c r="D53">
        <v>0</v>
      </c>
      <c r="E53" s="27">
        <v>0</v>
      </c>
      <c r="F53">
        <v>7.23</v>
      </c>
      <c r="G53">
        <v>0.85</v>
      </c>
      <c r="H53">
        <v>8.08</v>
      </c>
      <c r="I53">
        <v>89.48</v>
      </c>
      <c r="J53">
        <v>0</v>
      </c>
      <c r="K53" s="9">
        <v>45293</v>
      </c>
      <c r="L53">
        <f xml:space="preserve"> (交易處理資料__3[[#This Row],[售出工時]] * 60) / 5</f>
        <v>0</v>
      </c>
      <c r="M53" t="str">
        <f>VLOOKUP(交易處理資料__3[[#This Row],[人員代號]],團隊分組!$B$1:$C$52,2,FALSE)</f>
        <v>噴漆維修組</v>
      </c>
      <c r="N53">
        <f>IF(交易處理資料__3[[#This Row],[上班時間]]=0,0,交易處理資料__3[[#This Row],[售出工時]]/交易處理資料__3[[#This Row],[上班時間]])</f>
        <v>0</v>
      </c>
      <c r="O53" s="31" t="str">
        <f>IF(交易處理資料__3[[#This Row],[上班時間]]=0,"否","是")</f>
        <v>是</v>
      </c>
    </row>
    <row r="54" spans="1:15" hidden="1">
      <c r="A54" s="10" t="s">
        <v>73</v>
      </c>
      <c r="B54" t="s">
        <v>2</v>
      </c>
      <c r="C54">
        <v>0</v>
      </c>
      <c r="D54">
        <v>0</v>
      </c>
      <c r="E54" s="27">
        <v>0</v>
      </c>
      <c r="F54">
        <v>7.35</v>
      </c>
      <c r="G54">
        <v>0.63</v>
      </c>
      <c r="H54">
        <v>7.98</v>
      </c>
      <c r="I54">
        <v>92.11</v>
      </c>
      <c r="J54">
        <v>0</v>
      </c>
      <c r="K54" s="9">
        <v>45293</v>
      </c>
      <c r="L54">
        <f xml:space="preserve"> (交易處理資料__3[[#This Row],[售出工時]] * 60) / 5</f>
        <v>0</v>
      </c>
      <c r="M54" t="str">
        <f>VLOOKUP(交易處理資料__3[[#This Row],[人員代號]],團隊分組!$B$1:$C$52,2,FALSE)</f>
        <v>噴漆維修組</v>
      </c>
      <c r="N54">
        <f>IF(交易處理資料__3[[#This Row],[上班時間]]=0,0,交易處理資料__3[[#This Row],[售出工時]]/交易處理資料__3[[#This Row],[上班時間]])</f>
        <v>0</v>
      </c>
      <c r="O54" s="31" t="str">
        <f>IF(交易處理資料__3[[#This Row],[上班時間]]=0,"否","是")</f>
        <v>是</v>
      </c>
    </row>
    <row r="55" spans="1:15" hidden="1">
      <c r="A55" s="10" t="s">
        <v>73</v>
      </c>
      <c r="B55" t="s">
        <v>3</v>
      </c>
      <c r="C55">
        <v>0</v>
      </c>
      <c r="D55">
        <v>0</v>
      </c>
      <c r="E55" s="27">
        <v>0</v>
      </c>
      <c r="F55">
        <v>7.35</v>
      </c>
      <c r="G55">
        <v>0.63</v>
      </c>
      <c r="H55">
        <v>7.98</v>
      </c>
      <c r="I55">
        <v>92.11</v>
      </c>
      <c r="J55">
        <v>0</v>
      </c>
      <c r="K55" s="9">
        <v>45293</v>
      </c>
      <c r="L55">
        <f xml:space="preserve"> (交易處理資料__3[[#This Row],[售出工時]] * 60) / 5</f>
        <v>0</v>
      </c>
      <c r="M55" t="str">
        <f>VLOOKUP(交易處理資料__3[[#This Row],[人員代號]],團隊分組!$B$1:$C$52,2,FALSE)</f>
        <v>噴漆維修組</v>
      </c>
      <c r="N55">
        <f>IF(交易處理資料__3[[#This Row],[上班時間]]=0,0,交易處理資料__3[[#This Row],[售出工時]]/交易處理資料__3[[#This Row],[上班時間]])</f>
        <v>0</v>
      </c>
      <c r="O55" s="31" t="str">
        <f>IF(交易處理資料__3[[#This Row],[上班時間]]=0,"否","是")</f>
        <v>是</v>
      </c>
    </row>
    <row r="56" spans="1:15" hidden="1">
      <c r="A56" s="10" t="s">
        <v>73</v>
      </c>
      <c r="B56" t="s">
        <v>4</v>
      </c>
      <c r="C56">
        <v>0</v>
      </c>
      <c r="D56">
        <v>0</v>
      </c>
      <c r="E56" s="27">
        <v>0</v>
      </c>
      <c r="F56">
        <v>7.2</v>
      </c>
      <c r="G56">
        <v>0.87</v>
      </c>
      <c r="H56">
        <v>8.07</v>
      </c>
      <c r="I56">
        <v>89.22</v>
      </c>
      <c r="J56">
        <v>0</v>
      </c>
      <c r="K56" s="9">
        <v>45293</v>
      </c>
      <c r="L56">
        <f xml:space="preserve"> (交易處理資料__3[[#This Row],[售出工時]] * 60) / 5</f>
        <v>0</v>
      </c>
      <c r="M56" t="str">
        <f>VLOOKUP(交易處理資料__3[[#This Row],[人員代號]],團隊分組!$B$1:$C$52,2,FALSE)</f>
        <v>噴漆維修組</v>
      </c>
      <c r="N56">
        <f>IF(交易處理資料__3[[#This Row],[上班時間]]=0,0,交易處理資料__3[[#This Row],[售出工時]]/交易處理資料__3[[#This Row],[上班時間]])</f>
        <v>0</v>
      </c>
      <c r="O56" s="31" t="str">
        <f>IF(交易處理資料__3[[#This Row],[上班時間]]=0,"否","是")</f>
        <v>是</v>
      </c>
    </row>
    <row r="57" spans="1:15" hidden="1">
      <c r="A57" s="10" t="s">
        <v>73</v>
      </c>
      <c r="B57" t="s">
        <v>5</v>
      </c>
      <c r="C57">
        <v>0</v>
      </c>
      <c r="D57">
        <v>0</v>
      </c>
      <c r="E57" s="2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9">
        <v>45293</v>
      </c>
      <c r="L57">
        <f xml:space="preserve"> (交易處理資料__3[[#This Row],[售出工時]] * 60) / 5</f>
        <v>0</v>
      </c>
      <c r="M57" t="str">
        <f>VLOOKUP(交易處理資料__3[[#This Row],[人員代號]],團隊分組!$B$1:$C$52,2,FALSE)</f>
        <v>噴漆維修組</v>
      </c>
      <c r="N57">
        <f>IF(交易處理資料__3[[#This Row],[上班時間]]=0,0,交易處理資料__3[[#This Row],[售出工時]]/交易處理資料__3[[#This Row],[上班時間]])</f>
        <v>0</v>
      </c>
      <c r="O57" s="31" t="str">
        <f>IF(交易處理資料__3[[#This Row],[上班時間]]=0,"否","是")</f>
        <v>否</v>
      </c>
    </row>
    <row r="58" spans="1:15" hidden="1">
      <c r="A58" s="10" t="s">
        <v>73</v>
      </c>
      <c r="B58" t="s">
        <v>6</v>
      </c>
      <c r="C58">
        <v>0</v>
      </c>
      <c r="D58">
        <v>0</v>
      </c>
      <c r="E58" s="27">
        <v>0</v>
      </c>
      <c r="F58">
        <v>7.35</v>
      </c>
      <c r="G58">
        <v>0.63</v>
      </c>
      <c r="H58">
        <v>7.98</v>
      </c>
      <c r="I58">
        <v>92.11</v>
      </c>
      <c r="J58">
        <v>0</v>
      </c>
      <c r="K58" s="9">
        <v>45293</v>
      </c>
      <c r="L58">
        <f xml:space="preserve"> (交易處理資料__3[[#This Row],[售出工時]] * 60) / 5</f>
        <v>0</v>
      </c>
      <c r="M58" t="str">
        <f>VLOOKUP(交易處理資料__3[[#This Row],[人員代號]],團隊分組!$B$1:$C$52,2,FALSE)</f>
        <v>噴漆維修組</v>
      </c>
      <c r="N58">
        <f>IF(交易處理資料__3[[#This Row],[上班時間]]=0,0,交易處理資料__3[[#This Row],[售出工時]]/交易處理資料__3[[#This Row],[上班時間]])</f>
        <v>0</v>
      </c>
      <c r="O58" s="31" t="str">
        <f>IF(交易處理資料__3[[#This Row],[上班時間]]=0,"否","是")</f>
        <v>是</v>
      </c>
    </row>
    <row r="59" spans="1:15" hidden="1">
      <c r="A59" s="10" t="s">
        <v>73</v>
      </c>
      <c r="B59" t="s">
        <v>7</v>
      </c>
      <c r="C59">
        <v>0</v>
      </c>
      <c r="D59">
        <v>0</v>
      </c>
      <c r="E59" s="27">
        <v>0</v>
      </c>
      <c r="F59">
        <v>6.62</v>
      </c>
      <c r="G59">
        <v>1.4</v>
      </c>
      <c r="H59">
        <v>8.02</v>
      </c>
      <c r="I59">
        <v>82.54</v>
      </c>
      <c r="J59">
        <v>0</v>
      </c>
      <c r="K59" s="9">
        <v>45293</v>
      </c>
      <c r="L59">
        <f xml:space="preserve"> (交易處理資料__3[[#This Row],[售出工時]] * 60) / 5</f>
        <v>0</v>
      </c>
      <c r="M59" t="str">
        <f>VLOOKUP(交易處理資料__3[[#This Row],[人員代號]],團隊分組!$B$1:$C$52,2,FALSE)</f>
        <v>噴漆維修組</v>
      </c>
      <c r="N59">
        <f>IF(交易處理資料__3[[#This Row],[上班時間]]=0,0,交易處理資料__3[[#This Row],[售出工時]]/交易處理資料__3[[#This Row],[上班時間]])</f>
        <v>0</v>
      </c>
      <c r="O59" s="31" t="str">
        <f>IF(交易處理資料__3[[#This Row],[上班時間]]=0,"否","是")</f>
        <v>是</v>
      </c>
    </row>
    <row r="60" spans="1:15" hidden="1">
      <c r="A60" s="10" t="s">
        <v>73</v>
      </c>
      <c r="B60" t="s">
        <v>8</v>
      </c>
      <c r="C60">
        <v>0</v>
      </c>
      <c r="D60">
        <v>0</v>
      </c>
      <c r="E60" s="27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9">
        <v>45293</v>
      </c>
      <c r="L60">
        <f xml:space="preserve"> (交易處理資料__3[[#This Row],[售出工時]] * 60) / 5</f>
        <v>0</v>
      </c>
      <c r="M60" t="str">
        <f>VLOOKUP(交易處理資料__3[[#This Row],[人員代號]],團隊分組!$B$1:$C$52,2,FALSE)</f>
        <v>噴漆維修組</v>
      </c>
      <c r="N60">
        <f>IF(交易處理資料__3[[#This Row],[上班時間]]=0,0,交易處理資料__3[[#This Row],[售出工時]]/交易處理資料__3[[#This Row],[上班時間]])</f>
        <v>0</v>
      </c>
      <c r="O60" s="31" t="str">
        <f>IF(交易處理資料__3[[#This Row],[上班時間]]=0,"否","是")</f>
        <v>否</v>
      </c>
    </row>
    <row r="61" spans="1:15" hidden="1">
      <c r="A61" s="10" t="s">
        <v>73</v>
      </c>
      <c r="B61" t="s">
        <v>9</v>
      </c>
      <c r="C61">
        <v>0.25</v>
      </c>
      <c r="D61">
        <v>1.23</v>
      </c>
      <c r="E61" s="27">
        <v>20.32</v>
      </c>
      <c r="F61">
        <v>4.5999999999999996</v>
      </c>
      <c r="G61">
        <v>3.48</v>
      </c>
      <c r="H61">
        <v>8.08</v>
      </c>
      <c r="I61">
        <v>56.93</v>
      </c>
      <c r="J61">
        <v>3.09</v>
      </c>
      <c r="K61" s="9">
        <v>45293</v>
      </c>
      <c r="L61">
        <f xml:space="preserve"> (交易處理資料__3[[#This Row],[售出工時]] * 60) / 5</f>
        <v>3</v>
      </c>
      <c r="M61" t="str">
        <f>VLOOKUP(交易處理資料__3[[#This Row],[人員代號]],團隊分組!$B$1:$C$52,2,FALSE)</f>
        <v>噴漆維修組</v>
      </c>
      <c r="N61">
        <f>IF(交易處理資料__3[[#This Row],[上班時間]]=0,0,交易處理資料__3[[#This Row],[售出工時]]/交易處理資料__3[[#This Row],[上班時間]])</f>
        <v>3.094059405940594E-2</v>
      </c>
      <c r="O61" s="31" t="str">
        <f>IF(交易處理資料__3[[#This Row],[上班時間]]=0,"否","是")</f>
        <v>是</v>
      </c>
    </row>
    <row r="62" spans="1:15" hidden="1">
      <c r="A62" t="s">
        <v>74</v>
      </c>
      <c r="B62" t="s">
        <v>11</v>
      </c>
      <c r="C62">
        <v>0</v>
      </c>
      <c r="D62">
        <v>0</v>
      </c>
      <c r="E62" s="27">
        <v>0</v>
      </c>
      <c r="F62">
        <v>5.9</v>
      </c>
      <c r="G62">
        <v>1.76</v>
      </c>
      <c r="H62">
        <v>7.66</v>
      </c>
      <c r="I62">
        <v>77.02</v>
      </c>
      <c r="J62">
        <v>0</v>
      </c>
      <c r="K62" s="9">
        <v>45293</v>
      </c>
      <c r="L62">
        <f xml:space="preserve"> (交易處理資料__3[[#This Row],[售出工時]] * 60) / 5</f>
        <v>0</v>
      </c>
      <c r="M62" t="str">
        <f>VLOOKUP(交易處理資料__3[[#This Row],[人員代號]],團隊分組!$B$1:$C$52,2,FALSE)</f>
        <v>鈑金維修組</v>
      </c>
      <c r="N62">
        <f>IF(交易處理資料__3[[#This Row],[上班時間]]=0,0,交易處理資料__3[[#This Row],[售出工時]]/交易處理資料__3[[#This Row],[上班時間]])</f>
        <v>0</v>
      </c>
      <c r="O62" s="31" t="str">
        <f>IF(交易處理資料__3[[#This Row],[上班時間]]=0,"否","是")</f>
        <v>是</v>
      </c>
    </row>
    <row r="63" spans="1:15" hidden="1">
      <c r="A63" t="s">
        <v>74</v>
      </c>
      <c r="B63" t="s">
        <v>12</v>
      </c>
      <c r="C63">
        <v>0.19</v>
      </c>
      <c r="D63">
        <v>0.06</v>
      </c>
      <c r="E63" s="27">
        <v>316.66000000000003</v>
      </c>
      <c r="F63">
        <v>5.79</v>
      </c>
      <c r="G63">
        <v>2.3199999999999998</v>
      </c>
      <c r="H63">
        <v>8.11</v>
      </c>
      <c r="I63">
        <v>71.39</v>
      </c>
      <c r="J63">
        <v>2.34</v>
      </c>
      <c r="K63" s="9">
        <v>45293</v>
      </c>
      <c r="L63">
        <f xml:space="preserve"> (交易處理資料__3[[#This Row],[售出工時]] * 60) / 5</f>
        <v>2.2800000000000002</v>
      </c>
      <c r="M63" t="str">
        <f>VLOOKUP(交易處理資料__3[[#This Row],[人員代號]],團隊分組!$B$1:$C$52,2,FALSE)</f>
        <v>鈑金維修組</v>
      </c>
      <c r="N63">
        <f>IF(交易處理資料__3[[#This Row],[上班時間]]=0,0,交易處理資料__3[[#This Row],[售出工時]]/交易處理資料__3[[#This Row],[上班時間]])</f>
        <v>2.3427866831072751E-2</v>
      </c>
      <c r="O63" s="31" t="str">
        <f>IF(交易處理資料__3[[#This Row],[上班時間]]=0,"否","是")</f>
        <v>是</v>
      </c>
    </row>
    <row r="64" spans="1:15" hidden="1">
      <c r="A64" t="s">
        <v>74</v>
      </c>
      <c r="B64" t="s">
        <v>13</v>
      </c>
      <c r="C64">
        <v>0</v>
      </c>
      <c r="D64">
        <v>0</v>
      </c>
      <c r="E64" s="27">
        <v>0</v>
      </c>
      <c r="F64">
        <v>6.67</v>
      </c>
      <c r="G64">
        <v>1.41</v>
      </c>
      <c r="H64">
        <v>8.08</v>
      </c>
      <c r="I64">
        <v>82.55</v>
      </c>
      <c r="J64">
        <v>0</v>
      </c>
      <c r="K64" s="9">
        <v>45293</v>
      </c>
      <c r="L64">
        <f xml:space="preserve"> (交易處理資料__3[[#This Row],[售出工時]] * 60) / 5</f>
        <v>0</v>
      </c>
      <c r="M64" t="str">
        <f>VLOOKUP(交易處理資料__3[[#This Row],[人員代號]],團隊分組!$B$1:$C$52,2,FALSE)</f>
        <v>鈑金維修組</v>
      </c>
      <c r="N64">
        <f>IF(交易處理資料__3[[#This Row],[上班時間]]=0,0,交易處理資料__3[[#This Row],[售出工時]]/交易處理資料__3[[#This Row],[上班時間]])</f>
        <v>0</v>
      </c>
      <c r="O64" s="31" t="str">
        <f>IF(交易處理資料__3[[#This Row],[上班時間]]=0,"否","是")</f>
        <v>是</v>
      </c>
    </row>
    <row r="65" spans="1:15" hidden="1">
      <c r="A65" t="s">
        <v>74</v>
      </c>
      <c r="B65" t="s">
        <v>14</v>
      </c>
      <c r="C65">
        <v>0.04</v>
      </c>
      <c r="D65">
        <v>0.47</v>
      </c>
      <c r="E65" s="27">
        <v>8.51</v>
      </c>
      <c r="F65">
        <v>3.84</v>
      </c>
      <c r="G65">
        <v>4.24</v>
      </c>
      <c r="H65">
        <v>8.08</v>
      </c>
      <c r="I65">
        <v>47.52</v>
      </c>
      <c r="J65">
        <v>0.5</v>
      </c>
      <c r="K65" s="9">
        <v>45293</v>
      </c>
      <c r="L65">
        <f xml:space="preserve"> (交易處理資料__3[[#This Row],[售出工時]] * 60) / 5</f>
        <v>0.48</v>
      </c>
      <c r="M65" t="str">
        <f>VLOOKUP(交易處理資料__3[[#This Row],[人員代號]],團隊分組!$B$1:$C$52,2,FALSE)</f>
        <v>鈑金維修組</v>
      </c>
      <c r="N65">
        <f>IF(交易處理資料__3[[#This Row],[上班時間]]=0,0,交易處理資料__3[[#This Row],[售出工時]]/交易處理資料__3[[#This Row],[上班時間]])</f>
        <v>4.9504950495049506E-3</v>
      </c>
      <c r="O65" s="31" t="str">
        <f>IF(交易處理資料__3[[#This Row],[上班時間]]=0,"否","是")</f>
        <v>是</v>
      </c>
    </row>
    <row r="66" spans="1:15" hidden="1">
      <c r="A66" t="s">
        <v>74</v>
      </c>
      <c r="B66" t="s">
        <v>15</v>
      </c>
      <c r="C66">
        <v>0.04</v>
      </c>
      <c r="D66">
        <v>0.45</v>
      </c>
      <c r="E66" s="27">
        <v>8.8800000000000008</v>
      </c>
      <c r="F66">
        <v>3.84</v>
      </c>
      <c r="G66">
        <v>4.24</v>
      </c>
      <c r="H66">
        <v>8.08</v>
      </c>
      <c r="I66">
        <v>47.52</v>
      </c>
      <c r="J66">
        <v>0.5</v>
      </c>
      <c r="K66" s="9">
        <v>45293</v>
      </c>
      <c r="L66">
        <f xml:space="preserve"> (交易處理資料__3[[#This Row],[售出工時]] * 60) / 5</f>
        <v>0.48</v>
      </c>
      <c r="M66" t="str">
        <f>VLOOKUP(交易處理資料__3[[#This Row],[人員代號]],團隊分組!$B$1:$C$52,2,FALSE)</f>
        <v>鈑金維修組</v>
      </c>
      <c r="N66">
        <f>IF(交易處理資料__3[[#This Row],[上班時間]]=0,0,交易處理資料__3[[#This Row],[售出工時]]/交易處理資料__3[[#This Row],[上班時間]])</f>
        <v>4.9504950495049506E-3</v>
      </c>
      <c r="O66" s="31" t="str">
        <f>IF(交易處理資料__3[[#This Row],[上班時間]]=0,"否","是")</f>
        <v>是</v>
      </c>
    </row>
    <row r="67" spans="1:15" hidden="1">
      <c r="A67" t="s">
        <v>75</v>
      </c>
      <c r="B67" t="s">
        <v>17</v>
      </c>
      <c r="C67">
        <v>10.1</v>
      </c>
      <c r="D67">
        <v>6.7</v>
      </c>
      <c r="E67" s="27">
        <v>150.84</v>
      </c>
      <c r="F67">
        <v>7.91</v>
      </c>
      <c r="G67">
        <v>1.28</v>
      </c>
      <c r="H67">
        <v>9.19</v>
      </c>
      <c r="I67">
        <v>86.07</v>
      </c>
      <c r="J67">
        <v>109.97</v>
      </c>
      <c r="K67" s="9">
        <v>45293</v>
      </c>
      <c r="L67">
        <f xml:space="preserve"> (交易處理資料__3[[#This Row],[售出工時]] * 60) / 5</f>
        <v>121.2</v>
      </c>
      <c r="M67" t="str">
        <f>VLOOKUP(交易處理資料__3[[#This Row],[人員代號]],團隊分組!$B$1:$C$52,2,FALSE)</f>
        <v>快速保養團隊A</v>
      </c>
      <c r="N67">
        <f>IF(交易處理資料__3[[#This Row],[上班時間]]=0,0,交易處理資料__3[[#This Row],[售出工時]]/交易處理資料__3[[#This Row],[上班時間]])</f>
        <v>1.0990206746463547</v>
      </c>
      <c r="O67" s="31" t="str">
        <f>IF(交易處理資料__3[[#This Row],[上班時間]]=0,"否","是")</f>
        <v>是</v>
      </c>
    </row>
    <row r="68" spans="1:15" hidden="1">
      <c r="A68" t="s">
        <v>75</v>
      </c>
      <c r="B68" t="s">
        <v>18</v>
      </c>
      <c r="C68">
        <v>0.75</v>
      </c>
      <c r="D68">
        <v>2.1</v>
      </c>
      <c r="E68" s="27">
        <v>35.71</v>
      </c>
      <c r="F68">
        <v>7.87</v>
      </c>
      <c r="G68">
        <v>1.29</v>
      </c>
      <c r="H68">
        <v>9.16</v>
      </c>
      <c r="I68">
        <v>85.92</v>
      </c>
      <c r="J68">
        <v>8.19</v>
      </c>
      <c r="K68" s="9">
        <v>45293</v>
      </c>
      <c r="L68">
        <f xml:space="preserve"> (交易處理資料__3[[#This Row],[售出工時]] * 60) / 5</f>
        <v>9</v>
      </c>
      <c r="M68" t="str">
        <f>VLOOKUP(交易處理資料__3[[#This Row],[人員代號]],團隊分組!$B$1:$C$52,2,FALSE)</f>
        <v>查修團隊B</v>
      </c>
      <c r="N68">
        <f>IF(交易處理資料__3[[#This Row],[上班時間]]=0,0,交易處理資料__3[[#This Row],[售出工時]]/交易處理資料__3[[#This Row],[上班時間]])</f>
        <v>8.1877729257641918E-2</v>
      </c>
      <c r="O68" s="31" t="str">
        <f>IF(交易處理資料__3[[#This Row],[上班時間]]=0,"否","是")</f>
        <v>是</v>
      </c>
    </row>
    <row r="69" spans="1:15" hidden="1">
      <c r="A69" t="s">
        <v>75</v>
      </c>
      <c r="B69" t="s">
        <v>19</v>
      </c>
      <c r="C69">
        <v>2.85</v>
      </c>
      <c r="D69">
        <v>3.77</v>
      </c>
      <c r="E69" s="27">
        <v>75.77</v>
      </c>
      <c r="F69">
        <v>7.51</v>
      </c>
      <c r="G69">
        <v>0.56000000000000005</v>
      </c>
      <c r="H69">
        <v>8.07</v>
      </c>
      <c r="I69">
        <v>93.06</v>
      </c>
      <c r="J69">
        <v>35.4</v>
      </c>
      <c r="K69" s="9">
        <v>45293</v>
      </c>
      <c r="L69">
        <f xml:space="preserve"> (交易處理資料__3[[#This Row],[售出工時]] * 60) / 5</f>
        <v>34.200000000000003</v>
      </c>
      <c r="M69" t="str">
        <f>VLOOKUP(交易處理資料__3[[#This Row],[人員代號]],團隊分組!$B$1:$C$52,2,FALSE)</f>
        <v>查修團隊A</v>
      </c>
      <c r="N69">
        <f>IF(交易處理資料__3[[#This Row],[上班時間]]=0,0,交易處理資料__3[[#This Row],[售出工時]]/交易處理資料__3[[#This Row],[上班時間]])</f>
        <v>0.35315985130111521</v>
      </c>
      <c r="O69" s="31" t="str">
        <f>IF(交易處理資料__3[[#This Row],[上班時間]]=0,"否","是")</f>
        <v>是</v>
      </c>
    </row>
    <row r="70" spans="1:15" hidden="1">
      <c r="A70" t="s">
        <v>75</v>
      </c>
      <c r="B70" t="s">
        <v>20</v>
      </c>
      <c r="C70">
        <v>0</v>
      </c>
      <c r="D70">
        <v>0</v>
      </c>
      <c r="E70" s="27">
        <v>0</v>
      </c>
      <c r="F70">
        <v>0</v>
      </c>
      <c r="G70">
        <v>9.64</v>
      </c>
      <c r="H70">
        <v>9.64</v>
      </c>
      <c r="I70">
        <v>0</v>
      </c>
      <c r="J70">
        <v>0</v>
      </c>
      <c r="K70" s="9">
        <v>45293</v>
      </c>
      <c r="L70">
        <f xml:space="preserve"> (交易處理資料__3[[#This Row],[售出工時]] * 60) / 5</f>
        <v>0</v>
      </c>
      <c r="M70" t="str">
        <f>VLOOKUP(交易處理資料__3[[#This Row],[人員代號]],團隊分組!$B$1:$C$52,2,FALSE)</f>
        <v>查修團隊B</v>
      </c>
      <c r="N70">
        <f>IF(交易處理資料__3[[#This Row],[上班時間]]=0,0,交易處理資料__3[[#This Row],[售出工時]]/交易處理資料__3[[#This Row],[上班時間]])</f>
        <v>0</v>
      </c>
      <c r="O70" s="31" t="str">
        <f>IF(交易處理資料__3[[#This Row],[上班時間]]=0,"否","是")</f>
        <v>是</v>
      </c>
    </row>
    <row r="71" spans="1:15" hidden="1">
      <c r="A71" t="s">
        <v>75</v>
      </c>
      <c r="B71" t="s">
        <v>21</v>
      </c>
      <c r="C71">
        <v>0.63</v>
      </c>
      <c r="D71">
        <v>1.89</v>
      </c>
      <c r="E71" s="27">
        <v>33.33</v>
      </c>
      <c r="F71">
        <v>5.28</v>
      </c>
      <c r="G71">
        <v>3.68</v>
      </c>
      <c r="H71">
        <v>8.9600000000000009</v>
      </c>
      <c r="I71">
        <v>58.93</v>
      </c>
      <c r="J71">
        <v>7.03</v>
      </c>
      <c r="K71" s="9">
        <v>45293</v>
      </c>
      <c r="L71">
        <f xml:space="preserve"> (交易處理資料__3[[#This Row],[售出工時]] * 60) / 5</f>
        <v>7.56</v>
      </c>
      <c r="M71" t="str">
        <f>VLOOKUP(交易處理資料__3[[#This Row],[人員代號]],團隊分組!$B$1:$C$52,2,FALSE)</f>
        <v>查修團隊B</v>
      </c>
      <c r="N71">
        <f>IF(交易處理資料__3[[#This Row],[上班時間]]=0,0,交易處理資料__3[[#This Row],[售出工時]]/交易處理資料__3[[#This Row],[上班時間]])</f>
        <v>7.03125E-2</v>
      </c>
      <c r="O71" s="31" t="str">
        <f>IF(交易處理資料__3[[#This Row],[上班時間]]=0,"否","是")</f>
        <v>是</v>
      </c>
    </row>
    <row r="72" spans="1:15" hidden="1">
      <c r="A72" t="s">
        <v>75</v>
      </c>
      <c r="B72" t="s">
        <v>22</v>
      </c>
      <c r="C72">
        <v>0</v>
      </c>
      <c r="D72">
        <v>0</v>
      </c>
      <c r="E72" s="27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9">
        <v>45293</v>
      </c>
      <c r="L72">
        <f xml:space="preserve"> (交易處理資料__3[[#This Row],[售出工時]] * 60) / 5</f>
        <v>0</v>
      </c>
      <c r="M72" t="str">
        <f>VLOOKUP(交易處理資料__3[[#This Row],[人員代號]],團隊分組!$B$1:$C$52,2,FALSE)</f>
        <v>快速保養團隊A</v>
      </c>
      <c r="N72">
        <f>IF(交易處理資料__3[[#This Row],[上班時間]]=0,0,交易處理資料__3[[#This Row],[售出工時]]/交易處理資料__3[[#This Row],[上班時間]])</f>
        <v>0</v>
      </c>
      <c r="O72" s="31" t="str">
        <f>IF(交易處理資料__3[[#This Row],[上班時間]]=0,"否","是")</f>
        <v>否</v>
      </c>
    </row>
    <row r="73" spans="1:15" hidden="1">
      <c r="A73" t="s">
        <v>75</v>
      </c>
      <c r="B73" t="s">
        <v>24</v>
      </c>
      <c r="C73">
        <v>9.8699999999999992</v>
      </c>
      <c r="D73">
        <v>6.15</v>
      </c>
      <c r="E73" s="27">
        <v>160.47999999999999</v>
      </c>
      <c r="F73">
        <v>6.74</v>
      </c>
      <c r="G73">
        <v>1.17</v>
      </c>
      <c r="H73">
        <v>7.91</v>
      </c>
      <c r="I73">
        <v>85.21</v>
      </c>
      <c r="J73">
        <v>124.78</v>
      </c>
      <c r="K73" s="9">
        <v>45293</v>
      </c>
      <c r="L73">
        <f xml:space="preserve"> (交易處理資料__3[[#This Row],[售出工時]] * 60) / 5</f>
        <v>118.43999999999998</v>
      </c>
      <c r="M73" t="str">
        <f>VLOOKUP(交易處理資料__3[[#This Row],[人員代號]],團隊分組!$B$1:$C$52,2,FALSE)</f>
        <v>快速保養團隊A</v>
      </c>
      <c r="N73">
        <f>IF(交易處理資料__3[[#This Row],[上班時間]]=0,0,交易處理資料__3[[#This Row],[售出工時]]/交易處理資料__3[[#This Row],[上班時間]])</f>
        <v>1.247787610619469</v>
      </c>
      <c r="O73" s="31" t="str">
        <f>IF(交易處理資料__3[[#This Row],[上班時間]]=0,"否","是")</f>
        <v>是</v>
      </c>
    </row>
    <row r="74" spans="1:15" hidden="1">
      <c r="A74" t="s">
        <v>75</v>
      </c>
      <c r="B74" t="s">
        <v>25</v>
      </c>
      <c r="C74">
        <v>3.58</v>
      </c>
      <c r="D74">
        <v>7.38</v>
      </c>
      <c r="E74" s="27">
        <v>48.55</v>
      </c>
      <c r="F74">
        <v>4.21</v>
      </c>
      <c r="G74">
        <v>3.69</v>
      </c>
      <c r="H74">
        <v>7.9</v>
      </c>
      <c r="I74">
        <v>53.29</v>
      </c>
      <c r="J74">
        <v>45.36</v>
      </c>
      <c r="K74" s="9">
        <v>45293</v>
      </c>
      <c r="L74">
        <f xml:space="preserve"> (交易處理資料__3[[#This Row],[售出工時]] * 60) / 5</f>
        <v>42.96</v>
      </c>
      <c r="M74" t="str">
        <f>VLOOKUP(交易處理資料__3[[#This Row],[人員代號]],團隊分組!$B$1:$C$52,2,FALSE)</f>
        <v>查修團隊A</v>
      </c>
      <c r="N74">
        <f>IF(交易處理資料__3[[#This Row],[上班時間]]=0,0,交易處理資料__3[[#This Row],[售出工時]]/交易處理資料__3[[#This Row],[上班時間]])</f>
        <v>0.45316455696202529</v>
      </c>
      <c r="O74" s="31" t="str">
        <f>IF(交易處理資料__3[[#This Row],[上班時間]]=0,"否","是")</f>
        <v>是</v>
      </c>
    </row>
    <row r="75" spans="1:15" hidden="1">
      <c r="A75" t="s">
        <v>75</v>
      </c>
      <c r="B75" t="s">
        <v>26</v>
      </c>
      <c r="C75">
        <v>0</v>
      </c>
      <c r="D75">
        <v>0</v>
      </c>
      <c r="E75" s="27">
        <v>0</v>
      </c>
      <c r="F75">
        <v>8.2100000000000009</v>
      </c>
      <c r="G75">
        <v>1.42</v>
      </c>
      <c r="H75">
        <v>9.6300000000000008</v>
      </c>
      <c r="I75">
        <v>85.25</v>
      </c>
      <c r="J75">
        <v>0</v>
      </c>
      <c r="K75" s="9">
        <v>45293</v>
      </c>
      <c r="L75">
        <f xml:space="preserve"> (交易處理資料__3[[#This Row],[售出工時]] * 60) / 5</f>
        <v>0</v>
      </c>
      <c r="M75" t="str">
        <f>VLOOKUP(交易處理資料__3[[#This Row],[人員代號]],團隊分組!$B$1:$C$52,2,FALSE)</f>
        <v>查修團隊B</v>
      </c>
      <c r="N75">
        <f>IF(交易處理資料__3[[#This Row],[上班時間]]=0,0,交易處理資料__3[[#This Row],[售出工時]]/交易處理資料__3[[#This Row],[上班時間]])</f>
        <v>0</v>
      </c>
      <c r="O75" s="31" t="str">
        <f>IF(交易處理資料__3[[#This Row],[上班時間]]=0,"否","是")</f>
        <v>是</v>
      </c>
    </row>
    <row r="76" spans="1:15" hidden="1">
      <c r="A76" t="s">
        <v>75</v>
      </c>
      <c r="B76" t="s">
        <v>27</v>
      </c>
      <c r="C76">
        <v>5.1100000000000003</v>
      </c>
      <c r="D76">
        <v>4.53</v>
      </c>
      <c r="E76" s="27">
        <v>112.8</v>
      </c>
      <c r="F76">
        <v>9.84</v>
      </c>
      <c r="G76">
        <v>0.2</v>
      </c>
      <c r="H76">
        <v>10.039999999999999</v>
      </c>
      <c r="I76">
        <v>98.01</v>
      </c>
      <c r="J76">
        <v>50.9</v>
      </c>
      <c r="K76" s="9">
        <v>45293</v>
      </c>
      <c r="L76">
        <f xml:space="preserve"> (交易處理資料__3[[#This Row],[售出工時]] * 60) / 5</f>
        <v>61.320000000000007</v>
      </c>
      <c r="M76" t="str">
        <f>VLOOKUP(交易處理資料__3[[#This Row],[人員代號]],團隊分組!$B$1:$C$52,2,FALSE)</f>
        <v>快速保養團隊B</v>
      </c>
      <c r="N76">
        <f>IF(交易處理資料__3[[#This Row],[上班時間]]=0,0,交易處理資料__3[[#This Row],[售出工時]]/交易處理資料__3[[#This Row],[上班時間]])</f>
        <v>0.50896414342629492</v>
      </c>
      <c r="O76" s="31" t="str">
        <f>IF(交易處理資料__3[[#This Row],[上班時間]]=0,"否","是")</f>
        <v>是</v>
      </c>
    </row>
    <row r="77" spans="1:15" hidden="1">
      <c r="A77" t="s">
        <v>75</v>
      </c>
      <c r="B77" t="s">
        <v>28</v>
      </c>
      <c r="C77">
        <v>9.75</v>
      </c>
      <c r="D77">
        <v>6.41</v>
      </c>
      <c r="E77" s="27">
        <v>152.1</v>
      </c>
      <c r="F77">
        <v>7.38</v>
      </c>
      <c r="G77">
        <v>0.79</v>
      </c>
      <c r="H77">
        <v>8.17</v>
      </c>
      <c r="I77">
        <v>90.33</v>
      </c>
      <c r="J77">
        <v>119.34</v>
      </c>
      <c r="K77" s="9">
        <v>45293</v>
      </c>
      <c r="L77">
        <f xml:space="preserve"> (交易處理資料__3[[#This Row],[售出工時]] * 60) / 5</f>
        <v>117</v>
      </c>
      <c r="M77" t="str">
        <f>VLOOKUP(交易處理資料__3[[#This Row],[人員代號]],團隊分組!$B$1:$C$52,2,FALSE)</f>
        <v>快速保養團隊A</v>
      </c>
      <c r="N77">
        <f>IF(交易處理資料__3[[#This Row],[上班時間]]=0,0,交易處理資料__3[[#This Row],[售出工時]]/交易處理資料__3[[#This Row],[上班時間]])</f>
        <v>1.193390452876377</v>
      </c>
      <c r="O77" s="31" t="str">
        <f>IF(交易處理資料__3[[#This Row],[上班時間]]=0,"否","是")</f>
        <v>是</v>
      </c>
    </row>
    <row r="78" spans="1:15" hidden="1">
      <c r="A78" t="s">
        <v>75</v>
      </c>
      <c r="B78" t="s">
        <v>29</v>
      </c>
      <c r="C78">
        <v>0</v>
      </c>
      <c r="D78">
        <v>0</v>
      </c>
      <c r="E78" s="27">
        <v>0</v>
      </c>
      <c r="F78">
        <v>6.64</v>
      </c>
      <c r="G78">
        <v>2.37</v>
      </c>
      <c r="H78">
        <v>9.01</v>
      </c>
      <c r="I78">
        <v>73.7</v>
      </c>
      <c r="J78">
        <v>0</v>
      </c>
      <c r="K78" s="9">
        <v>45293</v>
      </c>
      <c r="L78">
        <f xml:space="preserve"> (交易處理資料__3[[#This Row],[售出工時]] * 60) / 5</f>
        <v>0</v>
      </c>
      <c r="M78" t="str">
        <f>VLOOKUP(交易處理資料__3[[#This Row],[人員代號]],團隊分組!$B$1:$C$52,2,FALSE)</f>
        <v>查修團隊B</v>
      </c>
      <c r="N78">
        <f>IF(交易處理資料__3[[#This Row],[上班時間]]=0,0,交易處理資料__3[[#This Row],[售出工時]]/交易處理資料__3[[#This Row],[上班時間]])</f>
        <v>0</v>
      </c>
      <c r="O78" s="31" t="str">
        <f>IF(交易處理資料__3[[#This Row],[上班時間]]=0,"否","是")</f>
        <v>是</v>
      </c>
    </row>
    <row r="79" spans="1:15" hidden="1">
      <c r="A79" t="s">
        <v>75</v>
      </c>
      <c r="B79" t="s">
        <v>30</v>
      </c>
      <c r="C79">
        <v>4.8499999999999996</v>
      </c>
      <c r="D79">
        <v>3.81</v>
      </c>
      <c r="E79" s="27">
        <v>127.47</v>
      </c>
      <c r="F79">
        <v>9.8800000000000008</v>
      </c>
      <c r="G79">
        <v>0.2</v>
      </c>
      <c r="H79">
        <v>10.08</v>
      </c>
      <c r="I79">
        <v>98.02</v>
      </c>
      <c r="J79">
        <v>48.18</v>
      </c>
      <c r="K79" s="9">
        <v>45293</v>
      </c>
      <c r="L79">
        <f xml:space="preserve"> (交易處理資料__3[[#This Row],[售出工時]] * 60) / 5</f>
        <v>58.2</v>
      </c>
      <c r="M79" t="str">
        <f>VLOOKUP(交易處理資料__3[[#This Row],[人員代號]],團隊分組!$B$1:$C$52,2,FALSE)</f>
        <v>快速保養團隊B</v>
      </c>
      <c r="N79">
        <f>IF(交易處理資料__3[[#This Row],[上班時間]]=0,0,交易處理資料__3[[#This Row],[售出工時]]/交易處理資料__3[[#This Row],[上班時間]])</f>
        <v>0.48115079365079361</v>
      </c>
      <c r="O79" s="31" t="str">
        <f>IF(交易處理資料__3[[#This Row],[上班時間]]=0,"否","是")</f>
        <v>是</v>
      </c>
    </row>
    <row r="80" spans="1:15" hidden="1">
      <c r="A80" t="s">
        <v>75</v>
      </c>
      <c r="B80" t="s">
        <v>31</v>
      </c>
      <c r="C80">
        <v>0</v>
      </c>
      <c r="D80">
        <v>0</v>
      </c>
      <c r="E80" s="27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9">
        <v>45293</v>
      </c>
      <c r="L80">
        <f xml:space="preserve"> (交易處理資料__3[[#This Row],[售出工時]] * 60) / 5</f>
        <v>0</v>
      </c>
      <c r="M80" t="str">
        <f>VLOOKUP(交易處理資料__3[[#This Row],[人員代號]],團隊分組!$B$1:$C$52,2,FALSE)</f>
        <v>快速保養團隊A</v>
      </c>
      <c r="N80">
        <f>IF(交易處理資料__3[[#This Row],[上班時間]]=0,0,交易處理資料__3[[#This Row],[售出工時]]/交易處理資料__3[[#This Row],[上班時間]])</f>
        <v>0</v>
      </c>
      <c r="O80" s="31" t="str">
        <f>IF(交易處理資料__3[[#This Row],[上班時間]]=0,"否","是")</f>
        <v>否</v>
      </c>
    </row>
    <row r="81" spans="1:15" hidden="1">
      <c r="A81" t="s">
        <v>75</v>
      </c>
      <c r="B81" t="s">
        <v>32</v>
      </c>
      <c r="C81">
        <v>8.25</v>
      </c>
      <c r="D81">
        <v>5.28</v>
      </c>
      <c r="E81" s="27">
        <v>156.25</v>
      </c>
      <c r="F81">
        <v>8.11</v>
      </c>
      <c r="G81">
        <v>1.98</v>
      </c>
      <c r="H81">
        <v>10.09</v>
      </c>
      <c r="I81">
        <v>80.38</v>
      </c>
      <c r="J81">
        <v>81.760000000000005</v>
      </c>
      <c r="K81" s="9">
        <v>45293</v>
      </c>
      <c r="L81">
        <f xml:space="preserve"> (交易處理資料__3[[#This Row],[售出工時]] * 60) / 5</f>
        <v>99</v>
      </c>
      <c r="M81" t="str">
        <f>VLOOKUP(交易處理資料__3[[#This Row],[人員代號]],團隊分組!$B$1:$C$52,2,FALSE)</f>
        <v>快速保養團隊B</v>
      </c>
      <c r="N81">
        <f>IF(交易處理資料__3[[#This Row],[上班時間]]=0,0,交易處理資料__3[[#This Row],[售出工時]]/交易處理資料__3[[#This Row],[上班時間]])</f>
        <v>0.81764122893954416</v>
      </c>
      <c r="O81" s="31" t="str">
        <f>IF(交易處理資料__3[[#This Row],[上班時間]]=0,"否","是")</f>
        <v>是</v>
      </c>
    </row>
    <row r="82" spans="1:15">
      <c r="A82" t="s">
        <v>75</v>
      </c>
      <c r="B82" t="s">
        <v>33</v>
      </c>
      <c r="C82">
        <v>0</v>
      </c>
      <c r="D82">
        <v>0</v>
      </c>
      <c r="E82" s="27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9">
        <v>45293</v>
      </c>
      <c r="L82">
        <f xml:space="preserve"> (交易處理資料__3[[#This Row],[售出工時]] * 60) / 5</f>
        <v>0</v>
      </c>
      <c r="M82" t="str">
        <f>VLOOKUP(交易處理資料__3[[#This Row],[人員代號]],團隊分組!$B$1:$C$52,2,FALSE)</f>
        <v>快速保養團隊B</v>
      </c>
      <c r="N82">
        <f>IF(交易處理資料__3[[#This Row],[上班時間]]=0,0,交易處理資料__3[[#This Row],[售出工時]]/交易處理資料__3[[#This Row],[上班時間]])</f>
        <v>0</v>
      </c>
      <c r="O82" s="31" t="str">
        <f>IF(交易處理資料__3[[#This Row],[上班時間]]=0,"否","是")</f>
        <v>否</v>
      </c>
    </row>
    <row r="83" spans="1:15" hidden="1">
      <c r="A83" t="s">
        <v>75</v>
      </c>
      <c r="B83" t="s">
        <v>34</v>
      </c>
      <c r="C83">
        <v>9.41</v>
      </c>
      <c r="D83">
        <v>6.36</v>
      </c>
      <c r="E83" s="27">
        <v>148.06</v>
      </c>
      <c r="F83">
        <v>6.16</v>
      </c>
      <c r="G83">
        <v>1.73</v>
      </c>
      <c r="H83">
        <v>7.89</v>
      </c>
      <c r="I83">
        <v>78.069999999999993</v>
      </c>
      <c r="J83">
        <v>119.35</v>
      </c>
      <c r="K83" s="9">
        <v>45293</v>
      </c>
      <c r="L83">
        <f xml:space="preserve"> (交易處理資料__3[[#This Row],[售出工時]] * 60) / 5</f>
        <v>112.92</v>
      </c>
      <c r="M83" t="str">
        <f>VLOOKUP(交易處理資料__3[[#This Row],[人員代號]],團隊分組!$B$1:$C$52,2,FALSE)</f>
        <v>快速保養團隊A</v>
      </c>
      <c r="N83">
        <f>IF(交易處理資料__3[[#This Row],[上班時間]]=0,0,交易處理資料__3[[#This Row],[售出工時]]/交易處理資料__3[[#This Row],[上班時間]])</f>
        <v>1.1926489226869457</v>
      </c>
      <c r="O83" s="31" t="str">
        <f>IF(交易處理資料__3[[#This Row],[上班時間]]=0,"否","是")</f>
        <v>是</v>
      </c>
    </row>
    <row r="84" spans="1:15" hidden="1">
      <c r="A84" t="s">
        <v>75</v>
      </c>
      <c r="B84" t="s">
        <v>35</v>
      </c>
      <c r="C84">
        <v>0</v>
      </c>
      <c r="D84">
        <v>0</v>
      </c>
      <c r="E84" s="27">
        <v>0</v>
      </c>
      <c r="F84">
        <v>6.54</v>
      </c>
      <c r="G84">
        <v>3.96</v>
      </c>
      <c r="H84">
        <v>10.5</v>
      </c>
      <c r="I84">
        <v>62.29</v>
      </c>
      <c r="J84">
        <v>0</v>
      </c>
      <c r="K84" s="9">
        <v>45293</v>
      </c>
      <c r="L84">
        <f xml:space="preserve"> (交易處理資料__3[[#This Row],[售出工時]] * 60) / 5</f>
        <v>0</v>
      </c>
      <c r="M84" t="str">
        <f>VLOOKUP(交易處理資料__3[[#This Row],[人員代號]],團隊分組!$B$1:$C$52,2,FALSE)</f>
        <v>查修團隊B</v>
      </c>
      <c r="N84">
        <f>IF(交易處理資料__3[[#This Row],[上班時間]]=0,0,交易處理資料__3[[#This Row],[售出工時]]/交易處理資料__3[[#This Row],[上班時間]])</f>
        <v>0</v>
      </c>
      <c r="O84" s="31" t="str">
        <f>IF(交易處理資料__3[[#This Row],[上班時間]]=0,"否","是")</f>
        <v>是</v>
      </c>
    </row>
    <row r="85" spans="1:15" hidden="1">
      <c r="A85" t="s">
        <v>75</v>
      </c>
      <c r="B85" t="s">
        <v>36</v>
      </c>
      <c r="C85">
        <v>1.78</v>
      </c>
      <c r="D85">
        <v>3.9</v>
      </c>
      <c r="E85" s="27">
        <v>45.64</v>
      </c>
      <c r="F85">
        <v>6.85</v>
      </c>
      <c r="G85">
        <v>2.4900000000000002</v>
      </c>
      <c r="H85">
        <v>9.34</v>
      </c>
      <c r="I85">
        <v>73.34</v>
      </c>
      <c r="J85">
        <v>19.059999999999999</v>
      </c>
      <c r="K85" s="9">
        <v>45293</v>
      </c>
      <c r="L85">
        <f xml:space="preserve"> (交易處理資料__3[[#This Row],[售出工時]] * 60) / 5</f>
        <v>21.36</v>
      </c>
      <c r="M85" t="str">
        <f>VLOOKUP(交易處理資料__3[[#This Row],[人員代號]],團隊分組!$B$1:$C$52,2,FALSE)</f>
        <v>查修團隊B</v>
      </c>
      <c r="N85">
        <f>IF(交易處理資料__3[[#This Row],[上班時間]]=0,0,交易處理資料__3[[#This Row],[售出工時]]/交易處理資料__3[[#This Row],[上班時間]])</f>
        <v>0.19057815845824411</v>
      </c>
      <c r="O85" s="31" t="str">
        <f>IF(交易處理資料__3[[#This Row],[上班時間]]=0,"否","是")</f>
        <v>是</v>
      </c>
    </row>
    <row r="86" spans="1:15" hidden="1">
      <c r="A86" t="s">
        <v>75</v>
      </c>
      <c r="B86" t="s">
        <v>37</v>
      </c>
      <c r="C86">
        <v>3</v>
      </c>
      <c r="D86">
        <v>4.0199999999999996</v>
      </c>
      <c r="E86" s="27">
        <v>74.62</v>
      </c>
      <c r="F86">
        <v>7.44</v>
      </c>
      <c r="G86">
        <v>3</v>
      </c>
      <c r="H86">
        <v>10.44</v>
      </c>
      <c r="I86">
        <v>71.260000000000005</v>
      </c>
      <c r="J86">
        <v>28.74</v>
      </c>
      <c r="K86" s="9">
        <v>45293</v>
      </c>
      <c r="L86">
        <f xml:space="preserve"> (交易處理資料__3[[#This Row],[售出工時]] * 60) / 5</f>
        <v>36</v>
      </c>
      <c r="M86" t="str">
        <f>VLOOKUP(交易處理資料__3[[#This Row],[人員代號]],團隊分組!$B$1:$C$52,2,FALSE)</f>
        <v>查修團隊A</v>
      </c>
      <c r="N86">
        <f>IF(交易處理資料__3[[#This Row],[上班時間]]=0,0,交易處理資料__3[[#This Row],[售出工時]]/交易處理資料__3[[#This Row],[上班時間]])</f>
        <v>0.2873563218390805</v>
      </c>
      <c r="O86" s="31" t="str">
        <f>IF(交易處理資料__3[[#This Row],[上班時間]]=0,"否","是")</f>
        <v>是</v>
      </c>
    </row>
    <row r="87" spans="1:15" hidden="1">
      <c r="A87" t="s">
        <v>75</v>
      </c>
      <c r="B87" t="s">
        <v>38</v>
      </c>
      <c r="C87">
        <v>15.83</v>
      </c>
      <c r="D87">
        <v>5.09</v>
      </c>
      <c r="E87" s="27">
        <v>311.06</v>
      </c>
      <c r="F87">
        <v>10.87</v>
      </c>
      <c r="G87">
        <v>0.86</v>
      </c>
      <c r="H87">
        <v>11.73</v>
      </c>
      <c r="I87">
        <v>92.67</v>
      </c>
      <c r="J87">
        <v>134.97999999999999</v>
      </c>
      <c r="K87" s="9">
        <v>45293</v>
      </c>
      <c r="L87">
        <f xml:space="preserve"> (交易處理資料__3[[#This Row],[售出工時]] * 60) / 5</f>
        <v>189.95999999999998</v>
      </c>
      <c r="M87" t="str">
        <f>VLOOKUP(交易處理資料__3[[#This Row],[人員代號]],團隊分組!$B$1:$C$52,2,FALSE)</f>
        <v>快速保養團隊A</v>
      </c>
      <c r="N87">
        <f>IF(交易處理資料__3[[#This Row],[上班時間]]=0,0,交易處理資料__3[[#This Row],[售出工時]]/交易處理資料__3[[#This Row],[上班時間]])</f>
        <v>1.3495311167945439</v>
      </c>
      <c r="O87" s="31" t="str">
        <f>IF(交易處理資料__3[[#This Row],[上班時間]]=0,"否","是")</f>
        <v>是</v>
      </c>
    </row>
    <row r="88" spans="1:15" hidden="1">
      <c r="A88" t="s">
        <v>75</v>
      </c>
      <c r="B88" t="s">
        <v>39</v>
      </c>
      <c r="C88">
        <v>0</v>
      </c>
      <c r="D88">
        <v>0</v>
      </c>
      <c r="E88" s="27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9">
        <v>45293</v>
      </c>
      <c r="L88">
        <f xml:space="preserve"> (交易處理資料__3[[#This Row],[售出工時]] * 60) / 5</f>
        <v>0</v>
      </c>
      <c r="M88" t="str">
        <f>VLOOKUP(交易處理資料__3[[#This Row],[人員代號]],團隊分組!$B$1:$C$52,2,FALSE)</f>
        <v>查修團隊A</v>
      </c>
      <c r="N88">
        <f>IF(交易處理資料__3[[#This Row],[上班時間]]=0,0,交易處理資料__3[[#This Row],[售出工時]]/交易處理資料__3[[#This Row],[上班時間]])</f>
        <v>0</v>
      </c>
      <c r="O88" s="31" t="str">
        <f>IF(交易處理資料__3[[#This Row],[上班時間]]=0,"否","是")</f>
        <v>否</v>
      </c>
    </row>
    <row r="89" spans="1:15" hidden="1">
      <c r="A89" t="s">
        <v>75</v>
      </c>
      <c r="B89" t="s">
        <v>40</v>
      </c>
      <c r="C89">
        <v>2.5</v>
      </c>
      <c r="D89">
        <v>2.64</v>
      </c>
      <c r="E89" s="27">
        <v>94.69</v>
      </c>
      <c r="F89">
        <v>5.89</v>
      </c>
      <c r="G89">
        <v>2.0699999999999998</v>
      </c>
      <c r="H89">
        <v>7.96</v>
      </c>
      <c r="I89">
        <v>73.989999999999995</v>
      </c>
      <c r="J89">
        <v>31.41</v>
      </c>
      <c r="K89" s="9">
        <v>45293</v>
      </c>
      <c r="L89">
        <f xml:space="preserve"> (交易處理資料__3[[#This Row],[售出工時]] * 60) / 5</f>
        <v>30</v>
      </c>
      <c r="M89" t="str">
        <f>VLOOKUP(交易處理資料__3[[#This Row],[人員代號]],團隊分組!$B$1:$C$52,2,FALSE)</f>
        <v>查修團隊A</v>
      </c>
      <c r="N89">
        <f>IF(交易處理資料__3[[#This Row],[上班時間]]=0,0,交易處理資料__3[[#This Row],[售出工時]]/交易處理資料__3[[#This Row],[上班時間]])</f>
        <v>0.314070351758794</v>
      </c>
      <c r="O89" s="31" t="str">
        <f>IF(交易處理資料__3[[#This Row],[上班時間]]=0,"否","是")</f>
        <v>是</v>
      </c>
    </row>
    <row r="90" spans="1:15" hidden="1">
      <c r="A90" t="s">
        <v>75</v>
      </c>
      <c r="B90" t="s">
        <v>41</v>
      </c>
      <c r="C90">
        <v>9</v>
      </c>
      <c r="D90">
        <v>7.3</v>
      </c>
      <c r="E90" s="27">
        <v>123.28</v>
      </c>
      <c r="F90">
        <v>8.25</v>
      </c>
      <c r="G90">
        <v>1.71</v>
      </c>
      <c r="H90">
        <v>9.9600000000000009</v>
      </c>
      <c r="I90">
        <v>82.83</v>
      </c>
      <c r="J90">
        <v>90.36</v>
      </c>
      <c r="K90" s="9">
        <v>45293</v>
      </c>
      <c r="L90">
        <f xml:space="preserve"> (交易處理資料__3[[#This Row],[售出工時]] * 60) / 5</f>
        <v>108</v>
      </c>
      <c r="M90" t="str">
        <f>VLOOKUP(交易處理資料__3[[#This Row],[人員代號]],團隊分組!$B$1:$C$52,2,FALSE)</f>
        <v>快速保養團隊A</v>
      </c>
      <c r="N90">
        <f>IF(交易處理資料__3[[#This Row],[上班時間]]=0,0,交易處理資料__3[[#This Row],[售出工時]]/交易處理資料__3[[#This Row],[上班時間]])</f>
        <v>0.90361445783132521</v>
      </c>
      <c r="O90" s="31" t="str">
        <f>IF(交易處理資料__3[[#This Row],[上班時間]]=0,"否","是")</f>
        <v>是</v>
      </c>
    </row>
    <row r="91" spans="1:15" hidden="1">
      <c r="A91" t="s">
        <v>75</v>
      </c>
      <c r="B91" t="s">
        <v>42</v>
      </c>
      <c r="C91">
        <v>2.91</v>
      </c>
      <c r="D91">
        <v>2.98</v>
      </c>
      <c r="E91" s="27">
        <v>97.87</v>
      </c>
      <c r="F91">
        <v>4.8600000000000003</v>
      </c>
      <c r="G91">
        <v>3.08</v>
      </c>
      <c r="H91">
        <v>7.94</v>
      </c>
      <c r="I91">
        <v>61.21</v>
      </c>
      <c r="J91">
        <v>36.729999999999997</v>
      </c>
      <c r="K91" s="9">
        <v>45293</v>
      </c>
      <c r="L91">
        <f xml:space="preserve"> (交易處理資料__3[[#This Row],[售出工時]] * 60) / 5</f>
        <v>34.92</v>
      </c>
      <c r="M91" t="str">
        <f>VLOOKUP(交易處理資料__3[[#This Row],[人員代號]],團隊分組!$B$1:$C$52,2,FALSE)</f>
        <v>快速保養團隊A</v>
      </c>
      <c r="N91">
        <f>IF(交易處理資料__3[[#This Row],[上班時間]]=0,0,交易處理資料__3[[#This Row],[售出工時]]/交易處理資料__3[[#This Row],[上班時間]])</f>
        <v>0.36649874055415615</v>
      </c>
      <c r="O91" s="31" t="str">
        <f>IF(交易處理資料__3[[#This Row],[上班時間]]=0,"否","是")</f>
        <v>是</v>
      </c>
    </row>
    <row r="92" spans="1:15" hidden="1">
      <c r="A92" t="s">
        <v>75</v>
      </c>
      <c r="B92" t="s">
        <v>44</v>
      </c>
      <c r="C92">
        <v>8.99</v>
      </c>
      <c r="D92">
        <v>3.41</v>
      </c>
      <c r="E92" s="27">
        <v>263.63</v>
      </c>
      <c r="F92">
        <v>6.74</v>
      </c>
      <c r="G92">
        <v>1.34</v>
      </c>
      <c r="H92">
        <v>8.08</v>
      </c>
      <c r="I92">
        <v>83.42</v>
      </c>
      <c r="J92">
        <v>111.26</v>
      </c>
      <c r="K92" s="9">
        <v>45293</v>
      </c>
      <c r="L92">
        <f xml:space="preserve"> (交易處理資料__3[[#This Row],[售出工時]] * 60) / 5</f>
        <v>107.88</v>
      </c>
      <c r="M92" t="str">
        <f>VLOOKUP(交易處理資料__3[[#This Row],[人員代號]],團隊分組!$B$1:$C$52,2,FALSE)</f>
        <v>快速保養團隊B</v>
      </c>
      <c r="N92">
        <f>IF(交易處理資料__3[[#This Row],[上班時間]]=0,0,交易處理資料__3[[#This Row],[售出工時]]/交易處理資料__3[[#This Row],[上班時間]])</f>
        <v>1.1126237623762376</v>
      </c>
      <c r="O92" s="31" t="str">
        <f>IF(交易處理資料__3[[#This Row],[上班時間]]=0,"否","是")</f>
        <v>是</v>
      </c>
    </row>
    <row r="93" spans="1:15" hidden="1">
      <c r="A93" t="s">
        <v>75</v>
      </c>
      <c r="B93" t="s">
        <v>45</v>
      </c>
      <c r="C93">
        <v>5.58</v>
      </c>
      <c r="D93">
        <v>4.75</v>
      </c>
      <c r="E93" s="27">
        <v>117.54</v>
      </c>
      <c r="F93">
        <v>7.6</v>
      </c>
      <c r="G93">
        <v>0.3</v>
      </c>
      <c r="H93">
        <v>7.9</v>
      </c>
      <c r="I93">
        <v>96.2</v>
      </c>
      <c r="J93">
        <v>70.680000000000007</v>
      </c>
      <c r="K93" s="9">
        <v>45293</v>
      </c>
      <c r="L93">
        <f xml:space="preserve"> (交易處理資料__3[[#This Row],[售出工時]] * 60) / 5</f>
        <v>66.960000000000008</v>
      </c>
      <c r="M93" t="str">
        <f>VLOOKUP(交易處理資料__3[[#This Row],[人員代號]],團隊分組!$B$1:$C$52,2,FALSE)</f>
        <v>快速保養團隊A</v>
      </c>
      <c r="N93">
        <f>IF(交易處理資料__3[[#This Row],[上班時間]]=0,0,交易處理資料__3[[#This Row],[售出工時]]/交易處理資料__3[[#This Row],[上班時間]])</f>
        <v>0.70632911392405062</v>
      </c>
      <c r="O93" s="31" t="str">
        <f>IF(交易處理資料__3[[#This Row],[上班時間]]=0,"否","是")</f>
        <v>是</v>
      </c>
    </row>
    <row r="94" spans="1:15" hidden="1">
      <c r="A94" t="s">
        <v>75</v>
      </c>
      <c r="B94" t="s">
        <v>46</v>
      </c>
      <c r="C94">
        <v>0</v>
      </c>
      <c r="D94">
        <v>0</v>
      </c>
      <c r="E94" s="27">
        <v>0</v>
      </c>
      <c r="F94">
        <v>4.43</v>
      </c>
      <c r="G94">
        <v>4.55</v>
      </c>
      <c r="H94">
        <v>8.98</v>
      </c>
      <c r="I94">
        <v>49.33</v>
      </c>
      <c r="J94">
        <v>0</v>
      </c>
      <c r="K94" s="9">
        <v>45293</v>
      </c>
      <c r="L94">
        <f xml:space="preserve"> (交易處理資料__3[[#This Row],[售出工時]] * 60) / 5</f>
        <v>0</v>
      </c>
      <c r="M94" t="str">
        <f>VLOOKUP(交易處理資料__3[[#This Row],[人員代號]],團隊分組!$B$1:$C$52,2,FALSE)</f>
        <v>查修團隊B</v>
      </c>
      <c r="N94">
        <f>IF(交易處理資料__3[[#This Row],[上班時間]]=0,0,交易處理資料__3[[#This Row],[售出工時]]/交易處理資料__3[[#This Row],[上班時間]])</f>
        <v>0</v>
      </c>
      <c r="O94" s="31" t="str">
        <f>IF(交易處理資料__3[[#This Row],[上班時間]]=0,"否","是")</f>
        <v>是</v>
      </c>
    </row>
    <row r="95" spans="1:15" hidden="1">
      <c r="A95" t="s">
        <v>75</v>
      </c>
      <c r="B95" t="s">
        <v>47</v>
      </c>
      <c r="C95">
        <v>2</v>
      </c>
      <c r="D95">
        <v>2.67</v>
      </c>
      <c r="E95" s="27">
        <v>74.900000000000006</v>
      </c>
      <c r="F95">
        <v>3.36</v>
      </c>
      <c r="G95">
        <v>5.61</v>
      </c>
      <c r="H95">
        <v>8.9700000000000006</v>
      </c>
      <c r="I95">
        <v>37.46</v>
      </c>
      <c r="J95">
        <v>22.3</v>
      </c>
      <c r="K95" s="9">
        <v>45293</v>
      </c>
      <c r="L95">
        <f xml:space="preserve"> (交易處理資料__3[[#This Row],[售出工時]] * 60) / 5</f>
        <v>24</v>
      </c>
      <c r="M95" t="str">
        <f>VLOOKUP(交易處理資料__3[[#This Row],[人員代號]],團隊分組!$B$1:$C$52,2,FALSE)</f>
        <v>查修團隊B</v>
      </c>
      <c r="N95">
        <f>IF(交易處理資料__3[[#This Row],[上班時間]]=0,0,交易處理資料__3[[#This Row],[售出工時]]/交易處理資料__3[[#This Row],[上班時間]])</f>
        <v>0.22296544035674468</v>
      </c>
      <c r="O95" s="31" t="str">
        <f>IF(交易處理資料__3[[#This Row],[上班時間]]=0,"否","是")</f>
        <v>是</v>
      </c>
    </row>
    <row r="96" spans="1:15" hidden="1">
      <c r="A96" t="s">
        <v>75</v>
      </c>
      <c r="B96" t="s">
        <v>48</v>
      </c>
      <c r="C96">
        <v>0.19</v>
      </c>
      <c r="D96">
        <v>0.06</v>
      </c>
      <c r="E96" s="27">
        <v>316.66000000000003</v>
      </c>
      <c r="F96">
        <v>0.71</v>
      </c>
      <c r="G96">
        <v>7.23</v>
      </c>
      <c r="H96">
        <v>7.94</v>
      </c>
      <c r="I96">
        <v>8.94</v>
      </c>
      <c r="J96">
        <v>2.39</v>
      </c>
      <c r="K96" s="9">
        <v>45293</v>
      </c>
      <c r="L96">
        <f xml:space="preserve"> (交易處理資料__3[[#This Row],[售出工時]] * 60) / 5</f>
        <v>2.2800000000000002</v>
      </c>
      <c r="M96" t="str">
        <f>VLOOKUP(交易處理資料__3[[#This Row],[人員代號]],團隊分組!$B$1:$C$52,2,FALSE)</f>
        <v>查修團隊A</v>
      </c>
      <c r="N96">
        <f>IF(交易處理資料__3[[#This Row],[上班時間]]=0,0,交易處理資料__3[[#This Row],[售出工時]]/交易處理資料__3[[#This Row],[上班時間]])</f>
        <v>2.3929471032745592E-2</v>
      </c>
      <c r="O96" s="31" t="str">
        <f>IF(交易處理資料__3[[#This Row],[上班時間]]=0,"否","是")</f>
        <v>是</v>
      </c>
    </row>
    <row r="97" spans="1:15" hidden="1">
      <c r="A97" t="s">
        <v>75</v>
      </c>
      <c r="B97" t="s">
        <v>49</v>
      </c>
      <c r="C97">
        <v>2.5499999999999998</v>
      </c>
      <c r="D97">
        <v>2.64</v>
      </c>
      <c r="E97" s="27">
        <v>96.71</v>
      </c>
      <c r="F97">
        <v>7.49</v>
      </c>
      <c r="G97">
        <v>0.55000000000000004</v>
      </c>
      <c r="H97">
        <v>8.0399999999999991</v>
      </c>
      <c r="I97">
        <v>93.16</v>
      </c>
      <c r="J97">
        <v>31.76</v>
      </c>
      <c r="K97" s="9">
        <v>45293</v>
      </c>
      <c r="L97">
        <f xml:space="preserve"> (交易處理資料__3[[#This Row],[售出工時]] * 60) / 5</f>
        <v>30.6</v>
      </c>
      <c r="M97" t="str">
        <f>VLOOKUP(交易處理資料__3[[#This Row],[人員代號]],團隊分組!$B$1:$C$52,2,FALSE)</f>
        <v>查修團隊A</v>
      </c>
      <c r="N97">
        <f>IF(交易處理資料__3[[#This Row],[上班時間]]=0,0,交易處理資料__3[[#This Row],[售出工時]]/交易處理資料__3[[#This Row],[上班時間]])</f>
        <v>0.31716417910447764</v>
      </c>
      <c r="O97" s="31" t="str">
        <f>IF(交易處理資料__3[[#This Row],[上班時間]]=0,"否","是")</f>
        <v>是</v>
      </c>
    </row>
    <row r="98" spans="1:15" hidden="1">
      <c r="A98" t="s">
        <v>75</v>
      </c>
      <c r="B98" t="s">
        <v>50</v>
      </c>
      <c r="C98">
        <v>11.56</v>
      </c>
      <c r="D98">
        <v>5.3</v>
      </c>
      <c r="E98" s="27">
        <v>218.11</v>
      </c>
      <c r="F98">
        <v>7.38</v>
      </c>
      <c r="G98">
        <v>0.71</v>
      </c>
      <c r="H98">
        <v>8.09</v>
      </c>
      <c r="I98">
        <v>91.22</v>
      </c>
      <c r="J98">
        <v>142.88999999999999</v>
      </c>
      <c r="K98" s="9">
        <v>45293</v>
      </c>
      <c r="L98">
        <f xml:space="preserve"> (交易處理資料__3[[#This Row],[售出工時]] * 60) / 5</f>
        <v>138.72</v>
      </c>
      <c r="M98" t="str">
        <f>VLOOKUP(交易處理資料__3[[#This Row],[人員代號]],團隊分組!$B$1:$C$52,2,FALSE)</f>
        <v>快速保養團隊B</v>
      </c>
      <c r="N98">
        <f>IF(交易處理資料__3[[#This Row],[上班時間]]=0,0,交易處理資料__3[[#This Row],[售出工時]]/交易處理資料__3[[#This Row],[上班時間]])</f>
        <v>1.4289245982694685</v>
      </c>
      <c r="O98" s="31" t="str">
        <f>IF(交易處理資料__3[[#This Row],[上班時間]]=0,"否","是")</f>
        <v>是</v>
      </c>
    </row>
    <row r="99" spans="1:15" hidden="1">
      <c r="A99" t="s">
        <v>75</v>
      </c>
      <c r="B99" t="s">
        <v>51</v>
      </c>
      <c r="C99">
        <v>0</v>
      </c>
      <c r="D99">
        <v>0</v>
      </c>
      <c r="E99" s="27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9">
        <v>45293</v>
      </c>
      <c r="L99">
        <f xml:space="preserve"> (交易處理資料__3[[#This Row],[售出工時]] * 60) / 5</f>
        <v>0</v>
      </c>
      <c r="M99" t="str">
        <f>VLOOKUP(交易處理資料__3[[#This Row],[人員代號]],團隊分組!$B$1:$C$52,2,FALSE)</f>
        <v>無效數據</v>
      </c>
      <c r="N99">
        <f>IF(交易處理資料__3[[#This Row],[上班時間]]=0,0,交易處理資料__3[[#This Row],[售出工時]]/交易處理資料__3[[#This Row],[上班時間]])</f>
        <v>0</v>
      </c>
      <c r="O99" s="31" t="str">
        <f>IF(交易處理資料__3[[#This Row],[上班時間]]=0,"否","是")</f>
        <v>否</v>
      </c>
    </row>
    <row r="100" spans="1:15" hidden="1">
      <c r="A100" t="s">
        <v>75</v>
      </c>
      <c r="B100" t="s">
        <v>52</v>
      </c>
      <c r="C100">
        <v>0</v>
      </c>
      <c r="D100">
        <v>0</v>
      </c>
      <c r="E100" s="27">
        <v>0</v>
      </c>
      <c r="F100">
        <v>6.53</v>
      </c>
      <c r="G100">
        <v>2.4500000000000002</v>
      </c>
      <c r="H100">
        <v>8.98</v>
      </c>
      <c r="I100">
        <v>72.72</v>
      </c>
      <c r="J100">
        <v>0</v>
      </c>
      <c r="K100" s="9">
        <v>45293</v>
      </c>
      <c r="L100">
        <f xml:space="preserve"> (交易處理資料__3[[#This Row],[售出工時]] * 60) / 5</f>
        <v>0</v>
      </c>
      <c r="M100" t="str">
        <f>VLOOKUP(交易處理資料__3[[#This Row],[人員代號]],團隊分組!$B$1:$C$52,2,FALSE)</f>
        <v>查修團隊B</v>
      </c>
      <c r="N100">
        <f>IF(交易處理資料__3[[#This Row],[上班時間]]=0,0,交易處理資料__3[[#This Row],[售出工時]]/交易處理資料__3[[#This Row],[上班時間]])</f>
        <v>0</v>
      </c>
      <c r="O100" s="31" t="str">
        <f>IF(交易處理資料__3[[#This Row],[上班時間]]=0,"否","是")</f>
        <v>是</v>
      </c>
    </row>
    <row r="101" spans="1:15" hidden="1">
      <c r="A101" s="10" t="s">
        <v>73</v>
      </c>
      <c r="B101" t="s">
        <v>1</v>
      </c>
      <c r="C101">
        <v>3.35</v>
      </c>
      <c r="D101">
        <v>6.84</v>
      </c>
      <c r="E101" s="27">
        <v>48.97</v>
      </c>
      <c r="F101">
        <v>7.6</v>
      </c>
      <c r="G101">
        <v>0.43</v>
      </c>
      <c r="H101">
        <v>8.0299999999999994</v>
      </c>
      <c r="I101">
        <v>94.65</v>
      </c>
      <c r="J101">
        <v>41.72</v>
      </c>
      <c r="K101" s="9">
        <v>45294</v>
      </c>
      <c r="L101">
        <f xml:space="preserve"> (交易處理資料__3[[#This Row],[售出工時]] * 60) / 5</f>
        <v>40.200000000000003</v>
      </c>
      <c r="M101" t="str">
        <f>VLOOKUP(交易處理資料__3[[#This Row],[人員代號]],團隊分組!$B$1:$C$52,2,FALSE)</f>
        <v>噴漆維修組</v>
      </c>
      <c r="N101">
        <f>IF(交易處理資料__3[[#This Row],[上班時間]]=0,0,交易處理資料__3[[#This Row],[售出工時]]/交易處理資料__3[[#This Row],[上班時間]])</f>
        <v>0.4171855541718556</v>
      </c>
      <c r="O101" s="31" t="str">
        <f>IF(交易處理資料__3[[#This Row],[上班時間]]=0,"否","是")</f>
        <v>是</v>
      </c>
    </row>
    <row r="102" spans="1:15" hidden="1">
      <c r="A102" s="10" t="s">
        <v>73</v>
      </c>
      <c r="B102" t="s">
        <v>4</v>
      </c>
      <c r="C102">
        <v>2.08</v>
      </c>
      <c r="D102">
        <v>3.75</v>
      </c>
      <c r="E102" s="27">
        <v>55.46</v>
      </c>
      <c r="F102">
        <v>7.6</v>
      </c>
      <c r="G102">
        <v>0.43</v>
      </c>
      <c r="H102">
        <v>8.0299999999999994</v>
      </c>
      <c r="I102">
        <v>94.65</v>
      </c>
      <c r="J102">
        <v>25.9</v>
      </c>
      <c r="K102" s="9">
        <v>45294</v>
      </c>
      <c r="L102">
        <f xml:space="preserve"> (交易處理資料__3[[#This Row],[售出工時]] * 60) / 5</f>
        <v>24.96</v>
      </c>
      <c r="M102" t="str">
        <f>VLOOKUP(交易處理資料__3[[#This Row],[人員代號]],團隊分組!$B$1:$C$52,2,FALSE)</f>
        <v>噴漆維修組</v>
      </c>
      <c r="N102">
        <f>IF(交易處理資料__3[[#This Row],[上班時間]]=0,0,交易處理資料__3[[#This Row],[售出工時]]/交易處理資料__3[[#This Row],[上班時間]])</f>
        <v>0.25902864259028646</v>
      </c>
      <c r="O102" s="31" t="str">
        <f>IF(交易處理資料__3[[#This Row],[上班時間]]=0,"否","是")</f>
        <v>是</v>
      </c>
    </row>
    <row r="103" spans="1:15" hidden="1">
      <c r="A103" s="10" t="s">
        <v>73</v>
      </c>
      <c r="B103" t="s">
        <v>8</v>
      </c>
      <c r="C103">
        <v>0</v>
      </c>
      <c r="D103">
        <v>0</v>
      </c>
      <c r="E103" s="27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9">
        <v>45294</v>
      </c>
      <c r="L103">
        <f xml:space="preserve"> (交易處理資料__3[[#This Row],[售出工時]] * 60) / 5</f>
        <v>0</v>
      </c>
      <c r="M103" t="str">
        <f>VLOOKUP(交易處理資料__3[[#This Row],[人員代號]],團隊分組!$B$1:$C$52,2,FALSE)</f>
        <v>噴漆維修組</v>
      </c>
      <c r="N103">
        <f>IF(交易處理資料__3[[#This Row],[上班時間]]=0,0,交易處理資料__3[[#This Row],[售出工時]]/交易處理資料__3[[#This Row],[上班時間]])</f>
        <v>0</v>
      </c>
      <c r="O103" s="31" t="str">
        <f>IF(交易處理資料__3[[#This Row],[上班時間]]=0,"否","是")</f>
        <v>否</v>
      </c>
    </row>
    <row r="104" spans="1:15" hidden="1">
      <c r="A104" s="10" t="s">
        <v>73</v>
      </c>
      <c r="B104" t="s">
        <v>9</v>
      </c>
      <c r="C104">
        <v>3.08</v>
      </c>
      <c r="D104">
        <v>4.3499999999999996</v>
      </c>
      <c r="E104" s="27">
        <v>70.88</v>
      </c>
      <c r="F104">
        <v>6.67</v>
      </c>
      <c r="G104">
        <v>1.37</v>
      </c>
      <c r="H104">
        <v>8.0399999999999991</v>
      </c>
      <c r="I104">
        <v>82.96</v>
      </c>
      <c r="J104">
        <v>38.35</v>
      </c>
      <c r="K104" s="9">
        <v>45294</v>
      </c>
      <c r="L104">
        <f xml:space="preserve"> (交易處理資料__3[[#This Row],[售出工時]] * 60) / 5</f>
        <v>36.96</v>
      </c>
      <c r="M104" t="str">
        <f>VLOOKUP(交易處理資料__3[[#This Row],[人員代號]],團隊分組!$B$1:$C$52,2,FALSE)</f>
        <v>噴漆維修組</v>
      </c>
      <c r="N104">
        <f>IF(交易處理資料__3[[#This Row],[上班時間]]=0,0,交易處理資料__3[[#This Row],[售出工時]]/交易處理資料__3[[#This Row],[上班時間]])</f>
        <v>0.38308457711442789</v>
      </c>
      <c r="O104" s="31" t="str">
        <f>IF(交易處理資料__3[[#This Row],[上班時間]]=0,"否","是")</f>
        <v>是</v>
      </c>
    </row>
    <row r="105" spans="1:15" hidden="1">
      <c r="A105" t="s">
        <v>74</v>
      </c>
      <c r="B105" t="s">
        <v>11</v>
      </c>
      <c r="C105">
        <v>0</v>
      </c>
      <c r="D105">
        <v>0</v>
      </c>
      <c r="E105" s="27">
        <v>0</v>
      </c>
      <c r="F105">
        <v>5.93</v>
      </c>
      <c r="G105">
        <v>2.13</v>
      </c>
      <c r="H105">
        <v>8.06</v>
      </c>
      <c r="I105">
        <v>73.569999999999993</v>
      </c>
      <c r="J105">
        <v>0</v>
      </c>
      <c r="K105" s="9">
        <v>45294</v>
      </c>
      <c r="L105">
        <f xml:space="preserve"> (交易處理資料__3[[#This Row],[售出工時]] * 60) / 5</f>
        <v>0</v>
      </c>
      <c r="M105" t="str">
        <f>VLOOKUP(交易處理資料__3[[#This Row],[人員代號]],團隊分組!$B$1:$C$52,2,FALSE)</f>
        <v>鈑金維修組</v>
      </c>
      <c r="N105">
        <f>IF(交易處理資料__3[[#This Row],[上班時間]]=0,0,交易處理資料__3[[#This Row],[售出工時]]/交易處理資料__3[[#This Row],[上班時間]])</f>
        <v>0</v>
      </c>
      <c r="O105" s="31" t="str">
        <f>IF(交易處理資料__3[[#This Row],[上班時間]]=0,"否","是")</f>
        <v>是</v>
      </c>
    </row>
    <row r="106" spans="1:15" hidden="1">
      <c r="A106" t="s">
        <v>74</v>
      </c>
      <c r="B106" t="s">
        <v>13</v>
      </c>
      <c r="C106">
        <v>8.64</v>
      </c>
      <c r="D106">
        <v>4.96</v>
      </c>
      <c r="E106" s="27">
        <v>174.19</v>
      </c>
      <c r="F106">
        <v>4.32</v>
      </c>
      <c r="G106">
        <v>3.76</v>
      </c>
      <c r="H106">
        <v>8.08</v>
      </c>
      <c r="I106">
        <v>53.47</v>
      </c>
      <c r="J106">
        <v>106.93</v>
      </c>
      <c r="K106" s="9">
        <v>45294</v>
      </c>
      <c r="L106">
        <f xml:space="preserve"> (交易處理資料__3[[#This Row],[售出工時]] * 60) / 5</f>
        <v>103.68000000000002</v>
      </c>
      <c r="M106" t="str">
        <f>VLOOKUP(交易處理資料__3[[#This Row],[人員代號]],團隊分組!$B$1:$C$52,2,FALSE)</f>
        <v>鈑金維修組</v>
      </c>
      <c r="N106">
        <f>IF(交易處理資料__3[[#This Row],[上班時間]]=0,0,交易處理資料__3[[#This Row],[售出工時]]/交易處理資料__3[[#This Row],[上班時間]])</f>
        <v>1.0693069306930694</v>
      </c>
      <c r="O106" s="31" t="str">
        <f>IF(交易處理資料__3[[#This Row],[上班時間]]=0,"否","是")</f>
        <v>是</v>
      </c>
    </row>
    <row r="107" spans="1:15" hidden="1">
      <c r="A107" t="s">
        <v>74</v>
      </c>
      <c r="B107" t="s">
        <v>15</v>
      </c>
      <c r="C107">
        <v>6.18</v>
      </c>
      <c r="D107">
        <v>7.77</v>
      </c>
      <c r="E107" s="27">
        <v>79.53</v>
      </c>
      <c r="F107">
        <v>3.96</v>
      </c>
      <c r="G107">
        <v>4.13</v>
      </c>
      <c r="H107">
        <v>8.09</v>
      </c>
      <c r="I107">
        <v>48.95</v>
      </c>
      <c r="J107">
        <v>76.39</v>
      </c>
      <c r="K107" s="9">
        <v>45294</v>
      </c>
      <c r="L107">
        <f xml:space="preserve"> (交易處理資料__3[[#This Row],[售出工時]] * 60) / 5</f>
        <v>74.16</v>
      </c>
      <c r="M107" t="str">
        <f>VLOOKUP(交易處理資料__3[[#This Row],[人員代號]],團隊分組!$B$1:$C$52,2,FALSE)</f>
        <v>鈑金維修組</v>
      </c>
      <c r="N107">
        <f>IF(交易處理資料__3[[#This Row],[上班時間]]=0,0,交易處理資料__3[[#This Row],[售出工時]]/交易處理資料__3[[#This Row],[上班時間]])</f>
        <v>0.76390605686032131</v>
      </c>
      <c r="O107" s="31" t="str">
        <f>IF(交易處理資料__3[[#This Row],[上班時間]]=0,"否","是")</f>
        <v>是</v>
      </c>
    </row>
    <row r="108" spans="1:15" hidden="1">
      <c r="A108" t="s">
        <v>75</v>
      </c>
      <c r="B108" t="s">
        <v>17</v>
      </c>
      <c r="C108">
        <v>12.91</v>
      </c>
      <c r="D108">
        <v>8.24</v>
      </c>
      <c r="E108" s="27">
        <v>156.75</v>
      </c>
      <c r="F108">
        <v>9.77</v>
      </c>
      <c r="G108">
        <v>1.37</v>
      </c>
      <c r="H108">
        <v>11.14</v>
      </c>
      <c r="I108">
        <v>87.7</v>
      </c>
      <c r="J108">
        <v>115.95</v>
      </c>
      <c r="K108" s="9">
        <v>45294</v>
      </c>
      <c r="L108">
        <f xml:space="preserve"> (交易處理資料__3[[#This Row],[售出工時]] * 60) / 5</f>
        <v>154.92000000000002</v>
      </c>
      <c r="M108" t="str">
        <f>VLOOKUP(交易處理資料__3[[#This Row],[人員代號]],團隊分組!$B$1:$C$52,2,FALSE)</f>
        <v>快速保養團隊A</v>
      </c>
      <c r="N108">
        <f>IF(交易處理資料__3[[#This Row],[上班時間]]=0,0,交易處理資料__3[[#This Row],[售出工時]]/交易處理資料__3[[#This Row],[上班時間]])</f>
        <v>1.1588868940754038</v>
      </c>
      <c r="O108" s="31" t="str">
        <f>IF(交易處理資料__3[[#This Row],[上班時間]]=0,"否","是")</f>
        <v>是</v>
      </c>
    </row>
    <row r="109" spans="1:15" hidden="1">
      <c r="A109" t="s">
        <v>75</v>
      </c>
      <c r="B109" t="s">
        <v>20</v>
      </c>
      <c r="C109">
        <v>0.21</v>
      </c>
      <c r="D109">
        <v>1.42</v>
      </c>
      <c r="E109" s="27">
        <v>14.78</v>
      </c>
      <c r="F109">
        <v>5.58</v>
      </c>
      <c r="G109">
        <v>4.08</v>
      </c>
      <c r="H109">
        <v>9.66</v>
      </c>
      <c r="I109">
        <v>57.76</v>
      </c>
      <c r="J109">
        <v>2.17</v>
      </c>
      <c r="K109" s="9">
        <v>45294</v>
      </c>
      <c r="L109">
        <f xml:space="preserve"> (交易處理資料__3[[#This Row],[售出工時]] * 60) / 5</f>
        <v>2.52</v>
      </c>
      <c r="M109" t="str">
        <f>VLOOKUP(交易處理資料__3[[#This Row],[人員代號]],團隊分組!$B$1:$C$52,2,FALSE)</f>
        <v>查修團隊B</v>
      </c>
      <c r="N109">
        <f>IF(交易處理資料__3[[#This Row],[上班時間]]=0,0,交易處理資料__3[[#This Row],[售出工時]]/交易處理資料__3[[#This Row],[上班時間]])</f>
        <v>2.1739130434782608E-2</v>
      </c>
      <c r="O109" s="31" t="str">
        <f>IF(交易處理資料__3[[#This Row],[上班時間]]=0,"否","是")</f>
        <v>是</v>
      </c>
    </row>
    <row r="110" spans="1:15" hidden="1">
      <c r="A110" t="s">
        <v>75</v>
      </c>
      <c r="B110" t="s">
        <v>22</v>
      </c>
      <c r="C110">
        <v>0</v>
      </c>
      <c r="D110">
        <v>0</v>
      </c>
      <c r="E110" s="27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9">
        <v>45294</v>
      </c>
      <c r="L110">
        <f xml:space="preserve"> (交易處理資料__3[[#This Row],[售出工時]] * 60) / 5</f>
        <v>0</v>
      </c>
      <c r="M110" t="str">
        <f>VLOOKUP(交易處理資料__3[[#This Row],[人員代號]],團隊分組!$B$1:$C$52,2,FALSE)</f>
        <v>快速保養團隊A</v>
      </c>
      <c r="N110">
        <f>IF(交易處理資料__3[[#This Row],[上班時間]]=0,0,交易處理資料__3[[#This Row],[售出工時]]/交易處理資料__3[[#This Row],[上班時間]])</f>
        <v>0</v>
      </c>
      <c r="O110" s="31" t="str">
        <f>IF(交易處理資料__3[[#This Row],[上班時間]]=0,"否","是")</f>
        <v>否</v>
      </c>
    </row>
    <row r="111" spans="1:15" hidden="1">
      <c r="A111" t="s">
        <v>75</v>
      </c>
      <c r="B111" t="s">
        <v>23</v>
      </c>
      <c r="C111">
        <v>8.8699999999999992</v>
      </c>
      <c r="D111">
        <v>9.6</v>
      </c>
      <c r="E111" s="27">
        <v>92.43</v>
      </c>
      <c r="F111">
        <v>11.27</v>
      </c>
      <c r="G111">
        <v>1.25</v>
      </c>
      <c r="H111">
        <v>12.52</v>
      </c>
      <c r="I111">
        <v>90.02</v>
      </c>
      <c r="J111">
        <v>70.87</v>
      </c>
      <c r="K111" s="9">
        <v>45294</v>
      </c>
      <c r="L111">
        <f xml:space="preserve"> (交易處理資料__3[[#This Row],[售出工時]] * 60) / 5</f>
        <v>106.43999999999998</v>
      </c>
      <c r="M111" t="str">
        <f>VLOOKUP(交易處理資料__3[[#This Row],[人員代號]],團隊分組!$B$1:$C$52,2,FALSE)</f>
        <v>快速保養團隊B</v>
      </c>
      <c r="N111">
        <f>IF(交易處理資料__3[[#This Row],[上班時間]]=0,0,交易處理資料__3[[#This Row],[售出工時]]/交易處理資料__3[[#This Row],[上班時間]])</f>
        <v>0.70846645367412142</v>
      </c>
      <c r="O111" s="31" t="str">
        <f>IF(交易處理資料__3[[#This Row],[上班時間]]=0,"否","是")</f>
        <v>是</v>
      </c>
    </row>
    <row r="112" spans="1:15" hidden="1">
      <c r="A112" t="s">
        <v>75</v>
      </c>
      <c r="B112" t="s">
        <v>24</v>
      </c>
      <c r="C112">
        <v>13.75</v>
      </c>
      <c r="D112">
        <v>6.06</v>
      </c>
      <c r="E112" s="27">
        <v>226.89</v>
      </c>
      <c r="F112">
        <v>10.75</v>
      </c>
      <c r="G112">
        <v>1.31</v>
      </c>
      <c r="H112">
        <v>12.06</v>
      </c>
      <c r="I112">
        <v>89.14</v>
      </c>
      <c r="J112">
        <v>114.01</v>
      </c>
      <c r="K112" s="9">
        <v>45294</v>
      </c>
      <c r="L112">
        <f xml:space="preserve"> (交易處理資料__3[[#This Row],[售出工時]] * 60) / 5</f>
        <v>165</v>
      </c>
      <c r="M112" t="str">
        <f>VLOOKUP(交易處理資料__3[[#This Row],[人員代號]],團隊分組!$B$1:$C$52,2,FALSE)</f>
        <v>快速保養團隊A</v>
      </c>
      <c r="N112">
        <f>IF(交易處理資料__3[[#This Row],[上班時間]]=0,0,交易處理資料__3[[#This Row],[售出工時]]/交易處理資料__3[[#This Row],[上班時間]])</f>
        <v>1.1401326699834162</v>
      </c>
      <c r="O112" s="31" t="str">
        <f>IF(交易處理資料__3[[#This Row],[上班時間]]=0,"否","是")</f>
        <v>是</v>
      </c>
    </row>
    <row r="113" spans="1:15" hidden="1">
      <c r="A113" t="s">
        <v>75</v>
      </c>
      <c r="B113" t="s">
        <v>26</v>
      </c>
      <c r="C113">
        <v>0</v>
      </c>
      <c r="D113">
        <v>0</v>
      </c>
      <c r="E113" s="27">
        <v>0</v>
      </c>
      <c r="F113">
        <v>9.3699999999999992</v>
      </c>
      <c r="G113">
        <v>0.74</v>
      </c>
      <c r="H113">
        <v>10.11</v>
      </c>
      <c r="I113">
        <v>92.68</v>
      </c>
      <c r="J113">
        <v>0</v>
      </c>
      <c r="K113" s="9">
        <v>45294</v>
      </c>
      <c r="L113">
        <f xml:space="preserve"> (交易處理資料__3[[#This Row],[售出工時]] * 60) / 5</f>
        <v>0</v>
      </c>
      <c r="M113" t="str">
        <f>VLOOKUP(交易處理資料__3[[#This Row],[人員代號]],團隊分組!$B$1:$C$52,2,FALSE)</f>
        <v>查修團隊B</v>
      </c>
      <c r="N113">
        <f>IF(交易處理資料__3[[#This Row],[上班時間]]=0,0,交易處理資料__3[[#This Row],[售出工時]]/交易處理資料__3[[#This Row],[上班時間]])</f>
        <v>0</v>
      </c>
      <c r="O113" s="31" t="str">
        <f>IF(交易處理資料__3[[#This Row],[上班時間]]=0,"否","是")</f>
        <v>是</v>
      </c>
    </row>
    <row r="114" spans="1:15" hidden="1">
      <c r="A114" t="s">
        <v>75</v>
      </c>
      <c r="B114" t="s">
        <v>27</v>
      </c>
      <c r="C114">
        <v>2.9</v>
      </c>
      <c r="D114">
        <v>4.2300000000000004</v>
      </c>
      <c r="E114" s="27">
        <v>68.63</v>
      </c>
      <c r="F114">
        <v>9.57</v>
      </c>
      <c r="G114">
        <v>0.47</v>
      </c>
      <c r="H114">
        <v>10.039999999999999</v>
      </c>
      <c r="I114">
        <v>95.32</v>
      </c>
      <c r="J114">
        <v>28.92</v>
      </c>
      <c r="K114" s="9">
        <v>45294</v>
      </c>
      <c r="L114">
        <f xml:space="preserve"> (交易處理資料__3[[#This Row],[售出工時]] * 60) / 5</f>
        <v>34.799999999999997</v>
      </c>
      <c r="M114" t="str">
        <f>VLOOKUP(交易處理資料__3[[#This Row],[人員代號]],團隊分組!$B$1:$C$52,2,FALSE)</f>
        <v>快速保養團隊B</v>
      </c>
      <c r="N114">
        <f>IF(交易處理資料__3[[#This Row],[上班時間]]=0,0,交易處理資料__3[[#This Row],[售出工時]]/交易處理資料__3[[#This Row],[上班時間]])</f>
        <v>0.28884462151394424</v>
      </c>
      <c r="O114" s="31" t="str">
        <f>IF(交易處理資料__3[[#This Row],[上班時間]]=0,"否","是")</f>
        <v>是</v>
      </c>
    </row>
    <row r="115" spans="1:15" hidden="1">
      <c r="A115" t="s">
        <v>75</v>
      </c>
      <c r="B115" t="s">
        <v>28</v>
      </c>
      <c r="C115">
        <v>6.91</v>
      </c>
      <c r="D115">
        <v>5</v>
      </c>
      <c r="E115" s="27">
        <v>138.33000000000001</v>
      </c>
      <c r="F115">
        <v>8.81</v>
      </c>
      <c r="G115">
        <v>1.62</v>
      </c>
      <c r="H115">
        <v>10.43</v>
      </c>
      <c r="I115">
        <v>84.47</v>
      </c>
      <c r="J115">
        <v>66.319999999999993</v>
      </c>
      <c r="K115" s="9">
        <v>45294</v>
      </c>
      <c r="L115">
        <f xml:space="preserve"> (交易處理資料__3[[#This Row],[售出工時]] * 60) / 5</f>
        <v>82.92</v>
      </c>
      <c r="M115" t="str">
        <f>VLOOKUP(交易處理資料__3[[#This Row],[人員代號]],團隊分組!$B$1:$C$52,2,FALSE)</f>
        <v>快速保養團隊A</v>
      </c>
      <c r="N115">
        <f>IF(交易處理資料__3[[#This Row],[上班時間]]=0,0,交易處理資料__3[[#This Row],[售出工時]]/交易處理資料__3[[#This Row],[上班時間]])</f>
        <v>0.66251198465963568</v>
      </c>
      <c r="O115" s="31" t="str">
        <f>IF(交易處理資料__3[[#This Row],[上班時間]]=0,"否","是")</f>
        <v>是</v>
      </c>
    </row>
    <row r="116" spans="1:15" hidden="1">
      <c r="A116" t="s">
        <v>75</v>
      </c>
      <c r="B116" t="s">
        <v>29</v>
      </c>
      <c r="C116">
        <v>2</v>
      </c>
      <c r="D116">
        <v>2.4</v>
      </c>
      <c r="E116" s="27">
        <v>83.33</v>
      </c>
      <c r="F116">
        <v>6.21</v>
      </c>
      <c r="G116">
        <v>1.89</v>
      </c>
      <c r="H116">
        <v>8.1</v>
      </c>
      <c r="I116">
        <v>76.67</v>
      </c>
      <c r="J116">
        <v>24.69</v>
      </c>
      <c r="K116" s="9">
        <v>45294</v>
      </c>
      <c r="L116">
        <f xml:space="preserve"> (交易處理資料__3[[#This Row],[售出工時]] * 60) / 5</f>
        <v>24</v>
      </c>
      <c r="M116" t="str">
        <f>VLOOKUP(交易處理資料__3[[#This Row],[人員代號]],團隊分組!$B$1:$C$52,2,FALSE)</f>
        <v>查修團隊B</v>
      </c>
      <c r="N116">
        <f>IF(交易處理資料__3[[#This Row],[上班時間]]=0,0,交易處理資料__3[[#This Row],[售出工時]]/交易處理資料__3[[#This Row],[上班時間]])</f>
        <v>0.24691358024691359</v>
      </c>
      <c r="O116" s="31" t="str">
        <f>IF(交易處理資料__3[[#This Row],[上班時間]]=0,"否","是")</f>
        <v>是</v>
      </c>
    </row>
    <row r="117" spans="1:15" hidden="1">
      <c r="A117" t="s">
        <v>75</v>
      </c>
      <c r="B117" t="s">
        <v>30</v>
      </c>
      <c r="C117">
        <v>6.73</v>
      </c>
      <c r="D117">
        <v>6.23</v>
      </c>
      <c r="E117" s="27">
        <v>108.02</v>
      </c>
      <c r="F117">
        <v>9.59</v>
      </c>
      <c r="G117">
        <v>0.5</v>
      </c>
      <c r="H117">
        <v>10.09</v>
      </c>
      <c r="I117">
        <v>95.04</v>
      </c>
      <c r="J117">
        <v>66.7</v>
      </c>
      <c r="K117" s="9">
        <v>45294</v>
      </c>
      <c r="L117">
        <f xml:space="preserve"> (交易處理資料__3[[#This Row],[售出工時]] * 60) / 5</f>
        <v>80.760000000000005</v>
      </c>
      <c r="M117" t="str">
        <f>VLOOKUP(交易處理資料__3[[#This Row],[人員代號]],團隊分組!$B$1:$C$52,2,FALSE)</f>
        <v>快速保養團隊B</v>
      </c>
      <c r="N117">
        <f>IF(交易處理資料__3[[#This Row],[上班時間]]=0,0,交易處理資料__3[[#This Row],[售出工時]]/交易處理資料__3[[#This Row],[上班時間]])</f>
        <v>0.6669970267591675</v>
      </c>
      <c r="O117" s="31" t="str">
        <f>IF(交易處理資料__3[[#This Row],[上班時間]]=0,"否","是")</f>
        <v>是</v>
      </c>
    </row>
    <row r="118" spans="1:15" hidden="1">
      <c r="A118" t="s">
        <v>75</v>
      </c>
      <c r="B118" t="s">
        <v>31</v>
      </c>
      <c r="C118">
        <v>0</v>
      </c>
      <c r="D118">
        <v>0</v>
      </c>
      <c r="E118" s="27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s="9">
        <v>45294</v>
      </c>
      <c r="L118">
        <f xml:space="preserve"> (交易處理資料__3[[#This Row],[售出工時]] * 60) / 5</f>
        <v>0</v>
      </c>
      <c r="M118" t="str">
        <f>VLOOKUP(交易處理資料__3[[#This Row],[人員代號]],團隊分組!$B$1:$C$52,2,FALSE)</f>
        <v>快速保養團隊A</v>
      </c>
      <c r="N118">
        <f>IF(交易處理資料__3[[#This Row],[上班時間]]=0,0,交易處理資料__3[[#This Row],[售出工時]]/交易處理資料__3[[#This Row],[上班時間]])</f>
        <v>0</v>
      </c>
      <c r="O118" s="31" t="str">
        <f>IF(交易處理資料__3[[#This Row],[上班時間]]=0,"否","是")</f>
        <v>否</v>
      </c>
    </row>
    <row r="119" spans="1:15" hidden="1">
      <c r="A119" t="s">
        <v>75</v>
      </c>
      <c r="B119" t="s">
        <v>32</v>
      </c>
      <c r="C119">
        <v>6.18</v>
      </c>
      <c r="D119">
        <v>5.61</v>
      </c>
      <c r="E119" s="27">
        <v>110.27</v>
      </c>
      <c r="F119">
        <v>12.76</v>
      </c>
      <c r="G119">
        <v>0.78</v>
      </c>
      <c r="H119">
        <v>13.54</v>
      </c>
      <c r="I119">
        <v>94.24</v>
      </c>
      <c r="J119">
        <v>45.69</v>
      </c>
      <c r="K119" s="9">
        <v>45294</v>
      </c>
      <c r="L119">
        <f xml:space="preserve"> (交易處理資料__3[[#This Row],[售出工時]] * 60) / 5</f>
        <v>74.16</v>
      </c>
      <c r="M119" t="str">
        <f>VLOOKUP(交易處理資料__3[[#This Row],[人員代號]],團隊分組!$B$1:$C$52,2,FALSE)</f>
        <v>快速保養團隊B</v>
      </c>
      <c r="N119">
        <f>IF(交易處理資料__3[[#This Row],[上班時間]]=0,0,交易處理資料__3[[#This Row],[售出工時]]/交易處理資料__3[[#This Row],[上班時間]])</f>
        <v>0.45642540620384048</v>
      </c>
      <c r="O119" s="31" t="str">
        <f>IF(交易處理資料__3[[#This Row],[上班時間]]=0,"否","是")</f>
        <v>是</v>
      </c>
    </row>
    <row r="120" spans="1:15">
      <c r="A120" t="s">
        <v>75</v>
      </c>
      <c r="B120" t="s">
        <v>33</v>
      </c>
      <c r="C120">
        <v>0</v>
      </c>
      <c r="D120">
        <v>0</v>
      </c>
      <c r="E120" s="27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s="9">
        <v>45294</v>
      </c>
      <c r="L120">
        <f xml:space="preserve"> (交易處理資料__3[[#This Row],[售出工時]] * 60) / 5</f>
        <v>0</v>
      </c>
      <c r="M120" t="str">
        <f>VLOOKUP(交易處理資料__3[[#This Row],[人員代號]],團隊分組!$B$1:$C$52,2,FALSE)</f>
        <v>快速保養團隊B</v>
      </c>
      <c r="N120">
        <f>IF(交易處理資料__3[[#This Row],[上班時間]]=0,0,交易處理資料__3[[#This Row],[售出工時]]/交易處理資料__3[[#This Row],[上班時間]])</f>
        <v>0</v>
      </c>
      <c r="O120" s="31" t="str">
        <f>IF(交易處理資料__3[[#This Row],[上班時間]]=0,"否","是")</f>
        <v>否</v>
      </c>
    </row>
    <row r="121" spans="1:15" hidden="1">
      <c r="A121" t="s">
        <v>75</v>
      </c>
      <c r="B121" t="s">
        <v>34</v>
      </c>
      <c r="C121">
        <v>1.83</v>
      </c>
      <c r="D121">
        <v>2.67</v>
      </c>
      <c r="E121" s="27">
        <v>68.66</v>
      </c>
      <c r="F121">
        <v>9.67</v>
      </c>
      <c r="G121">
        <v>1.31</v>
      </c>
      <c r="H121">
        <v>10.98</v>
      </c>
      <c r="I121">
        <v>88.07</v>
      </c>
      <c r="J121">
        <v>16.7</v>
      </c>
      <c r="K121" s="9">
        <v>45294</v>
      </c>
      <c r="L121">
        <f xml:space="preserve"> (交易處理資料__3[[#This Row],[售出工時]] * 60) / 5</f>
        <v>21.96</v>
      </c>
      <c r="M121" t="str">
        <f>VLOOKUP(交易處理資料__3[[#This Row],[人員代號]],團隊分組!$B$1:$C$52,2,FALSE)</f>
        <v>快速保養團隊A</v>
      </c>
      <c r="N121">
        <f>IF(交易處理資料__3[[#This Row],[上班時間]]=0,0,交易處理資料__3[[#This Row],[售出工時]]/交易處理資料__3[[#This Row],[上班時間]])</f>
        <v>0.16666666666666666</v>
      </c>
      <c r="O121" s="31" t="str">
        <f>IF(交易處理資料__3[[#This Row],[上班時間]]=0,"否","是")</f>
        <v>是</v>
      </c>
    </row>
    <row r="122" spans="1:15" hidden="1">
      <c r="A122" t="s">
        <v>75</v>
      </c>
      <c r="B122" t="s">
        <v>35</v>
      </c>
      <c r="C122">
        <v>0.5</v>
      </c>
      <c r="D122">
        <v>0.76</v>
      </c>
      <c r="E122" s="27">
        <v>65.78</v>
      </c>
      <c r="F122">
        <v>7.74</v>
      </c>
      <c r="G122">
        <v>2.0299999999999998</v>
      </c>
      <c r="H122">
        <v>9.77</v>
      </c>
      <c r="I122">
        <v>79.22</v>
      </c>
      <c r="J122">
        <v>5.12</v>
      </c>
      <c r="K122" s="9">
        <v>45294</v>
      </c>
      <c r="L122">
        <f xml:space="preserve"> (交易處理資料__3[[#This Row],[售出工時]] * 60) / 5</f>
        <v>6</v>
      </c>
      <c r="M122" t="str">
        <f>VLOOKUP(交易處理資料__3[[#This Row],[人員代號]],團隊分組!$B$1:$C$52,2,FALSE)</f>
        <v>查修團隊B</v>
      </c>
      <c r="N122">
        <f>IF(交易處理資料__3[[#This Row],[上班時間]]=0,0,交易處理資料__3[[#This Row],[售出工時]]/交易處理資料__3[[#This Row],[上班時間]])</f>
        <v>5.1177072671443197E-2</v>
      </c>
      <c r="O122" s="31" t="str">
        <f>IF(交易處理資料__3[[#This Row],[上班時間]]=0,"否","是")</f>
        <v>是</v>
      </c>
    </row>
    <row r="123" spans="1:15" hidden="1">
      <c r="A123" t="s">
        <v>75</v>
      </c>
      <c r="B123" t="s">
        <v>36</v>
      </c>
      <c r="C123">
        <v>2.72</v>
      </c>
      <c r="D123">
        <v>5.81</v>
      </c>
      <c r="E123" s="27">
        <v>46.81</v>
      </c>
      <c r="F123">
        <v>8.5399999999999991</v>
      </c>
      <c r="G123">
        <v>1.56</v>
      </c>
      <c r="H123">
        <v>10.1</v>
      </c>
      <c r="I123">
        <v>84.55</v>
      </c>
      <c r="J123">
        <v>26.93</v>
      </c>
      <c r="K123" s="9">
        <v>45294</v>
      </c>
      <c r="L123">
        <f xml:space="preserve"> (交易處理資料__3[[#This Row],[售出工時]] * 60) / 5</f>
        <v>32.64</v>
      </c>
      <c r="M123" t="str">
        <f>VLOOKUP(交易處理資料__3[[#This Row],[人員代號]],團隊分組!$B$1:$C$52,2,FALSE)</f>
        <v>查修團隊B</v>
      </c>
      <c r="N123">
        <f>IF(交易處理資料__3[[#This Row],[上班時間]]=0,0,交易處理資料__3[[#This Row],[售出工時]]/交易處理資料__3[[#This Row],[上班時間]])</f>
        <v>0.26930693069306932</v>
      </c>
      <c r="O123" s="31" t="str">
        <f>IF(交易處理資料__3[[#This Row],[上班時間]]=0,"否","是")</f>
        <v>是</v>
      </c>
    </row>
    <row r="124" spans="1:15" hidden="1">
      <c r="A124" t="s">
        <v>75</v>
      </c>
      <c r="B124" t="s">
        <v>37</v>
      </c>
      <c r="C124">
        <v>2.58</v>
      </c>
      <c r="D124">
        <v>2.4500000000000002</v>
      </c>
      <c r="E124" s="27">
        <v>105.44</v>
      </c>
      <c r="F124">
        <v>10.130000000000001</v>
      </c>
      <c r="G124">
        <v>1.08</v>
      </c>
      <c r="H124">
        <v>11.21</v>
      </c>
      <c r="I124">
        <v>90.37</v>
      </c>
      <c r="J124">
        <v>23.04</v>
      </c>
      <c r="K124" s="9">
        <v>45294</v>
      </c>
      <c r="L124">
        <f xml:space="preserve"> (交易處理資料__3[[#This Row],[售出工時]] * 60) / 5</f>
        <v>30.96</v>
      </c>
      <c r="M124" t="str">
        <f>VLOOKUP(交易處理資料__3[[#This Row],[人員代號]],團隊分組!$B$1:$C$52,2,FALSE)</f>
        <v>查修團隊A</v>
      </c>
      <c r="N124">
        <f>IF(交易處理資料__3[[#This Row],[上班時間]]=0,0,交易處理資料__3[[#This Row],[售出工時]]/交易處理資料__3[[#This Row],[上班時間]])</f>
        <v>0.23015165031222121</v>
      </c>
      <c r="O124" s="31" t="str">
        <f>IF(交易處理資料__3[[#This Row],[上班時間]]=0,"否","是")</f>
        <v>是</v>
      </c>
    </row>
    <row r="125" spans="1:15" hidden="1">
      <c r="A125" t="s">
        <v>75</v>
      </c>
      <c r="B125" t="s">
        <v>39</v>
      </c>
      <c r="C125">
        <v>0</v>
      </c>
      <c r="D125">
        <v>0</v>
      </c>
      <c r="E125" s="27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s="9">
        <v>45294</v>
      </c>
      <c r="L125">
        <f xml:space="preserve"> (交易處理資料__3[[#This Row],[售出工時]] * 60) / 5</f>
        <v>0</v>
      </c>
      <c r="M125" t="str">
        <f>VLOOKUP(交易處理資料__3[[#This Row],[人員代號]],團隊分組!$B$1:$C$52,2,FALSE)</f>
        <v>查修團隊A</v>
      </c>
      <c r="N125">
        <f>IF(交易處理資料__3[[#This Row],[上班時間]]=0,0,交易處理資料__3[[#This Row],[售出工時]]/交易處理資料__3[[#This Row],[上班時間]])</f>
        <v>0</v>
      </c>
      <c r="O125" s="31" t="str">
        <f>IF(交易處理資料__3[[#This Row],[上班時間]]=0,"否","是")</f>
        <v>否</v>
      </c>
    </row>
    <row r="126" spans="1:15" hidden="1">
      <c r="A126" t="s">
        <v>75</v>
      </c>
      <c r="B126" t="s">
        <v>40</v>
      </c>
      <c r="C126">
        <v>4.33</v>
      </c>
      <c r="D126">
        <v>4.8600000000000003</v>
      </c>
      <c r="E126" s="27">
        <v>89.16</v>
      </c>
      <c r="F126">
        <v>6.7</v>
      </c>
      <c r="G126">
        <v>1.7</v>
      </c>
      <c r="H126">
        <v>8.4</v>
      </c>
      <c r="I126">
        <v>79.760000000000005</v>
      </c>
      <c r="J126">
        <v>51.59</v>
      </c>
      <c r="K126" s="9">
        <v>45294</v>
      </c>
      <c r="L126">
        <f xml:space="preserve"> (交易處理資料__3[[#This Row],[售出工時]] * 60) / 5</f>
        <v>51.96</v>
      </c>
      <c r="M126" t="str">
        <f>VLOOKUP(交易處理資料__3[[#This Row],[人員代號]],團隊分組!$B$1:$C$52,2,FALSE)</f>
        <v>查修團隊A</v>
      </c>
      <c r="N126">
        <f>IF(交易處理資料__3[[#This Row],[上班時間]]=0,0,交易處理資料__3[[#This Row],[售出工時]]/交易處理資料__3[[#This Row],[上班時間]])</f>
        <v>0.51547619047619042</v>
      </c>
      <c r="O126" s="31" t="str">
        <f>IF(交易處理資料__3[[#This Row],[上班時間]]=0,"否","是")</f>
        <v>是</v>
      </c>
    </row>
    <row r="127" spans="1:15" hidden="1">
      <c r="A127" t="s">
        <v>75</v>
      </c>
      <c r="B127" t="s">
        <v>41</v>
      </c>
      <c r="C127">
        <v>22.08</v>
      </c>
      <c r="D127">
        <v>7.99</v>
      </c>
      <c r="E127" s="27">
        <v>276.42</v>
      </c>
      <c r="F127">
        <v>8.08</v>
      </c>
      <c r="G127">
        <v>1.04</v>
      </c>
      <c r="H127">
        <v>9.1199999999999992</v>
      </c>
      <c r="I127">
        <v>88.6</v>
      </c>
      <c r="J127">
        <v>242.18</v>
      </c>
      <c r="K127" s="9">
        <v>45294</v>
      </c>
      <c r="L127">
        <f xml:space="preserve"> (交易處理資料__3[[#This Row],[售出工時]] * 60) / 5</f>
        <v>264.95999999999998</v>
      </c>
      <c r="M127" t="str">
        <f>VLOOKUP(交易處理資料__3[[#This Row],[人員代號]],團隊分組!$B$1:$C$52,2,FALSE)</f>
        <v>快速保養團隊A</v>
      </c>
      <c r="N127">
        <f>IF(交易處理資料__3[[#This Row],[上班時間]]=0,0,交易處理資料__3[[#This Row],[售出工時]]/交易處理資料__3[[#This Row],[上班時間]])</f>
        <v>2.4210526315789473</v>
      </c>
      <c r="O127" s="31" t="str">
        <f>IF(交易處理資料__3[[#This Row],[上班時間]]=0,"否","是")</f>
        <v>是</v>
      </c>
    </row>
    <row r="128" spans="1:15" hidden="1">
      <c r="A128" t="s">
        <v>75</v>
      </c>
      <c r="B128" t="s">
        <v>42</v>
      </c>
      <c r="C128">
        <v>8.41</v>
      </c>
      <c r="D128">
        <v>6.77</v>
      </c>
      <c r="E128" s="27">
        <v>124.27</v>
      </c>
      <c r="F128">
        <v>6.52</v>
      </c>
      <c r="G128">
        <v>1.2</v>
      </c>
      <c r="H128">
        <v>7.72</v>
      </c>
      <c r="I128">
        <v>84.46</v>
      </c>
      <c r="J128">
        <v>108.98</v>
      </c>
      <c r="K128" s="9">
        <v>45294</v>
      </c>
      <c r="L128">
        <f xml:space="preserve"> (交易處理資料__3[[#This Row],[售出工時]] * 60) / 5</f>
        <v>100.92</v>
      </c>
      <c r="M128" t="str">
        <f>VLOOKUP(交易處理資料__3[[#This Row],[人員代號]],團隊分組!$B$1:$C$52,2,FALSE)</f>
        <v>快速保養團隊A</v>
      </c>
      <c r="N128">
        <f>IF(交易處理資料__3[[#This Row],[上班時間]]=0,0,交易處理資料__3[[#This Row],[售出工時]]/交易處理資料__3[[#This Row],[上班時間]])</f>
        <v>1.089378238341969</v>
      </c>
      <c r="O128" s="31" t="str">
        <f>IF(交易處理資料__3[[#This Row],[上班時間]]=0,"否","是")</f>
        <v>是</v>
      </c>
    </row>
    <row r="129" spans="1:15" hidden="1">
      <c r="A129" t="s">
        <v>75</v>
      </c>
      <c r="B129" t="s">
        <v>43</v>
      </c>
      <c r="C129">
        <v>2.9</v>
      </c>
      <c r="D129">
        <v>5.69</v>
      </c>
      <c r="E129" s="27">
        <v>51.02</v>
      </c>
      <c r="F129">
        <v>6.86</v>
      </c>
      <c r="G129">
        <v>1.27</v>
      </c>
      <c r="H129">
        <v>8.1300000000000008</v>
      </c>
      <c r="I129">
        <v>84.38</v>
      </c>
      <c r="J129">
        <v>35.71</v>
      </c>
      <c r="K129" s="9">
        <v>45294</v>
      </c>
      <c r="L129">
        <f xml:space="preserve"> (交易處理資料__3[[#This Row],[售出工時]] * 60) / 5</f>
        <v>34.799999999999997</v>
      </c>
      <c r="M129" t="str">
        <f>VLOOKUP(交易處理資料__3[[#This Row],[人員代號]],團隊分組!$B$1:$C$52,2,FALSE)</f>
        <v>查修團隊B</v>
      </c>
      <c r="N129">
        <f>IF(交易處理資料__3[[#This Row],[上班時間]]=0,0,交易處理資料__3[[#This Row],[售出工時]]/交易處理資料__3[[#This Row],[上班時間]])</f>
        <v>0.3567035670356703</v>
      </c>
      <c r="O129" s="31" t="str">
        <f>IF(交易處理資料__3[[#This Row],[上班時間]]=0,"否","是")</f>
        <v>是</v>
      </c>
    </row>
    <row r="130" spans="1:15" hidden="1">
      <c r="A130" t="s">
        <v>75</v>
      </c>
      <c r="B130" t="s">
        <v>44</v>
      </c>
      <c r="C130">
        <v>1</v>
      </c>
      <c r="D130">
        <v>0.68</v>
      </c>
      <c r="E130" s="27">
        <v>147.05000000000001</v>
      </c>
      <c r="F130">
        <v>11.83</v>
      </c>
      <c r="G130">
        <v>0.6</v>
      </c>
      <c r="H130">
        <v>12.43</v>
      </c>
      <c r="I130">
        <v>95.17</v>
      </c>
      <c r="J130">
        <v>8.0500000000000007</v>
      </c>
      <c r="K130" s="9">
        <v>45294</v>
      </c>
      <c r="L130">
        <f xml:space="preserve"> (交易處理資料__3[[#This Row],[售出工時]] * 60) / 5</f>
        <v>12</v>
      </c>
      <c r="M130" t="str">
        <f>VLOOKUP(交易處理資料__3[[#This Row],[人員代號]],團隊分組!$B$1:$C$52,2,FALSE)</f>
        <v>快速保養團隊B</v>
      </c>
      <c r="N130">
        <f>IF(交易處理資料__3[[#This Row],[上班時間]]=0,0,交易處理資料__3[[#This Row],[售出工時]]/交易處理資料__3[[#This Row],[上班時間]])</f>
        <v>8.0450522928399035E-2</v>
      </c>
      <c r="O130" s="31" t="str">
        <f>IF(交易處理資料__3[[#This Row],[上班時間]]=0,"否","是")</f>
        <v>是</v>
      </c>
    </row>
    <row r="131" spans="1:15" hidden="1">
      <c r="A131" t="s">
        <v>75</v>
      </c>
      <c r="B131" t="s">
        <v>45</v>
      </c>
      <c r="C131">
        <v>11</v>
      </c>
      <c r="D131">
        <v>6.88</v>
      </c>
      <c r="E131" s="27">
        <v>159.88</v>
      </c>
      <c r="F131">
        <v>8.23</v>
      </c>
      <c r="G131">
        <v>1.33</v>
      </c>
      <c r="H131">
        <v>9.56</v>
      </c>
      <c r="I131">
        <v>86.09</v>
      </c>
      <c r="J131">
        <v>115.06</v>
      </c>
      <c r="K131" s="9">
        <v>45294</v>
      </c>
      <c r="L131">
        <f xml:space="preserve"> (交易處理資料__3[[#This Row],[售出工時]] * 60) / 5</f>
        <v>132</v>
      </c>
      <c r="M131" t="str">
        <f>VLOOKUP(交易處理資料__3[[#This Row],[人員代號]],團隊分組!$B$1:$C$52,2,FALSE)</f>
        <v>快速保養團隊A</v>
      </c>
      <c r="N131">
        <f>IF(交易處理資料__3[[#This Row],[上班時間]]=0,0,交易處理資料__3[[#This Row],[售出工時]]/交易處理資料__3[[#This Row],[上班時間]])</f>
        <v>1.1506276150627615</v>
      </c>
      <c r="O131" s="31" t="str">
        <f>IF(交易處理資料__3[[#This Row],[上班時間]]=0,"否","是")</f>
        <v>是</v>
      </c>
    </row>
    <row r="132" spans="1:15" hidden="1">
      <c r="A132" t="s">
        <v>75</v>
      </c>
      <c r="B132" t="s">
        <v>46</v>
      </c>
      <c r="C132">
        <v>2.33</v>
      </c>
      <c r="D132">
        <v>0.77</v>
      </c>
      <c r="E132" s="27">
        <v>303.02999999999997</v>
      </c>
      <c r="F132">
        <v>7.29</v>
      </c>
      <c r="G132">
        <v>0.8</v>
      </c>
      <c r="H132">
        <v>8.09</v>
      </c>
      <c r="I132">
        <v>90.11</v>
      </c>
      <c r="J132">
        <v>28.84</v>
      </c>
      <c r="K132" s="9">
        <v>45294</v>
      </c>
      <c r="L132">
        <f xml:space="preserve"> (交易處理資料__3[[#This Row],[售出工時]] * 60) / 5</f>
        <v>27.96</v>
      </c>
      <c r="M132" t="str">
        <f>VLOOKUP(交易處理資料__3[[#This Row],[人員代號]],團隊分組!$B$1:$C$52,2,FALSE)</f>
        <v>查修團隊B</v>
      </c>
      <c r="N132">
        <f>IF(交易處理資料__3[[#This Row],[上班時間]]=0,0,交易處理資料__3[[#This Row],[售出工時]]/交易處理資料__3[[#This Row],[上班時間]])</f>
        <v>0.28800988875154515</v>
      </c>
      <c r="O132" s="31" t="str">
        <f>IF(交易處理資料__3[[#This Row],[上班時間]]=0,"否","是")</f>
        <v>是</v>
      </c>
    </row>
    <row r="133" spans="1:15" hidden="1">
      <c r="A133" t="s">
        <v>75</v>
      </c>
      <c r="B133" t="s">
        <v>47</v>
      </c>
      <c r="C133">
        <v>2.25</v>
      </c>
      <c r="D133">
        <v>2.5299999999999998</v>
      </c>
      <c r="E133" s="27">
        <v>88.93</v>
      </c>
      <c r="F133">
        <v>5.97</v>
      </c>
      <c r="G133">
        <v>2.12</v>
      </c>
      <c r="H133">
        <v>8.09</v>
      </c>
      <c r="I133">
        <v>73.790000000000006</v>
      </c>
      <c r="J133">
        <v>27.81</v>
      </c>
      <c r="K133" s="9">
        <v>45294</v>
      </c>
      <c r="L133">
        <f xml:space="preserve"> (交易處理資料__3[[#This Row],[售出工時]] * 60) / 5</f>
        <v>27</v>
      </c>
      <c r="M133" t="str">
        <f>VLOOKUP(交易處理資料__3[[#This Row],[人員代號]],團隊分組!$B$1:$C$52,2,FALSE)</f>
        <v>查修團隊B</v>
      </c>
      <c r="N133">
        <f>IF(交易處理資料__3[[#This Row],[上班時間]]=0,0,交易處理資料__3[[#This Row],[售出工時]]/交易處理資料__3[[#This Row],[上班時間]])</f>
        <v>0.27812113720642767</v>
      </c>
      <c r="O133" s="31" t="str">
        <f>IF(交易處理資料__3[[#This Row],[上班時間]]=0,"否","是")</f>
        <v>是</v>
      </c>
    </row>
    <row r="134" spans="1:15" hidden="1">
      <c r="A134" t="s">
        <v>75</v>
      </c>
      <c r="B134" t="s">
        <v>48</v>
      </c>
      <c r="C134">
        <v>5.5</v>
      </c>
      <c r="D134">
        <v>5.23</v>
      </c>
      <c r="E134" s="27">
        <v>105.16</v>
      </c>
      <c r="F134">
        <v>3.51</v>
      </c>
      <c r="G134">
        <v>4.4000000000000004</v>
      </c>
      <c r="H134">
        <v>7.91</v>
      </c>
      <c r="I134">
        <v>44.37</v>
      </c>
      <c r="J134">
        <v>69.53</v>
      </c>
      <c r="K134" s="9">
        <v>45294</v>
      </c>
      <c r="L134">
        <f xml:space="preserve"> (交易處理資料__3[[#This Row],[售出工時]] * 60) / 5</f>
        <v>66</v>
      </c>
      <c r="M134" t="str">
        <f>VLOOKUP(交易處理資料__3[[#This Row],[人員代號]],團隊分組!$B$1:$C$52,2,FALSE)</f>
        <v>查修團隊A</v>
      </c>
      <c r="N134">
        <f>IF(交易處理資料__3[[#This Row],[上班時間]]=0,0,交易處理資料__3[[#This Row],[售出工時]]/交易處理資料__3[[#This Row],[上班時間]])</f>
        <v>0.69532237673830588</v>
      </c>
      <c r="O134" s="31" t="str">
        <f>IF(交易處理資料__3[[#This Row],[上班時間]]=0,"否","是")</f>
        <v>是</v>
      </c>
    </row>
    <row r="135" spans="1:15" hidden="1">
      <c r="A135" t="s">
        <v>75</v>
      </c>
      <c r="B135" t="s">
        <v>50</v>
      </c>
      <c r="C135">
        <v>2.91</v>
      </c>
      <c r="D135">
        <v>1.38</v>
      </c>
      <c r="E135" s="27">
        <v>211.35</v>
      </c>
      <c r="F135">
        <v>7.92</v>
      </c>
      <c r="G135">
        <v>0.15</v>
      </c>
      <c r="H135">
        <v>8.07</v>
      </c>
      <c r="I135">
        <v>98.14</v>
      </c>
      <c r="J135">
        <v>36.14</v>
      </c>
      <c r="K135" s="9">
        <v>45294</v>
      </c>
      <c r="L135">
        <f xml:space="preserve"> (交易處理資料__3[[#This Row],[售出工時]] * 60) / 5</f>
        <v>34.92</v>
      </c>
      <c r="M135" t="str">
        <f>VLOOKUP(交易處理資料__3[[#This Row],[人員代號]],團隊分組!$B$1:$C$52,2,FALSE)</f>
        <v>快速保養團隊B</v>
      </c>
      <c r="N135">
        <f>IF(交易處理資料__3[[#This Row],[上班時間]]=0,0,交易處理資料__3[[#This Row],[售出工時]]/交易處理資料__3[[#This Row],[上班時間]])</f>
        <v>0.36059479553903345</v>
      </c>
      <c r="O135" s="31" t="str">
        <f>IF(交易處理資料__3[[#This Row],[上班時間]]=0,"否","是")</f>
        <v>是</v>
      </c>
    </row>
    <row r="136" spans="1:15" hidden="1">
      <c r="A136" t="s">
        <v>75</v>
      </c>
      <c r="B136" t="s">
        <v>51</v>
      </c>
      <c r="C136">
        <v>0</v>
      </c>
      <c r="D136">
        <v>0</v>
      </c>
      <c r="E136" s="27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s="9">
        <v>45294</v>
      </c>
      <c r="L136">
        <f xml:space="preserve"> (交易處理資料__3[[#This Row],[售出工時]] * 60) / 5</f>
        <v>0</v>
      </c>
      <c r="M136" t="str">
        <f>VLOOKUP(交易處理資料__3[[#This Row],[人員代號]],團隊分組!$B$1:$C$52,2,FALSE)</f>
        <v>無效數據</v>
      </c>
      <c r="N136">
        <f>IF(交易處理資料__3[[#This Row],[上班時間]]=0,0,交易處理資料__3[[#This Row],[售出工時]]/交易處理資料__3[[#This Row],[上班時間]])</f>
        <v>0</v>
      </c>
      <c r="O136" s="31" t="str">
        <f>IF(交易處理資料__3[[#This Row],[上班時間]]=0,"否","是")</f>
        <v>否</v>
      </c>
    </row>
    <row r="137" spans="1:15" hidden="1">
      <c r="A137" t="s">
        <v>75</v>
      </c>
      <c r="B137" t="s">
        <v>52</v>
      </c>
      <c r="C137">
        <v>8</v>
      </c>
      <c r="D137">
        <v>7.8</v>
      </c>
      <c r="E137" s="27">
        <v>102.56</v>
      </c>
      <c r="F137">
        <v>7.73</v>
      </c>
      <c r="G137">
        <v>0.38</v>
      </c>
      <c r="H137">
        <v>8.11</v>
      </c>
      <c r="I137">
        <v>95.31</v>
      </c>
      <c r="J137">
        <v>98.64</v>
      </c>
      <c r="K137" s="9">
        <v>45294</v>
      </c>
      <c r="L137">
        <f xml:space="preserve"> (交易處理資料__3[[#This Row],[售出工時]] * 60) / 5</f>
        <v>96</v>
      </c>
      <c r="M137" t="str">
        <f>VLOOKUP(交易處理資料__3[[#This Row],[人員代號]],團隊分組!$B$1:$C$52,2,FALSE)</f>
        <v>查修團隊B</v>
      </c>
      <c r="N137">
        <f>IF(交易處理資料__3[[#This Row],[上班時間]]=0,0,交易處理資料__3[[#This Row],[售出工時]]/交易處理資料__3[[#This Row],[上班時間]])</f>
        <v>0.98643649815043166</v>
      </c>
      <c r="O137" s="31" t="str">
        <f>IF(交易處理資料__3[[#This Row],[上班時間]]=0,"否","是")</f>
        <v>是</v>
      </c>
    </row>
    <row r="138" spans="1:15" hidden="1">
      <c r="A138" t="s">
        <v>75</v>
      </c>
      <c r="B138" t="s">
        <v>53</v>
      </c>
      <c r="C138">
        <v>2</v>
      </c>
      <c r="D138">
        <v>3.82</v>
      </c>
      <c r="E138" s="27">
        <v>52.35</v>
      </c>
      <c r="F138">
        <v>7.06</v>
      </c>
      <c r="G138">
        <v>0.78</v>
      </c>
      <c r="H138">
        <v>7.84</v>
      </c>
      <c r="I138">
        <v>90.05</v>
      </c>
      <c r="J138">
        <v>25.51</v>
      </c>
      <c r="K138" s="9">
        <v>45294</v>
      </c>
      <c r="L138">
        <f xml:space="preserve"> (交易處理資料__3[[#This Row],[售出工時]] * 60) / 5</f>
        <v>24</v>
      </c>
      <c r="M138" t="str">
        <f>VLOOKUP(交易處理資料__3[[#This Row],[人員代號]],團隊分組!$B$1:$C$52,2,FALSE)</f>
        <v>查修團隊A</v>
      </c>
      <c r="N138">
        <f>IF(交易處理資料__3[[#This Row],[上班時間]]=0,0,交易處理資料__3[[#This Row],[售出工時]]/交易處理資料__3[[#This Row],[上班時間]])</f>
        <v>0.25510204081632654</v>
      </c>
      <c r="O138" s="31" t="str">
        <f>IF(交易處理資料__3[[#This Row],[上班時間]]=0,"否","是")</f>
        <v>是</v>
      </c>
    </row>
    <row r="139" spans="1:15" hidden="1">
      <c r="A139" s="10" t="s">
        <v>73</v>
      </c>
      <c r="B139" t="s">
        <v>1</v>
      </c>
      <c r="C139">
        <v>0</v>
      </c>
      <c r="D139">
        <v>0</v>
      </c>
      <c r="E139" s="27">
        <v>0</v>
      </c>
      <c r="F139">
        <v>7.13</v>
      </c>
      <c r="G139">
        <v>0.91</v>
      </c>
      <c r="H139">
        <v>8.0399999999999991</v>
      </c>
      <c r="I139">
        <v>88.68</v>
      </c>
      <c r="J139">
        <v>0</v>
      </c>
      <c r="K139" s="9">
        <v>45295</v>
      </c>
      <c r="L139">
        <f xml:space="preserve"> (交易處理資料__3[[#This Row],[售出工時]] * 60) / 5</f>
        <v>0</v>
      </c>
      <c r="M139" t="str">
        <f>VLOOKUP(交易處理資料__3[[#This Row],[人員代號]],團隊分組!$B$1:$C$52,2,FALSE)</f>
        <v>噴漆維修組</v>
      </c>
      <c r="N139">
        <f>IF(交易處理資料__3[[#This Row],[上班時間]]=0,0,交易處理資料__3[[#This Row],[售出工時]]/交易處理資料__3[[#This Row],[上班時間]])</f>
        <v>0</v>
      </c>
      <c r="O139" s="31" t="str">
        <f>IF(交易處理資料__3[[#This Row],[上班時間]]=0,"否","是")</f>
        <v>是</v>
      </c>
    </row>
    <row r="140" spans="1:15" hidden="1">
      <c r="A140" s="10" t="s">
        <v>73</v>
      </c>
      <c r="B140" t="s">
        <v>2</v>
      </c>
      <c r="C140">
        <v>0</v>
      </c>
      <c r="D140">
        <v>0</v>
      </c>
      <c r="E140" s="27">
        <v>0</v>
      </c>
      <c r="F140">
        <v>7.92</v>
      </c>
      <c r="G140">
        <v>0.23</v>
      </c>
      <c r="H140">
        <v>8.15</v>
      </c>
      <c r="I140">
        <v>97.18</v>
      </c>
      <c r="J140">
        <v>0</v>
      </c>
      <c r="K140" s="9">
        <v>45295</v>
      </c>
      <c r="L140">
        <f xml:space="preserve"> (交易處理資料__3[[#This Row],[售出工時]] * 60) / 5</f>
        <v>0</v>
      </c>
      <c r="M140" t="str">
        <f>VLOOKUP(交易處理資料__3[[#This Row],[人員代號]],團隊分組!$B$1:$C$52,2,FALSE)</f>
        <v>噴漆維修組</v>
      </c>
      <c r="N140">
        <f>IF(交易處理資料__3[[#This Row],[上班時間]]=0,0,交易處理資料__3[[#This Row],[售出工時]]/交易處理資料__3[[#This Row],[上班時間]])</f>
        <v>0</v>
      </c>
      <c r="O140" s="31" t="str">
        <f>IF(交易處理資料__3[[#This Row],[上班時間]]=0,"否","是")</f>
        <v>是</v>
      </c>
    </row>
    <row r="141" spans="1:15" hidden="1">
      <c r="A141" s="10" t="s">
        <v>73</v>
      </c>
      <c r="B141" t="s">
        <v>3</v>
      </c>
      <c r="C141">
        <v>0</v>
      </c>
      <c r="D141">
        <v>0</v>
      </c>
      <c r="E141" s="27">
        <v>0</v>
      </c>
      <c r="F141">
        <v>7.91</v>
      </c>
      <c r="G141">
        <v>0.24</v>
      </c>
      <c r="H141">
        <v>8.15</v>
      </c>
      <c r="I141">
        <v>97.06</v>
      </c>
      <c r="J141">
        <v>0</v>
      </c>
      <c r="K141" s="9">
        <v>45295</v>
      </c>
      <c r="L141">
        <f xml:space="preserve"> (交易處理資料__3[[#This Row],[售出工時]] * 60) / 5</f>
        <v>0</v>
      </c>
      <c r="M141" t="str">
        <f>VLOOKUP(交易處理資料__3[[#This Row],[人員代號]],團隊分組!$B$1:$C$52,2,FALSE)</f>
        <v>噴漆維修組</v>
      </c>
      <c r="N141">
        <f>IF(交易處理資料__3[[#This Row],[上班時間]]=0,0,交易處理資料__3[[#This Row],[售出工時]]/交易處理資料__3[[#This Row],[上班時間]])</f>
        <v>0</v>
      </c>
      <c r="O141" s="31" t="str">
        <f>IF(交易處理資料__3[[#This Row],[上班時間]]=0,"否","是")</f>
        <v>是</v>
      </c>
    </row>
    <row r="142" spans="1:15" hidden="1">
      <c r="A142" s="10" t="s">
        <v>73</v>
      </c>
      <c r="B142" t="s">
        <v>4</v>
      </c>
      <c r="C142">
        <v>0</v>
      </c>
      <c r="D142">
        <v>0</v>
      </c>
      <c r="E142" s="27">
        <v>0</v>
      </c>
      <c r="F142">
        <v>7.01</v>
      </c>
      <c r="G142">
        <v>1.01</v>
      </c>
      <c r="H142">
        <v>8.02</v>
      </c>
      <c r="I142">
        <v>87.41</v>
      </c>
      <c r="J142">
        <v>0</v>
      </c>
      <c r="K142" s="9">
        <v>45295</v>
      </c>
      <c r="L142">
        <f xml:space="preserve"> (交易處理資料__3[[#This Row],[售出工時]] * 60) / 5</f>
        <v>0</v>
      </c>
      <c r="M142" t="str">
        <f>VLOOKUP(交易處理資料__3[[#This Row],[人員代號]],團隊分組!$B$1:$C$52,2,FALSE)</f>
        <v>噴漆維修組</v>
      </c>
      <c r="N142">
        <f>IF(交易處理資料__3[[#This Row],[上班時間]]=0,0,交易處理資料__3[[#This Row],[售出工時]]/交易處理資料__3[[#This Row],[上班時間]])</f>
        <v>0</v>
      </c>
      <c r="O142" s="31" t="str">
        <f>IF(交易處理資料__3[[#This Row],[上班時間]]=0,"否","是")</f>
        <v>是</v>
      </c>
    </row>
    <row r="143" spans="1:15" hidden="1">
      <c r="A143" s="10" t="s">
        <v>73</v>
      </c>
      <c r="B143" t="s">
        <v>5</v>
      </c>
      <c r="C143">
        <v>1.79</v>
      </c>
      <c r="D143">
        <v>4.0199999999999996</v>
      </c>
      <c r="E143" s="27">
        <v>44.52</v>
      </c>
      <c r="F143">
        <v>7.9</v>
      </c>
      <c r="G143">
        <v>0.23</v>
      </c>
      <c r="H143">
        <v>8.1300000000000008</v>
      </c>
      <c r="I143">
        <v>97.17</v>
      </c>
      <c r="J143">
        <v>22.02</v>
      </c>
      <c r="K143" s="9">
        <v>45295</v>
      </c>
      <c r="L143">
        <f xml:space="preserve"> (交易處理資料__3[[#This Row],[售出工時]] * 60) / 5</f>
        <v>21.48</v>
      </c>
      <c r="M143" t="str">
        <f>VLOOKUP(交易處理資料__3[[#This Row],[人員代號]],團隊分組!$B$1:$C$52,2,FALSE)</f>
        <v>噴漆維修組</v>
      </c>
      <c r="N143">
        <f>IF(交易處理資料__3[[#This Row],[上班時間]]=0,0,交易處理資料__3[[#This Row],[售出工時]]/交易處理資料__3[[#This Row],[上班時間]])</f>
        <v>0.22017220172201721</v>
      </c>
      <c r="O143" s="31" t="str">
        <f>IF(交易處理資料__3[[#This Row],[上班時間]]=0,"否","是")</f>
        <v>是</v>
      </c>
    </row>
    <row r="144" spans="1:15" hidden="1">
      <c r="A144" s="10" t="s">
        <v>73</v>
      </c>
      <c r="B144" t="s">
        <v>6</v>
      </c>
      <c r="C144">
        <v>0</v>
      </c>
      <c r="D144">
        <v>0</v>
      </c>
      <c r="E144" s="27">
        <v>0</v>
      </c>
      <c r="F144">
        <v>7.92</v>
      </c>
      <c r="G144">
        <v>0.24</v>
      </c>
      <c r="H144">
        <v>8.16</v>
      </c>
      <c r="I144">
        <v>97.06</v>
      </c>
      <c r="J144">
        <v>0</v>
      </c>
      <c r="K144" s="9">
        <v>45295</v>
      </c>
      <c r="L144">
        <f xml:space="preserve"> (交易處理資料__3[[#This Row],[售出工時]] * 60) / 5</f>
        <v>0</v>
      </c>
      <c r="M144" t="str">
        <f>VLOOKUP(交易處理資料__3[[#This Row],[人員代號]],團隊分組!$B$1:$C$52,2,FALSE)</f>
        <v>噴漆維修組</v>
      </c>
      <c r="N144">
        <f>IF(交易處理資料__3[[#This Row],[上班時間]]=0,0,交易處理資料__3[[#This Row],[售出工時]]/交易處理資料__3[[#This Row],[上班時間]])</f>
        <v>0</v>
      </c>
      <c r="O144" s="31" t="str">
        <f>IF(交易處理資料__3[[#This Row],[上班時間]]=0,"否","是")</f>
        <v>是</v>
      </c>
    </row>
    <row r="145" spans="1:15" hidden="1">
      <c r="A145" s="10" t="s">
        <v>73</v>
      </c>
      <c r="B145" t="s">
        <v>8</v>
      </c>
      <c r="C145">
        <v>0</v>
      </c>
      <c r="D145">
        <v>0</v>
      </c>
      <c r="E145" s="27">
        <v>0</v>
      </c>
      <c r="F145">
        <v>7.03</v>
      </c>
      <c r="G145">
        <v>1</v>
      </c>
      <c r="H145">
        <v>8.0299999999999994</v>
      </c>
      <c r="I145">
        <v>87.55</v>
      </c>
      <c r="J145">
        <v>0</v>
      </c>
      <c r="K145" s="9">
        <v>45295</v>
      </c>
      <c r="L145">
        <f xml:space="preserve"> (交易處理資料__3[[#This Row],[售出工時]] * 60) / 5</f>
        <v>0</v>
      </c>
      <c r="M145" t="str">
        <f>VLOOKUP(交易處理資料__3[[#This Row],[人員代號]],團隊分組!$B$1:$C$52,2,FALSE)</f>
        <v>噴漆維修組</v>
      </c>
      <c r="N145">
        <f>IF(交易處理資料__3[[#This Row],[上班時間]]=0,0,交易處理資料__3[[#This Row],[售出工時]]/交易處理資料__3[[#This Row],[上班時間]])</f>
        <v>0</v>
      </c>
      <c r="O145" s="31" t="str">
        <f>IF(交易處理資料__3[[#This Row],[上班時間]]=0,"否","是")</f>
        <v>是</v>
      </c>
    </row>
    <row r="146" spans="1:15" hidden="1">
      <c r="A146" s="10" t="s">
        <v>73</v>
      </c>
      <c r="B146" t="s">
        <v>9</v>
      </c>
      <c r="C146">
        <v>7.58</v>
      </c>
      <c r="D146">
        <v>7.57</v>
      </c>
      <c r="E146" s="27">
        <v>100.17</v>
      </c>
      <c r="F146">
        <v>7.13</v>
      </c>
      <c r="G146">
        <v>0.91</v>
      </c>
      <c r="H146">
        <v>8.0399999999999991</v>
      </c>
      <c r="I146">
        <v>88.68</v>
      </c>
      <c r="J146">
        <v>94.32</v>
      </c>
      <c r="K146" s="9">
        <v>45295</v>
      </c>
      <c r="L146">
        <f xml:space="preserve"> (交易處理資料__3[[#This Row],[售出工時]] * 60) / 5</f>
        <v>90.960000000000008</v>
      </c>
      <c r="M146" t="str">
        <f>VLOOKUP(交易處理資料__3[[#This Row],[人員代號]],團隊分組!$B$1:$C$52,2,FALSE)</f>
        <v>噴漆維修組</v>
      </c>
      <c r="N146">
        <f>IF(交易處理資料__3[[#This Row],[上班時間]]=0,0,交易處理資料__3[[#This Row],[售出工時]]/交易處理資料__3[[#This Row],[上班時間]])</f>
        <v>0.94278606965174139</v>
      </c>
      <c r="O146" s="31" t="str">
        <f>IF(交易處理資料__3[[#This Row],[上班時間]]=0,"否","是")</f>
        <v>是</v>
      </c>
    </row>
    <row r="147" spans="1:15" hidden="1">
      <c r="A147" t="s">
        <v>74</v>
      </c>
      <c r="B147" t="s">
        <v>11</v>
      </c>
      <c r="C147">
        <v>3.5</v>
      </c>
      <c r="D147">
        <v>2.27</v>
      </c>
      <c r="E147" s="27">
        <v>154.18</v>
      </c>
      <c r="F147">
        <v>6.53</v>
      </c>
      <c r="G147">
        <v>1.56</v>
      </c>
      <c r="H147">
        <v>8.09</v>
      </c>
      <c r="I147">
        <v>80.72</v>
      </c>
      <c r="J147">
        <v>43.26</v>
      </c>
      <c r="K147" s="9">
        <v>45295</v>
      </c>
      <c r="L147">
        <f xml:space="preserve"> (交易處理資料__3[[#This Row],[售出工時]] * 60) / 5</f>
        <v>42</v>
      </c>
      <c r="M147" t="str">
        <f>VLOOKUP(交易處理資料__3[[#This Row],[人員代號]],團隊分組!$B$1:$C$52,2,FALSE)</f>
        <v>鈑金維修組</v>
      </c>
      <c r="N147">
        <f>IF(交易處理資料__3[[#This Row],[上班時間]]=0,0,交易處理資料__3[[#This Row],[售出工時]]/交易處理資料__3[[#This Row],[上班時間]])</f>
        <v>0.43263288009888751</v>
      </c>
      <c r="O147" s="31" t="str">
        <f>IF(交易處理資料__3[[#This Row],[上班時間]]=0,"否","是")</f>
        <v>是</v>
      </c>
    </row>
    <row r="148" spans="1:15" hidden="1">
      <c r="A148" t="s">
        <v>74</v>
      </c>
      <c r="B148" t="s">
        <v>12</v>
      </c>
      <c r="C148">
        <v>8.41</v>
      </c>
      <c r="D148">
        <v>7.77</v>
      </c>
      <c r="E148" s="27">
        <v>108.32</v>
      </c>
      <c r="F148">
        <v>7.73</v>
      </c>
      <c r="G148">
        <v>0.7</v>
      </c>
      <c r="H148">
        <v>8.43</v>
      </c>
      <c r="I148">
        <v>91.7</v>
      </c>
      <c r="J148">
        <v>99.84</v>
      </c>
      <c r="K148" s="9">
        <v>45295</v>
      </c>
      <c r="L148">
        <f xml:space="preserve"> (交易處理資料__3[[#This Row],[售出工時]] * 60) / 5</f>
        <v>100.92</v>
      </c>
      <c r="M148" t="str">
        <f>VLOOKUP(交易處理資料__3[[#This Row],[人員代號]],團隊分組!$B$1:$C$52,2,FALSE)</f>
        <v>鈑金維修組</v>
      </c>
      <c r="N148">
        <f>IF(交易處理資料__3[[#This Row],[上班時間]]=0,0,交易處理資料__3[[#This Row],[售出工時]]/交易處理資料__3[[#This Row],[上班時間]])</f>
        <v>0.99762752075919336</v>
      </c>
      <c r="O148" s="31" t="str">
        <f>IF(交易處理資料__3[[#This Row],[上班時間]]=0,"否","是")</f>
        <v>是</v>
      </c>
    </row>
    <row r="149" spans="1:15" hidden="1">
      <c r="A149" t="s">
        <v>74</v>
      </c>
      <c r="B149" t="s">
        <v>13</v>
      </c>
      <c r="C149">
        <v>2.2000000000000002</v>
      </c>
      <c r="D149">
        <v>1.23</v>
      </c>
      <c r="E149" s="27">
        <v>178.86</v>
      </c>
      <c r="F149">
        <v>3.12</v>
      </c>
      <c r="G149">
        <v>4.97</v>
      </c>
      <c r="H149">
        <v>8.09</v>
      </c>
      <c r="I149">
        <v>38.57</v>
      </c>
      <c r="J149">
        <v>27.19</v>
      </c>
      <c r="K149" s="9">
        <v>45295</v>
      </c>
      <c r="L149">
        <f xml:space="preserve"> (交易處理資料__3[[#This Row],[售出工時]] * 60) / 5</f>
        <v>26.4</v>
      </c>
      <c r="M149" t="str">
        <f>VLOOKUP(交易處理資料__3[[#This Row],[人員代號]],團隊分組!$B$1:$C$52,2,FALSE)</f>
        <v>鈑金維修組</v>
      </c>
      <c r="N149">
        <f>IF(交易處理資料__3[[#This Row],[上班時間]]=0,0,交易處理資料__3[[#This Row],[售出工時]]/交易處理資料__3[[#This Row],[上班時間]])</f>
        <v>0.27194066749072932</v>
      </c>
      <c r="O149" s="31" t="str">
        <f>IF(交易處理資料__3[[#This Row],[上班時間]]=0,"否","是")</f>
        <v>是</v>
      </c>
    </row>
    <row r="150" spans="1:15" hidden="1">
      <c r="A150" t="s">
        <v>74</v>
      </c>
      <c r="B150" t="s">
        <v>14</v>
      </c>
      <c r="C150">
        <v>5.96</v>
      </c>
      <c r="D150">
        <v>3.33</v>
      </c>
      <c r="E150" s="27">
        <v>178.97</v>
      </c>
      <c r="F150">
        <v>3.81</v>
      </c>
      <c r="G150">
        <v>4.2699999999999996</v>
      </c>
      <c r="H150">
        <v>8.08</v>
      </c>
      <c r="I150">
        <v>47.15</v>
      </c>
      <c r="J150">
        <v>73.760000000000005</v>
      </c>
      <c r="K150" s="9">
        <v>45295</v>
      </c>
      <c r="L150">
        <f xml:space="preserve"> (交易處理資料__3[[#This Row],[售出工時]] * 60) / 5</f>
        <v>71.52000000000001</v>
      </c>
      <c r="M150" t="str">
        <f>VLOOKUP(交易處理資料__3[[#This Row],[人員代號]],團隊分組!$B$1:$C$52,2,FALSE)</f>
        <v>鈑金維修組</v>
      </c>
      <c r="N150">
        <f>IF(交易處理資料__3[[#This Row],[上班時間]]=0,0,交易處理資料__3[[#This Row],[售出工時]]/交易處理資料__3[[#This Row],[上班時間]])</f>
        <v>0.73762376237623761</v>
      </c>
      <c r="O150" s="31" t="str">
        <f>IF(交易處理資料__3[[#This Row],[上班時間]]=0,"否","是")</f>
        <v>是</v>
      </c>
    </row>
    <row r="151" spans="1:15" hidden="1">
      <c r="A151" t="s">
        <v>74</v>
      </c>
      <c r="B151" t="s">
        <v>15</v>
      </c>
      <c r="C151">
        <v>0</v>
      </c>
      <c r="D151">
        <v>0</v>
      </c>
      <c r="E151" s="27">
        <v>0</v>
      </c>
      <c r="F151">
        <v>3.83</v>
      </c>
      <c r="G151">
        <v>4.25</v>
      </c>
      <c r="H151">
        <v>8.08</v>
      </c>
      <c r="I151">
        <v>47.4</v>
      </c>
      <c r="J151">
        <v>0</v>
      </c>
      <c r="K151" s="9">
        <v>45295</v>
      </c>
      <c r="L151">
        <f xml:space="preserve"> (交易處理資料__3[[#This Row],[售出工時]] * 60) / 5</f>
        <v>0</v>
      </c>
      <c r="M151" t="str">
        <f>VLOOKUP(交易處理資料__3[[#This Row],[人員代號]],團隊分組!$B$1:$C$52,2,FALSE)</f>
        <v>鈑金維修組</v>
      </c>
      <c r="N151">
        <f>IF(交易處理資料__3[[#This Row],[上班時間]]=0,0,交易處理資料__3[[#This Row],[售出工時]]/交易處理資料__3[[#This Row],[上班時間]])</f>
        <v>0</v>
      </c>
      <c r="O151" s="31" t="str">
        <f>IF(交易處理資料__3[[#This Row],[上班時間]]=0,"否","是")</f>
        <v>是</v>
      </c>
    </row>
    <row r="152" spans="1:15" hidden="1">
      <c r="A152" t="s">
        <v>75</v>
      </c>
      <c r="B152" t="s">
        <v>17</v>
      </c>
      <c r="C152">
        <v>5.33</v>
      </c>
      <c r="D152">
        <v>3.65</v>
      </c>
      <c r="E152" s="27">
        <v>146.11000000000001</v>
      </c>
      <c r="F152">
        <v>8.36</v>
      </c>
      <c r="G152">
        <v>0.63</v>
      </c>
      <c r="H152">
        <v>8.99</v>
      </c>
      <c r="I152">
        <v>92.99</v>
      </c>
      <c r="J152">
        <v>59.33</v>
      </c>
      <c r="K152" s="9">
        <v>45295</v>
      </c>
      <c r="L152">
        <f xml:space="preserve"> (交易處理資料__3[[#This Row],[售出工時]] * 60) / 5</f>
        <v>63.96</v>
      </c>
      <c r="M152" t="str">
        <f>VLOOKUP(交易處理資料__3[[#This Row],[人員代號]],團隊分組!$B$1:$C$52,2,FALSE)</f>
        <v>快速保養團隊A</v>
      </c>
      <c r="N152">
        <f>IF(交易處理資料__3[[#This Row],[上班時間]]=0,0,交易處理資料__3[[#This Row],[售出工時]]/交易處理資料__3[[#This Row],[上班時間]])</f>
        <v>0.59288097886540603</v>
      </c>
      <c r="O152" s="31" t="str">
        <f>IF(交易處理資料__3[[#This Row],[上班時間]]=0,"否","是")</f>
        <v>是</v>
      </c>
    </row>
    <row r="153" spans="1:15" hidden="1">
      <c r="A153" t="s">
        <v>75</v>
      </c>
      <c r="B153" t="s">
        <v>18</v>
      </c>
      <c r="C153">
        <v>2.33</v>
      </c>
      <c r="D153">
        <v>7.34</v>
      </c>
      <c r="E153" s="27">
        <v>31.78</v>
      </c>
      <c r="F153">
        <v>7.84</v>
      </c>
      <c r="G153">
        <v>0.49</v>
      </c>
      <c r="H153">
        <v>8.33</v>
      </c>
      <c r="I153">
        <v>94.12</v>
      </c>
      <c r="J153">
        <v>28.01</v>
      </c>
      <c r="K153" s="9">
        <v>45295</v>
      </c>
      <c r="L153">
        <f xml:space="preserve"> (交易處理資料__3[[#This Row],[售出工時]] * 60) / 5</f>
        <v>27.96</v>
      </c>
      <c r="M153" t="str">
        <f>VLOOKUP(交易處理資料__3[[#This Row],[人員代號]],團隊分組!$B$1:$C$52,2,FALSE)</f>
        <v>查修團隊B</v>
      </c>
      <c r="N153">
        <f>IF(交易處理資料__3[[#This Row],[上班時間]]=0,0,交易處理資料__3[[#This Row],[售出工時]]/交易處理資料__3[[#This Row],[上班時間]])</f>
        <v>0.27971188475390157</v>
      </c>
      <c r="O153" s="31" t="str">
        <f>IF(交易處理資料__3[[#This Row],[上班時間]]=0,"否","是")</f>
        <v>是</v>
      </c>
    </row>
    <row r="154" spans="1:15" hidden="1">
      <c r="A154" t="s">
        <v>75</v>
      </c>
      <c r="B154" t="s">
        <v>20</v>
      </c>
      <c r="C154">
        <v>0.73</v>
      </c>
      <c r="D154">
        <v>1.18</v>
      </c>
      <c r="E154" s="27">
        <v>61.86</v>
      </c>
      <c r="F154">
        <v>5.8</v>
      </c>
      <c r="G154">
        <v>4.1500000000000004</v>
      </c>
      <c r="H154">
        <v>9.9499999999999993</v>
      </c>
      <c r="I154">
        <v>58.29</v>
      </c>
      <c r="J154">
        <v>7.34</v>
      </c>
      <c r="K154" s="9">
        <v>45295</v>
      </c>
      <c r="L154">
        <f xml:space="preserve"> (交易處理資料__3[[#This Row],[售出工時]] * 60) / 5</f>
        <v>8.76</v>
      </c>
      <c r="M154" t="str">
        <f>VLOOKUP(交易處理資料__3[[#This Row],[人員代號]],團隊分組!$B$1:$C$52,2,FALSE)</f>
        <v>查修團隊B</v>
      </c>
      <c r="N154">
        <f>IF(交易處理資料__3[[#This Row],[上班時間]]=0,0,交易處理資料__3[[#This Row],[售出工時]]/交易處理資料__3[[#This Row],[上班時間]])</f>
        <v>7.3366834170854281E-2</v>
      </c>
      <c r="O154" s="31" t="str">
        <f>IF(交易處理資料__3[[#This Row],[上班時間]]=0,"否","是")</f>
        <v>是</v>
      </c>
    </row>
    <row r="155" spans="1:15" hidden="1">
      <c r="A155" t="s">
        <v>75</v>
      </c>
      <c r="B155" t="s">
        <v>21</v>
      </c>
      <c r="C155">
        <v>1.97</v>
      </c>
      <c r="D155">
        <v>0.75</v>
      </c>
      <c r="E155" s="27">
        <v>262.66000000000003</v>
      </c>
      <c r="F155">
        <v>7.28</v>
      </c>
      <c r="G155">
        <v>0.81</v>
      </c>
      <c r="H155">
        <v>8.09</v>
      </c>
      <c r="I155">
        <v>89.99</v>
      </c>
      <c r="J155">
        <v>24.35</v>
      </c>
      <c r="K155" s="9">
        <v>45295</v>
      </c>
      <c r="L155">
        <f xml:space="preserve"> (交易處理資料__3[[#This Row],[售出工時]] * 60) / 5</f>
        <v>23.64</v>
      </c>
      <c r="M155" t="str">
        <f>VLOOKUP(交易處理資料__3[[#This Row],[人員代號]],團隊分組!$B$1:$C$52,2,FALSE)</f>
        <v>查修團隊B</v>
      </c>
      <c r="N155">
        <f>IF(交易處理資料__3[[#This Row],[上班時間]]=0,0,交易處理資料__3[[#This Row],[售出工時]]/交易處理資料__3[[#This Row],[上班時間]])</f>
        <v>0.24351050679851668</v>
      </c>
      <c r="O155" s="31" t="str">
        <f>IF(交易處理資料__3[[#This Row],[上班時間]]=0,"否","是")</f>
        <v>是</v>
      </c>
    </row>
    <row r="156" spans="1:15" hidden="1">
      <c r="A156" t="s">
        <v>75</v>
      </c>
      <c r="B156" t="s">
        <v>22</v>
      </c>
      <c r="C156">
        <v>0</v>
      </c>
      <c r="D156">
        <v>0</v>
      </c>
      <c r="E156" s="27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9">
        <v>45295</v>
      </c>
      <c r="L156">
        <f xml:space="preserve"> (交易處理資料__3[[#This Row],[售出工時]] * 60) / 5</f>
        <v>0</v>
      </c>
      <c r="M156" t="str">
        <f>VLOOKUP(交易處理資料__3[[#This Row],[人員代號]],團隊分組!$B$1:$C$52,2,FALSE)</f>
        <v>快速保養團隊A</v>
      </c>
      <c r="N156">
        <f>IF(交易處理資料__3[[#This Row],[上班時間]]=0,0,交易處理資料__3[[#This Row],[售出工時]]/交易處理資料__3[[#This Row],[上班時間]])</f>
        <v>0</v>
      </c>
      <c r="O156" s="31" t="str">
        <f>IF(交易處理資料__3[[#This Row],[上班時間]]=0,"否","是")</f>
        <v>否</v>
      </c>
    </row>
    <row r="157" spans="1:15" hidden="1">
      <c r="A157" t="s">
        <v>75</v>
      </c>
      <c r="B157" t="s">
        <v>24</v>
      </c>
      <c r="C157">
        <v>14.97</v>
      </c>
      <c r="D157">
        <v>8.94</v>
      </c>
      <c r="E157" s="27">
        <v>167.52</v>
      </c>
      <c r="F157">
        <v>9.4600000000000009</v>
      </c>
      <c r="G157">
        <v>1.19</v>
      </c>
      <c r="H157">
        <v>10.65</v>
      </c>
      <c r="I157">
        <v>88.83</v>
      </c>
      <c r="J157">
        <v>140.63</v>
      </c>
      <c r="K157" s="9">
        <v>45295</v>
      </c>
      <c r="L157">
        <f xml:space="preserve"> (交易處理資料__3[[#This Row],[售出工時]] * 60) / 5</f>
        <v>179.64000000000001</v>
      </c>
      <c r="M157" t="str">
        <f>VLOOKUP(交易處理資料__3[[#This Row],[人員代號]],團隊分組!$B$1:$C$52,2,FALSE)</f>
        <v>快速保養團隊A</v>
      </c>
      <c r="N157">
        <f>IF(交易處理資料__3[[#This Row],[上班時間]]=0,0,交易處理資料__3[[#This Row],[售出工時]]/交易處理資料__3[[#This Row],[上班時間]])</f>
        <v>1.4056338028169013</v>
      </c>
      <c r="O157" s="31" t="str">
        <f>IF(交易處理資料__3[[#This Row],[上班時間]]=0,"否","是")</f>
        <v>是</v>
      </c>
    </row>
    <row r="158" spans="1:15" hidden="1">
      <c r="A158" t="s">
        <v>75</v>
      </c>
      <c r="B158" t="s">
        <v>25</v>
      </c>
      <c r="C158">
        <v>2.5</v>
      </c>
      <c r="D158">
        <v>2.2999999999999998</v>
      </c>
      <c r="E158" s="27">
        <v>108.69</v>
      </c>
      <c r="F158">
        <v>5.46</v>
      </c>
      <c r="G158">
        <v>2.73</v>
      </c>
      <c r="H158">
        <v>8.19</v>
      </c>
      <c r="I158">
        <v>66.67</v>
      </c>
      <c r="J158">
        <v>30.53</v>
      </c>
      <c r="K158" s="9">
        <v>45295</v>
      </c>
      <c r="L158">
        <f xml:space="preserve"> (交易處理資料__3[[#This Row],[售出工時]] * 60) / 5</f>
        <v>30</v>
      </c>
      <c r="M158" t="str">
        <f>VLOOKUP(交易處理資料__3[[#This Row],[人員代號]],團隊分組!$B$1:$C$52,2,FALSE)</f>
        <v>查修團隊A</v>
      </c>
      <c r="N158">
        <f>IF(交易處理資料__3[[#This Row],[上班時間]]=0,0,交易處理資料__3[[#This Row],[售出工時]]/交易處理資料__3[[#This Row],[上班時間]])</f>
        <v>0.30525030525030528</v>
      </c>
      <c r="O158" s="31" t="str">
        <f>IF(交易處理資料__3[[#This Row],[上班時間]]=0,"否","是")</f>
        <v>是</v>
      </c>
    </row>
    <row r="159" spans="1:15" hidden="1">
      <c r="A159" t="s">
        <v>75</v>
      </c>
      <c r="B159" t="s">
        <v>26</v>
      </c>
      <c r="C159">
        <v>1.3</v>
      </c>
      <c r="D159">
        <v>0.86</v>
      </c>
      <c r="E159" s="27">
        <v>151.16</v>
      </c>
      <c r="F159">
        <v>1.1599999999999999</v>
      </c>
      <c r="G159">
        <v>8.76</v>
      </c>
      <c r="H159">
        <v>9.92</v>
      </c>
      <c r="I159">
        <v>11.69</v>
      </c>
      <c r="J159">
        <v>13.1</v>
      </c>
      <c r="K159" s="9">
        <v>45295</v>
      </c>
      <c r="L159">
        <f xml:space="preserve"> (交易處理資料__3[[#This Row],[售出工時]] * 60) / 5</f>
        <v>15.6</v>
      </c>
      <c r="M159" t="str">
        <f>VLOOKUP(交易處理資料__3[[#This Row],[人員代號]],團隊分組!$B$1:$C$52,2,FALSE)</f>
        <v>查修團隊B</v>
      </c>
      <c r="N159">
        <f>IF(交易處理資料__3[[#This Row],[上班時間]]=0,0,交易處理資料__3[[#This Row],[售出工時]]/交易處理資料__3[[#This Row],[上班時間]])</f>
        <v>0.13104838709677419</v>
      </c>
      <c r="O159" s="31" t="str">
        <f>IF(交易處理資料__3[[#This Row],[上班時間]]=0,"否","是")</f>
        <v>是</v>
      </c>
    </row>
    <row r="160" spans="1:15" hidden="1">
      <c r="A160" t="s">
        <v>75</v>
      </c>
      <c r="B160" t="s">
        <v>30</v>
      </c>
      <c r="C160">
        <v>13.87</v>
      </c>
      <c r="D160">
        <v>10.74</v>
      </c>
      <c r="E160" s="27">
        <v>129.16999999999999</v>
      </c>
      <c r="F160">
        <v>10.99</v>
      </c>
      <c r="G160">
        <v>0.62</v>
      </c>
      <c r="H160">
        <v>11.61</v>
      </c>
      <c r="I160">
        <v>94.66</v>
      </c>
      <c r="J160">
        <v>119.49</v>
      </c>
      <c r="K160" s="9">
        <v>45295</v>
      </c>
      <c r="L160">
        <f xml:space="preserve"> (交易處理資料__3[[#This Row],[售出工時]] * 60) / 5</f>
        <v>166.44</v>
      </c>
      <c r="M160" t="str">
        <f>VLOOKUP(交易處理資料__3[[#This Row],[人員代號]],團隊分組!$B$1:$C$52,2,FALSE)</f>
        <v>快速保養團隊B</v>
      </c>
      <c r="N160">
        <f>IF(交易處理資料__3[[#This Row],[上班時間]]=0,0,交易處理資料__3[[#This Row],[售出工時]]/交易處理資料__3[[#This Row],[上班時間]])</f>
        <v>1.194659776055125</v>
      </c>
      <c r="O160" s="31" t="str">
        <f>IF(交易處理資料__3[[#This Row],[上班時間]]=0,"否","是")</f>
        <v>是</v>
      </c>
    </row>
    <row r="161" spans="1:15" hidden="1">
      <c r="A161" t="s">
        <v>75</v>
      </c>
      <c r="B161" t="s">
        <v>31</v>
      </c>
      <c r="C161">
        <v>0</v>
      </c>
      <c r="D161">
        <v>0</v>
      </c>
      <c r="E161" s="27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s="9">
        <v>45295</v>
      </c>
      <c r="L161">
        <f xml:space="preserve"> (交易處理資料__3[[#This Row],[售出工時]] * 60) / 5</f>
        <v>0</v>
      </c>
      <c r="M161" t="str">
        <f>VLOOKUP(交易處理資料__3[[#This Row],[人員代號]],團隊分組!$B$1:$C$52,2,FALSE)</f>
        <v>快速保養團隊A</v>
      </c>
      <c r="N161">
        <f>IF(交易處理資料__3[[#This Row],[上班時間]]=0,0,交易處理資料__3[[#This Row],[售出工時]]/交易處理資料__3[[#This Row],[上班時間]])</f>
        <v>0</v>
      </c>
      <c r="O161" s="31" t="str">
        <f>IF(交易處理資料__3[[#This Row],[上班時間]]=0,"否","是")</f>
        <v>否</v>
      </c>
    </row>
    <row r="162" spans="1:15" hidden="1">
      <c r="A162" t="s">
        <v>75</v>
      </c>
      <c r="B162" t="s">
        <v>32</v>
      </c>
      <c r="C162">
        <v>7.34</v>
      </c>
      <c r="D162">
        <v>6.88</v>
      </c>
      <c r="E162" s="27">
        <v>106.78</v>
      </c>
      <c r="F162">
        <v>12.39</v>
      </c>
      <c r="G162">
        <v>0.14000000000000001</v>
      </c>
      <c r="H162">
        <v>12.53</v>
      </c>
      <c r="I162">
        <v>98.88</v>
      </c>
      <c r="J162">
        <v>58.63</v>
      </c>
      <c r="K162" s="9">
        <v>45295</v>
      </c>
      <c r="L162">
        <f xml:space="preserve"> (交易處理資料__3[[#This Row],[售出工時]] * 60) / 5</f>
        <v>88.08</v>
      </c>
      <c r="M162" t="str">
        <f>VLOOKUP(交易處理資料__3[[#This Row],[人員代號]],團隊分組!$B$1:$C$52,2,FALSE)</f>
        <v>快速保養團隊B</v>
      </c>
      <c r="N162">
        <f>IF(交易處理資料__3[[#This Row],[上班時間]]=0,0,交易處理資料__3[[#This Row],[售出工時]]/交易處理資料__3[[#This Row],[上班時間]])</f>
        <v>0.58579409417398243</v>
      </c>
      <c r="O162" s="31" t="str">
        <f>IF(交易處理資料__3[[#This Row],[上班時間]]=0,"否","是")</f>
        <v>是</v>
      </c>
    </row>
    <row r="163" spans="1:15">
      <c r="A163" t="s">
        <v>75</v>
      </c>
      <c r="B163" t="s">
        <v>33</v>
      </c>
      <c r="C163">
        <v>0</v>
      </c>
      <c r="D163">
        <v>0</v>
      </c>
      <c r="E163" s="27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s="9">
        <v>45295</v>
      </c>
      <c r="L163">
        <f xml:space="preserve"> (交易處理資料__3[[#This Row],[售出工時]] * 60) / 5</f>
        <v>0</v>
      </c>
      <c r="M163" t="str">
        <f>VLOOKUP(交易處理資料__3[[#This Row],[人員代號]],團隊分組!$B$1:$C$52,2,FALSE)</f>
        <v>快速保養團隊B</v>
      </c>
      <c r="N163">
        <f>IF(交易處理資料__3[[#This Row],[上班時間]]=0,0,交易處理資料__3[[#This Row],[售出工時]]/交易處理資料__3[[#This Row],[上班時間]])</f>
        <v>0</v>
      </c>
      <c r="O163" s="31" t="str">
        <f>IF(交易處理資料__3[[#This Row],[上班時間]]=0,"否","是")</f>
        <v>否</v>
      </c>
    </row>
    <row r="164" spans="1:15" hidden="1">
      <c r="A164" t="s">
        <v>75</v>
      </c>
      <c r="B164" t="s">
        <v>35</v>
      </c>
      <c r="C164">
        <v>0.83</v>
      </c>
      <c r="D164">
        <v>2.0499999999999998</v>
      </c>
      <c r="E164" s="27">
        <v>40.65</v>
      </c>
      <c r="F164">
        <v>4.95</v>
      </c>
      <c r="G164">
        <v>4.9800000000000004</v>
      </c>
      <c r="H164">
        <v>9.93</v>
      </c>
      <c r="I164">
        <v>49.85</v>
      </c>
      <c r="J164">
        <v>8.39</v>
      </c>
      <c r="K164" s="9">
        <v>45295</v>
      </c>
      <c r="L164">
        <f xml:space="preserve"> (交易處理資料__3[[#This Row],[售出工時]] * 60) / 5</f>
        <v>9.9599999999999991</v>
      </c>
      <c r="M164" t="str">
        <f>VLOOKUP(交易處理資料__3[[#This Row],[人員代號]],團隊分組!$B$1:$C$52,2,FALSE)</f>
        <v>查修團隊B</v>
      </c>
      <c r="N164">
        <f>IF(交易處理資料__3[[#This Row],[上班時間]]=0,0,交易處理資料__3[[#This Row],[售出工時]]/交易處理資料__3[[#This Row],[上班時間]])</f>
        <v>8.3585095669687817E-2</v>
      </c>
      <c r="O164" s="31" t="str">
        <f>IF(交易處理資料__3[[#This Row],[上班時間]]=0,"否","是")</f>
        <v>是</v>
      </c>
    </row>
    <row r="165" spans="1:15" hidden="1">
      <c r="A165" t="s">
        <v>75</v>
      </c>
      <c r="B165" t="s">
        <v>36</v>
      </c>
      <c r="C165">
        <v>0</v>
      </c>
      <c r="D165">
        <v>0</v>
      </c>
      <c r="E165" s="27">
        <v>0</v>
      </c>
      <c r="F165">
        <v>8.86</v>
      </c>
      <c r="G165">
        <v>0.56999999999999995</v>
      </c>
      <c r="H165">
        <v>9.43</v>
      </c>
      <c r="I165">
        <v>93.96</v>
      </c>
      <c r="J165">
        <v>0</v>
      </c>
      <c r="K165" s="9">
        <v>45295</v>
      </c>
      <c r="L165">
        <f xml:space="preserve"> (交易處理資料__3[[#This Row],[售出工時]] * 60) / 5</f>
        <v>0</v>
      </c>
      <c r="M165" t="str">
        <f>VLOOKUP(交易處理資料__3[[#This Row],[人員代號]],團隊分組!$B$1:$C$52,2,FALSE)</f>
        <v>查修團隊B</v>
      </c>
      <c r="N165">
        <f>IF(交易處理資料__3[[#This Row],[上班時間]]=0,0,交易處理資料__3[[#This Row],[售出工時]]/交易處理資料__3[[#This Row],[上班時間]])</f>
        <v>0</v>
      </c>
      <c r="O165" s="31" t="str">
        <f>IF(交易處理資料__3[[#This Row],[上班時間]]=0,"否","是")</f>
        <v>是</v>
      </c>
    </row>
    <row r="166" spans="1:15" hidden="1">
      <c r="A166" t="s">
        <v>75</v>
      </c>
      <c r="B166" t="s">
        <v>37</v>
      </c>
      <c r="C166">
        <v>5.7</v>
      </c>
      <c r="D166">
        <v>7.37</v>
      </c>
      <c r="E166" s="27">
        <v>77.34</v>
      </c>
      <c r="F166">
        <v>6.54</v>
      </c>
      <c r="G166">
        <v>1.48</v>
      </c>
      <c r="H166">
        <v>8.02</v>
      </c>
      <c r="I166">
        <v>81.55</v>
      </c>
      <c r="J166">
        <v>71.069999999999993</v>
      </c>
      <c r="K166" s="9">
        <v>45295</v>
      </c>
      <c r="L166">
        <f xml:space="preserve"> (交易處理資料__3[[#This Row],[售出工時]] * 60) / 5</f>
        <v>68.400000000000006</v>
      </c>
      <c r="M166" t="str">
        <f>VLOOKUP(交易處理資料__3[[#This Row],[人員代號]],團隊分組!$B$1:$C$52,2,FALSE)</f>
        <v>查修團隊A</v>
      </c>
      <c r="N166">
        <f>IF(交易處理資料__3[[#This Row],[上班時間]]=0,0,交易處理資料__3[[#This Row],[售出工時]]/交易處理資料__3[[#This Row],[上班時間]])</f>
        <v>0.71072319201995016</v>
      </c>
      <c r="O166" s="31" t="str">
        <f>IF(交易處理資料__3[[#This Row],[上班時間]]=0,"否","是")</f>
        <v>是</v>
      </c>
    </row>
    <row r="167" spans="1:15" hidden="1">
      <c r="A167" t="s">
        <v>75</v>
      </c>
      <c r="B167" t="s">
        <v>39</v>
      </c>
      <c r="C167">
        <v>0</v>
      </c>
      <c r="D167">
        <v>0</v>
      </c>
      <c r="E167" s="2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s="9">
        <v>45295</v>
      </c>
      <c r="L167">
        <f xml:space="preserve"> (交易處理資料__3[[#This Row],[售出工時]] * 60) / 5</f>
        <v>0</v>
      </c>
      <c r="M167" t="str">
        <f>VLOOKUP(交易處理資料__3[[#This Row],[人員代號]],團隊分組!$B$1:$C$52,2,FALSE)</f>
        <v>查修團隊A</v>
      </c>
      <c r="N167">
        <f>IF(交易處理資料__3[[#This Row],[上班時間]]=0,0,交易處理資料__3[[#This Row],[售出工時]]/交易處理資料__3[[#This Row],[上班時間]])</f>
        <v>0</v>
      </c>
      <c r="O167" s="31" t="str">
        <f>IF(交易處理資料__3[[#This Row],[上班時間]]=0,"否","是")</f>
        <v>否</v>
      </c>
    </row>
    <row r="168" spans="1:15" hidden="1">
      <c r="A168" t="s">
        <v>75</v>
      </c>
      <c r="B168" t="s">
        <v>40</v>
      </c>
      <c r="C168">
        <v>4.41</v>
      </c>
      <c r="D168">
        <v>1.08</v>
      </c>
      <c r="E168" s="27">
        <v>408.95</v>
      </c>
      <c r="F168">
        <v>7.38</v>
      </c>
      <c r="G168">
        <v>0.78</v>
      </c>
      <c r="H168">
        <v>8.16</v>
      </c>
      <c r="I168">
        <v>90.44</v>
      </c>
      <c r="J168">
        <v>54.13</v>
      </c>
      <c r="K168" s="9">
        <v>45295</v>
      </c>
      <c r="L168">
        <f xml:space="preserve"> (交易處理資料__3[[#This Row],[售出工時]] * 60) / 5</f>
        <v>52.92</v>
      </c>
      <c r="M168" t="str">
        <f>VLOOKUP(交易處理資料__3[[#This Row],[人員代號]],團隊分組!$B$1:$C$52,2,FALSE)</f>
        <v>查修團隊A</v>
      </c>
      <c r="N168">
        <f>IF(交易處理資料__3[[#This Row],[上班時間]]=0,0,交易處理資料__3[[#This Row],[售出工時]]/交易處理資料__3[[#This Row],[上班時間]])</f>
        <v>0.5404411764705882</v>
      </c>
      <c r="O168" s="31" t="str">
        <f>IF(交易處理資料__3[[#This Row],[上班時間]]=0,"否","是")</f>
        <v>是</v>
      </c>
    </row>
    <row r="169" spans="1:15" hidden="1">
      <c r="A169" t="s">
        <v>75</v>
      </c>
      <c r="B169" t="s">
        <v>41</v>
      </c>
      <c r="C169">
        <v>22.33</v>
      </c>
      <c r="D169">
        <v>8.75</v>
      </c>
      <c r="E169" s="27">
        <v>255.23</v>
      </c>
      <c r="F169">
        <v>11.34</v>
      </c>
      <c r="G169">
        <v>0.4</v>
      </c>
      <c r="H169">
        <v>11.74</v>
      </c>
      <c r="I169">
        <v>96.59</v>
      </c>
      <c r="J169">
        <v>190.23</v>
      </c>
      <c r="K169" s="9">
        <v>45295</v>
      </c>
      <c r="L169">
        <f xml:space="preserve"> (交易處理資料__3[[#This Row],[售出工時]] * 60) / 5</f>
        <v>267.95999999999998</v>
      </c>
      <c r="M169" t="str">
        <f>VLOOKUP(交易處理資料__3[[#This Row],[人員代號]],團隊分組!$B$1:$C$52,2,FALSE)</f>
        <v>快速保養團隊A</v>
      </c>
      <c r="N169">
        <f>IF(交易處理資料__3[[#This Row],[上班時間]]=0,0,交易處理資料__3[[#This Row],[售出工時]]/交易處理資料__3[[#This Row],[上班時間]])</f>
        <v>1.9020442930153321</v>
      </c>
      <c r="O169" s="31" t="str">
        <f>IF(交易處理資料__3[[#This Row],[上班時間]]=0,"否","是")</f>
        <v>是</v>
      </c>
    </row>
    <row r="170" spans="1:15" hidden="1">
      <c r="A170" t="s">
        <v>75</v>
      </c>
      <c r="B170" t="s">
        <v>42</v>
      </c>
      <c r="C170">
        <v>13.25</v>
      </c>
      <c r="D170">
        <v>7.21</v>
      </c>
      <c r="E170" s="27">
        <v>183.77</v>
      </c>
      <c r="F170">
        <v>7.92</v>
      </c>
      <c r="G170">
        <v>0.27</v>
      </c>
      <c r="H170">
        <v>8.19</v>
      </c>
      <c r="I170">
        <v>96.7</v>
      </c>
      <c r="J170">
        <v>161.78</v>
      </c>
      <c r="K170" s="9">
        <v>45295</v>
      </c>
      <c r="L170">
        <f xml:space="preserve"> (交易處理資料__3[[#This Row],[售出工時]] * 60) / 5</f>
        <v>159</v>
      </c>
      <c r="M170" t="str">
        <f>VLOOKUP(交易處理資料__3[[#This Row],[人員代號]],團隊分組!$B$1:$C$52,2,FALSE)</f>
        <v>快速保養團隊A</v>
      </c>
      <c r="N170">
        <f>IF(交易處理資料__3[[#This Row],[上班時間]]=0,0,交易處理資料__3[[#This Row],[售出工時]]/交易處理資料__3[[#This Row],[上班時間]])</f>
        <v>1.6178266178266179</v>
      </c>
      <c r="O170" s="31" t="str">
        <f>IF(交易處理資料__3[[#This Row],[上班時間]]=0,"否","是")</f>
        <v>是</v>
      </c>
    </row>
    <row r="171" spans="1:15" hidden="1">
      <c r="A171" t="s">
        <v>75</v>
      </c>
      <c r="B171" t="s">
        <v>46</v>
      </c>
      <c r="C171">
        <v>5</v>
      </c>
      <c r="D171">
        <v>3.74</v>
      </c>
      <c r="E171" s="27">
        <v>133.68</v>
      </c>
      <c r="F171">
        <v>7.26</v>
      </c>
      <c r="G171">
        <v>2.69</v>
      </c>
      <c r="H171">
        <v>9.9499999999999993</v>
      </c>
      <c r="I171">
        <v>72.959999999999994</v>
      </c>
      <c r="J171">
        <v>50.25</v>
      </c>
      <c r="K171" s="9">
        <v>45295</v>
      </c>
      <c r="L171">
        <f xml:space="preserve"> (交易處理資料__3[[#This Row],[售出工時]] * 60) / 5</f>
        <v>60</v>
      </c>
      <c r="M171" t="str">
        <f>VLOOKUP(交易處理資料__3[[#This Row],[人員代號]],團隊分組!$B$1:$C$52,2,FALSE)</f>
        <v>查修團隊B</v>
      </c>
      <c r="N171">
        <f>IF(交易處理資料__3[[#This Row],[上班時間]]=0,0,交易處理資料__3[[#This Row],[售出工時]]/交易處理資料__3[[#This Row],[上班時間]])</f>
        <v>0.50251256281407042</v>
      </c>
      <c r="O171" s="31" t="str">
        <f>IF(交易處理資料__3[[#This Row],[上班時間]]=0,"否","是")</f>
        <v>是</v>
      </c>
    </row>
    <row r="172" spans="1:15" hidden="1">
      <c r="A172" t="s">
        <v>75</v>
      </c>
      <c r="B172" t="s">
        <v>47</v>
      </c>
      <c r="C172">
        <v>2</v>
      </c>
      <c r="D172">
        <v>4.07</v>
      </c>
      <c r="E172" s="27">
        <v>49.14</v>
      </c>
      <c r="F172">
        <v>3.69</v>
      </c>
      <c r="G172">
        <v>4.37</v>
      </c>
      <c r="H172">
        <v>8.06</v>
      </c>
      <c r="I172">
        <v>45.78</v>
      </c>
      <c r="J172">
        <v>24.81</v>
      </c>
      <c r="K172" s="9">
        <v>45295</v>
      </c>
      <c r="L172">
        <f xml:space="preserve"> (交易處理資料__3[[#This Row],[售出工時]] * 60) / 5</f>
        <v>24</v>
      </c>
      <c r="M172" t="str">
        <f>VLOOKUP(交易處理資料__3[[#This Row],[人員代號]],團隊分組!$B$1:$C$52,2,FALSE)</f>
        <v>查修團隊B</v>
      </c>
      <c r="N172">
        <f>IF(交易處理資料__3[[#This Row],[上班時間]]=0,0,交易處理資料__3[[#This Row],[售出工時]]/交易處理資料__3[[#This Row],[上班時間]])</f>
        <v>0.24813895781637715</v>
      </c>
      <c r="O172" s="31" t="str">
        <f>IF(交易處理資料__3[[#This Row],[上班時間]]=0,"否","是")</f>
        <v>是</v>
      </c>
    </row>
    <row r="173" spans="1:15" hidden="1">
      <c r="A173" t="s">
        <v>75</v>
      </c>
      <c r="B173" t="s">
        <v>48</v>
      </c>
      <c r="C173">
        <v>4.5</v>
      </c>
      <c r="D173">
        <v>5.18</v>
      </c>
      <c r="E173" s="27">
        <v>86.87</v>
      </c>
      <c r="F173">
        <v>5.38</v>
      </c>
      <c r="G173">
        <v>2.76</v>
      </c>
      <c r="H173">
        <v>8.14</v>
      </c>
      <c r="I173">
        <v>66.09</v>
      </c>
      <c r="J173">
        <v>55.28</v>
      </c>
      <c r="K173" s="9">
        <v>45295</v>
      </c>
      <c r="L173">
        <f xml:space="preserve"> (交易處理資料__3[[#This Row],[售出工時]] * 60) / 5</f>
        <v>54</v>
      </c>
      <c r="M173" t="str">
        <f>VLOOKUP(交易處理資料__3[[#This Row],[人員代號]],團隊分組!$B$1:$C$52,2,FALSE)</f>
        <v>查修團隊A</v>
      </c>
      <c r="N173">
        <f>IF(交易處理資料__3[[#This Row],[上班時間]]=0,0,交易處理資料__3[[#This Row],[售出工時]]/交易處理資料__3[[#This Row],[上班時間]])</f>
        <v>0.55282555282555279</v>
      </c>
      <c r="O173" s="31" t="str">
        <f>IF(交易處理資料__3[[#This Row],[上班時間]]=0,"否","是")</f>
        <v>是</v>
      </c>
    </row>
    <row r="174" spans="1:15" hidden="1">
      <c r="A174" t="s">
        <v>75</v>
      </c>
      <c r="B174" t="s">
        <v>49</v>
      </c>
      <c r="C174">
        <v>2.21</v>
      </c>
      <c r="D174">
        <v>2.69</v>
      </c>
      <c r="E174" s="27">
        <v>82.4</v>
      </c>
      <c r="F174">
        <v>8</v>
      </c>
      <c r="G174">
        <v>0.22</v>
      </c>
      <c r="H174">
        <v>8.2200000000000006</v>
      </c>
      <c r="I174">
        <v>97.32</v>
      </c>
      <c r="J174">
        <v>26.97</v>
      </c>
      <c r="K174" s="9">
        <v>45295</v>
      </c>
      <c r="L174">
        <f xml:space="preserve"> (交易處理資料__3[[#This Row],[售出工時]] * 60) / 5</f>
        <v>26.52</v>
      </c>
      <c r="M174" t="str">
        <f>VLOOKUP(交易處理資料__3[[#This Row],[人員代號]],團隊分組!$B$1:$C$52,2,FALSE)</f>
        <v>查修團隊A</v>
      </c>
      <c r="N174">
        <f>IF(交易處理資料__3[[#This Row],[上班時間]]=0,0,交易處理資料__3[[#This Row],[售出工時]]/交易處理資料__3[[#This Row],[上班時間]])</f>
        <v>0.26885644768856443</v>
      </c>
      <c r="O174" s="31" t="str">
        <f>IF(交易處理資料__3[[#This Row],[上班時間]]=0,"否","是")</f>
        <v>是</v>
      </c>
    </row>
    <row r="175" spans="1:15" hidden="1">
      <c r="A175" t="s">
        <v>75</v>
      </c>
      <c r="B175" t="s">
        <v>51</v>
      </c>
      <c r="C175">
        <v>0</v>
      </c>
      <c r="D175">
        <v>0</v>
      </c>
      <c r="E175" s="27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s="9">
        <v>45295</v>
      </c>
      <c r="L175">
        <f xml:space="preserve"> (交易處理資料__3[[#This Row],[售出工時]] * 60) / 5</f>
        <v>0</v>
      </c>
      <c r="M175" t="str">
        <f>VLOOKUP(交易處理資料__3[[#This Row],[人員代號]],團隊分組!$B$1:$C$52,2,FALSE)</f>
        <v>無效數據</v>
      </c>
      <c r="N175">
        <f>IF(交易處理資料__3[[#This Row],[上班時間]]=0,0,交易處理資料__3[[#This Row],[售出工時]]/交易處理資料__3[[#This Row],[上班時間]])</f>
        <v>0</v>
      </c>
      <c r="O175" s="31" t="str">
        <f>IF(交易處理資料__3[[#This Row],[上班時間]]=0,"否","是")</f>
        <v>否</v>
      </c>
    </row>
    <row r="176" spans="1:15" hidden="1">
      <c r="A176" t="s">
        <v>75</v>
      </c>
      <c r="B176" t="s">
        <v>52</v>
      </c>
      <c r="C176">
        <v>0</v>
      </c>
      <c r="D176">
        <v>0</v>
      </c>
      <c r="E176" s="27">
        <v>0</v>
      </c>
      <c r="F176">
        <v>7.63</v>
      </c>
      <c r="G176">
        <v>0.28000000000000003</v>
      </c>
      <c r="H176">
        <v>7.91</v>
      </c>
      <c r="I176">
        <v>96.46</v>
      </c>
      <c r="J176">
        <v>0</v>
      </c>
      <c r="K176" s="9">
        <v>45295</v>
      </c>
      <c r="L176">
        <f xml:space="preserve"> (交易處理資料__3[[#This Row],[售出工時]] * 60) / 5</f>
        <v>0</v>
      </c>
      <c r="M176" t="str">
        <f>VLOOKUP(交易處理資料__3[[#This Row],[人員代號]],團隊分組!$B$1:$C$52,2,FALSE)</f>
        <v>查修團隊B</v>
      </c>
      <c r="N176">
        <f>IF(交易處理資料__3[[#This Row],[上班時間]]=0,0,交易處理資料__3[[#This Row],[售出工時]]/交易處理資料__3[[#This Row],[上班時間]])</f>
        <v>0</v>
      </c>
      <c r="O176" s="31" t="str">
        <f>IF(交易處理資料__3[[#This Row],[上班時間]]=0,"否","是")</f>
        <v>是</v>
      </c>
    </row>
    <row r="177" spans="1:15" hidden="1">
      <c r="A177" t="s">
        <v>75</v>
      </c>
      <c r="B177" t="s">
        <v>53</v>
      </c>
      <c r="C177">
        <v>4.3</v>
      </c>
      <c r="D177">
        <v>7.91</v>
      </c>
      <c r="E177" s="27">
        <v>54.4</v>
      </c>
      <c r="F177">
        <v>9.5500000000000007</v>
      </c>
      <c r="G177">
        <v>0.55000000000000004</v>
      </c>
      <c r="H177">
        <v>10.1</v>
      </c>
      <c r="I177">
        <v>94.55</v>
      </c>
      <c r="J177">
        <v>42.61</v>
      </c>
      <c r="K177" s="9">
        <v>45295</v>
      </c>
      <c r="L177">
        <f xml:space="preserve"> (交易處理資料__3[[#This Row],[售出工時]] * 60) / 5</f>
        <v>51.6</v>
      </c>
      <c r="M177" t="str">
        <f>VLOOKUP(交易處理資料__3[[#This Row],[人員代號]],團隊分組!$B$1:$C$52,2,FALSE)</f>
        <v>查修團隊A</v>
      </c>
      <c r="N177">
        <f>IF(交易處理資料__3[[#This Row],[上班時間]]=0,0,交易處理資料__3[[#This Row],[售出工時]]/交易處理資料__3[[#This Row],[上班時間]])</f>
        <v>0.42574257425742573</v>
      </c>
      <c r="O177" s="31" t="str">
        <f>IF(交易處理資料__3[[#This Row],[上班時間]]=0,"否","是")</f>
        <v>是</v>
      </c>
    </row>
    <row r="178" spans="1:15" hidden="1">
      <c r="A178" s="10" t="s">
        <v>73</v>
      </c>
      <c r="B178" t="s">
        <v>1</v>
      </c>
      <c r="C178">
        <v>0</v>
      </c>
      <c r="D178">
        <v>0</v>
      </c>
      <c r="E178" s="27">
        <v>0</v>
      </c>
      <c r="F178">
        <v>7.28</v>
      </c>
      <c r="G178">
        <v>0.77</v>
      </c>
      <c r="H178">
        <v>8.0500000000000007</v>
      </c>
      <c r="I178">
        <v>90.43</v>
      </c>
      <c r="J178">
        <v>0</v>
      </c>
      <c r="K178" s="9">
        <v>45296</v>
      </c>
      <c r="L178">
        <f xml:space="preserve"> (交易處理資料__3[[#This Row],[售出工時]] * 60) / 5</f>
        <v>0</v>
      </c>
      <c r="M178" t="str">
        <f>VLOOKUP(交易處理資料__3[[#This Row],[人員代號]],團隊分組!$B$1:$C$52,2,FALSE)</f>
        <v>噴漆維修組</v>
      </c>
      <c r="N178">
        <f>IF(交易處理資料__3[[#This Row],[上班時間]]=0,0,交易處理資料__3[[#This Row],[售出工時]]/交易處理資料__3[[#This Row],[上班時間]])</f>
        <v>0</v>
      </c>
      <c r="O178" s="31" t="str">
        <f>IF(交易處理資料__3[[#This Row],[上班時間]]=0,"否","是")</f>
        <v>是</v>
      </c>
    </row>
    <row r="179" spans="1:15" hidden="1">
      <c r="A179" s="10" t="s">
        <v>73</v>
      </c>
      <c r="B179" t="s">
        <v>2</v>
      </c>
      <c r="C179">
        <v>0</v>
      </c>
      <c r="D179">
        <v>0</v>
      </c>
      <c r="E179" s="27">
        <v>0</v>
      </c>
      <c r="F179">
        <v>7.49</v>
      </c>
      <c r="G179">
        <v>0.55000000000000004</v>
      </c>
      <c r="H179">
        <v>8.0399999999999991</v>
      </c>
      <c r="I179">
        <v>93.16</v>
      </c>
      <c r="J179">
        <v>0</v>
      </c>
      <c r="K179" s="9">
        <v>45296</v>
      </c>
      <c r="L179">
        <f xml:space="preserve"> (交易處理資料__3[[#This Row],[售出工時]] * 60) / 5</f>
        <v>0</v>
      </c>
      <c r="M179" t="str">
        <f>VLOOKUP(交易處理資料__3[[#This Row],[人員代號]],團隊分組!$B$1:$C$52,2,FALSE)</f>
        <v>噴漆維修組</v>
      </c>
      <c r="N179">
        <f>IF(交易處理資料__3[[#This Row],[上班時間]]=0,0,交易處理資料__3[[#This Row],[售出工時]]/交易處理資料__3[[#This Row],[上班時間]])</f>
        <v>0</v>
      </c>
      <c r="O179" s="31" t="str">
        <f>IF(交易處理資料__3[[#This Row],[上班時間]]=0,"否","是")</f>
        <v>是</v>
      </c>
    </row>
    <row r="180" spans="1:15" hidden="1">
      <c r="A180" s="10" t="s">
        <v>73</v>
      </c>
      <c r="B180" t="s">
        <v>3</v>
      </c>
      <c r="C180">
        <v>0</v>
      </c>
      <c r="D180">
        <v>0</v>
      </c>
      <c r="E180" s="27">
        <v>0</v>
      </c>
      <c r="F180">
        <v>7.47</v>
      </c>
      <c r="G180">
        <v>0.57999999999999996</v>
      </c>
      <c r="H180">
        <v>8.0500000000000007</v>
      </c>
      <c r="I180">
        <v>92.8</v>
      </c>
      <c r="J180">
        <v>0</v>
      </c>
      <c r="K180" s="9">
        <v>45296</v>
      </c>
      <c r="L180">
        <f xml:space="preserve"> (交易處理資料__3[[#This Row],[售出工時]] * 60) / 5</f>
        <v>0</v>
      </c>
      <c r="M180" t="str">
        <f>VLOOKUP(交易處理資料__3[[#This Row],[人員代號]],團隊分組!$B$1:$C$52,2,FALSE)</f>
        <v>噴漆維修組</v>
      </c>
      <c r="N180">
        <f>IF(交易處理資料__3[[#This Row],[上班時間]]=0,0,交易處理資料__3[[#This Row],[售出工時]]/交易處理資料__3[[#This Row],[上班時間]])</f>
        <v>0</v>
      </c>
      <c r="O180" s="31" t="str">
        <f>IF(交易處理資料__3[[#This Row],[上班時間]]=0,"否","是")</f>
        <v>是</v>
      </c>
    </row>
    <row r="181" spans="1:15" hidden="1">
      <c r="A181" s="10" t="s">
        <v>73</v>
      </c>
      <c r="B181" t="s">
        <v>4</v>
      </c>
      <c r="C181">
        <v>1.78</v>
      </c>
      <c r="D181">
        <v>3.7</v>
      </c>
      <c r="E181" s="27">
        <v>48.1</v>
      </c>
      <c r="F181">
        <v>7.26</v>
      </c>
      <c r="G181">
        <v>0.77</v>
      </c>
      <c r="H181">
        <v>8.0299999999999994</v>
      </c>
      <c r="I181">
        <v>90.41</v>
      </c>
      <c r="J181">
        <v>22.17</v>
      </c>
      <c r="K181" s="9">
        <v>45296</v>
      </c>
      <c r="L181">
        <f xml:space="preserve"> (交易處理資料__3[[#This Row],[售出工時]] * 60) / 5</f>
        <v>21.36</v>
      </c>
      <c r="M181" t="str">
        <f>VLOOKUP(交易處理資料__3[[#This Row],[人員代號]],團隊分組!$B$1:$C$52,2,FALSE)</f>
        <v>噴漆維修組</v>
      </c>
      <c r="N181">
        <f>IF(交易處理資料__3[[#This Row],[上班時間]]=0,0,交易處理資料__3[[#This Row],[售出工時]]/交易處理資料__3[[#This Row],[上班時間]])</f>
        <v>0.22166874221668745</v>
      </c>
      <c r="O181" s="31" t="str">
        <f>IF(交易處理資料__3[[#This Row],[上班時間]]=0,"否","是")</f>
        <v>是</v>
      </c>
    </row>
    <row r="182" spans="1:15" hidden="1">
      <c r="A182" s="10" t="s">
        <v>73</v>
      </c>
      <c r="B182" t="s">
        <v>5</v>
      </c>
      <c r="C182">
        <v>3.71</v>
      </c>
      <c r="D182">
        <v>6.22</v>
      </c>
      <c r="E182" s="27">
        <v>59.64</v>
      </c>
      <c r="F182">
        <v>7.16</v>
      </c>
      <c r="G182">
        <v>0.85</v>
      </c>
      <c r="H182">
        <v>8.01</v>
      </c>
      <c r="I182">
        <v>89.39</v>
      </c>
      <c r="J182">
        <v>46.32</v>
      </c>
      <c r="K182" s="9">
        <v>45296</v>
      </c>
      <c r="L182">
        <f xml:space="preserve"> (交易處理資料__3[[#This Row],[售出工時]] * 60) / 5</f>
        <v>44.519999999999996</v>
      </c>
      <c r="M182" t="str">
        <f>VLOOKUP(交易處理資料__3[[#This Row],[人員代號]],團隊分組!$B$1:$C$52,2,FALSE)</f>
        <v>噴漆維修組</v>
      </c>
      <c r="N182">
        <f>IF(交易處理資料__3[[#This Row],[上班時間]]=0,0,交易處理資料__3[[#This Row],[售出工時]]/交易處理資料__3[[#This Row],[上班時間]])</f>
        <v>0.46317103620474409</v>
      </c>
      <c r="O182" s="31" t="str">
        <f>IF(交易處理資料__3[[#This Row],[上班時間]]=0,"否","是")</f>
        <v>是</v>
      </c>
    </row>
    <row r="183" spans="1:15" hidden="1">
      <c r="A183" s="10" t="s">
        <v>73</v>
      </c>
      <c r="B183" t="s">
        <v>6</v>
      </c>
      <c r="C183">
        <v>0</v>
      </c>
      <c r="D183">
        <v>0</v>
      </c>
      <c r="E183" s="27">
        <v>0</v>
      </c>
      <c r="F183">
        <v>7.49</v>
      </c>
      <c r="G183">
        <v>0.56000000000000005</v>
      </c>
      <c r="H183">
        <v>8.0500000000000007</v>
      </c>
      <c r="I183">
        <v>93.04</v>
      </c>
      <c r="J183">
        <v>0</v>
      </c>
      <c r="K183" s="9">
        <v>45296</v>
      </c>
      <c r="L183">
        <f xml:space="preserve"> (交易處理資料__3[[#This Row],[售出工時]] * 60) / 5</f>
        <v>0</v>
      </c>
      <c r="M183" t="str">
        <f>VLOOKUP(交易處理資料__3[[#This Row],[人員代號]],團隊分組!$B$1:$C$52,2,FALSE)</f>
        <v>噴漆維修組</v>
      </c>
      <c r="N183">
        <f>IF(交易處理資料__3[[#This Row],[上班時間]]=0,0,交易處理資料__3[[#This Row],[售出工時]]/交易處理資料__3[[#This Row],[上班時間]])</f>
        <v>0</v>
      </c>
      <c r="O183" s="31" t="str">
        <f>IF(交易處理資料__3[[#This Row],[上班時間]]=0,"否","是")</f>
        <v>是</v>
      </c>
    </row>
    <row r="184" spans="1:15" hidden="1">
      <c r="A184" s="10" t="s">
        <v>73</v>
      </c>
      <c r="B184" t="s">
        <v>7</v>
      </c>
      <c r="C184">
        <v>3.71</v>
      </c>
      <c r="D184">
        <v>6.22</v>
      </c>
      <c r="E184" s="27">
        <v>59.64</v>
      </c>
      <c r="F184">
        <v>7.16</v>
      </c>
      <c r="G184">
        <v>0.82</v>
      </c>
      <c r="H184">
        <v>7.98</v>
      </c>
      <c r="I184">
        <v>89.72</v>
      </c>
      <c r="J184">
        <v>46.49</v>
      </c>
      <c r="K184" s="9">
        <v>45296</v>
      </c>
      <c r="L184">
        <f xml:space="preserve"> (交易處理資料__3[[#This Row],[售出工時]] * 60) / 5</f>
        <v>44.519999999999996</v>
      </c>
      <c r="M184" t="str">
        <f>VLOOKUP(交易處理資料__3[[#This Row],[人員代號]],團隊分組!$B$1:$C$52,2,FALSE)</f>
        <v>噴漆維修組</v>
      </c>
      <c r="N184">
        <f>IF(交易處理資料__3[[#This Row],[上班時間]]=0,0,交易處理資料__3[[#This Row],[售出工時]]/交易處理資料__3[[#This Row],[上班時間]])</f>
        <v>0.46491228070175433</v>
      </c>
      <c r="O184" s="31" t="str">
        <f>IF(交易處理資料__3[[#This Row],[上班時間]]=0,"否","是")</f>
        <v>是</v>
      </c>
    </row>
    <row r="185" spans="1:15" hidden="1">
      <c r="A185" t="s">
        <v>74</v>
      </c>
      <c r="B185" t="s">
        <v>12</v>
      </c>
      <c r="C185">
        <v>0</v>
      </c>
      <c r="D185">
        <v>0</v>
      </c>
      <c r="E185" s="27">
        <v>0</v>
      </c>
      <c r="F185">
        <v>6.96</v>
      </c>
      <c r="G185">
        <v>1.1399999999999999</v>
      </c>
      <c r="H185">
        <v>8.1</v>
      </c>
      <c r="I185">
        <v>85.93</v>
      </c>
      <c r="J185">
        <v>0</v>
      </c>
      <c r="K185" s="9">
        <v>45296</v>
      </c>
      <c r="L185">
        <f xml:space="preserve"> (交易處理資料__3[[#This Row],[售出工時]] * 60) / 5</f>
        <v>0</v>
      </c>
      <c r="M185" t="str">
        <f>VLOOKUP(交易處理資料__3[[#This Row],[人員代號]],團隊分組!$B$1:$C$52,2,FALSE)</f>
        <v>鈑金維修組</v>
      </c>
      <c r="N185">
        <f>IF(交易處理資料__3[[#This Row],[上班時間]]=0,0,交易處理資料__3[[#This Row],[售出工時]]/交易處理資料__3[[#This Row],[上班時間]])</f>
        <v>0</v>
      </c>
      <c r="O185" s="31" t="str">
        <f>IF(交易處理資料__3[[#This Row],[上班時間]]=0,"否","是")</f>
        <v>是</v>
      </c>
    </row>
    <row r="186" spans="1:15" hidden="1">
      <c r="A186" t="s">
        <v>74</v>
      </c>
      <c r="B186" t="s">
        <v>13</v>
      </c>
      <c r="C186">
        <v>5.16</v>
      </c>
      <c r="D186">
        <v>3.35</v>
      </c>
      <c r="E186" s="27">
        <v>154.22</v>
      </c>
      <c r="F186">
        <v>6.49</v>
      </c>
      <c r="G186">
        <v>1.59</v>
      </c>
      <c r="H186">
        <v>8.08</v>
      </c>
      <c r="I186">
        <v>80.319999999999993</v>
      </c>
      <c r="J186">
        <v>63.94</v>
      </c>
      <c r="K186" s="9">
        <v>45296</v>
      </c>
      <c r="L186">
        <f xml:space="preserve"> (交易處理資料__3[[#This Row],[售出工時]] * 60) / 5</f>
        <v>61.92</v>
      </c>
      <c r="M186" t="str">
        <f>VLOOKUP(交易處理資料__3[[#This Row],[人員代號]],團隊分組!$B$1:$C$52,2,FALSE)</f>
        <v>鈑金維修組</v>
      </c>
      <c r="N186">
        <f>IF(交易處理資料__3[[#This Row],[上班時間]]=0,0,交易處理資料__3[[#This Row],[售出工時]]/交易處理資料__3[[#This Row],[上班時間]])</f>
        <v>0.63861386138613863</v>
      </c>
      <c r="O186" s="31" t="str">
        <f>IF(交易處理資料__3[[#This Row],[上班時間]]=0,"否","是")</f>
        <v>是</v>
      </c>
    </row>
    <row r="187" spans="1:15" hidden="1">
      <c r="A187" t="s">
        <v>74</v>
      </c>
      <c r="B187" t="s">
        <v>14</v>
      </c>
      <c r="C187">
        <v>0</v>
      </c>
      <c r="D187">
        <v>0</v>
      </c>
      <c r="E187" s="27">
        <v>0</v>
      </c>
      <c r="F187">
        <v>4.6500000000000004</v>
      </c>
      <c r="G187">
        <v>3.4</v>
      </c>
      <c r="H187">
        <v>8.0500000000000007</v>
      </c>
      <c r="I187">
        <v>57.76</v>
      </c>
      <c r="J187">
        <v>0</v>
      </c>
      <c r="K187" s="9">
        <v>45296</v>
      </c>
      <c r="L187">
        <f xml:space="preserve"> (交易處理資料__3[[#This Row],[售出工時]] * 60) / 5</f>
        <v>0</v>
      </c>
      <c r="M187" t="str">
        <f>VLOOKUP(交易處理資料__3[[#This Row],[人員代號]],團隊分組!$B$1:$C$52,2,FALSE)</f>
        <v>鈑金維修組</v>
      </c>
      <c r="N187">
        <f>IF(交易處理資料__3[[#This Row],[上班時間]]=0,0,交易處理資料__3[[#This Row],[售出工時]]/交易處理資料__3[[#This Row],[上班時間]])</f>
        <v>0</v>
      </c>
      <c r="O187" s="31" t="str">
        <f>IF(交易處理資料__3[[#This Row],[上班時間]]=0,"否","是")</f>
        <v>是</v>
      </c>
    </row>
    <row r="188" spans="1:15" hidden="1">
      <c r="A188" t="s">
        <v>74</v>
      </c>
      <c r="B188" t="s">
        <v>15</v>
      </c>
      <c r="C188">
        <v>0</v>
      </c>
      <c r="D188">
        <v>0</v>
      </c>
      <c r="E188" s="27">
        <v>0</v>
      </c>
      <c r="F188">
        <v>4.6900000000000004</v>
      </c>
      <c r="G188">
        <v>3.39</v>
      </c>
      <c r="H188">
        <v>8.08</v>
      </c>
      <c r="I188">
        <v>58.04</v>
      </c>
      <c r="J188">
        <v>0</v>
      </c>
      <c r="K188" s="9">
        <v>45296</v>
      </c>
      <c r="L188">
        <f xml:space="preserve"> (交易處理資料__3[[#This Row],[售出工時]] * 60) / 5</f>
        <v>0</v>
      </c>
      <c r="M188" t="str">
        <f>VLOOKUP(交易處理資料__3[[#This Row],[人員代號]],團隊分組!$B$1:$C$52,2,FALSE)</f>
        <v>鈑金維修組</v>
      </c>
      <c r="N188">
        <f>IF(交易處理資料__3[[#This Row],[上班時間]]=0,0,交易處理資料__3[[#This Row],[售出工時]]/交易處理資料__3[[#This Row],[上班時間]])</f>
        <v>0</v>
      </c>
      <c r="O188" s="31" t="str">
        <f>IF(交易處理資料__3[[#This Row],[上班時間]]=0,"否","是")</f>
        <v>是</v>
      </c>
    </row>
    <row r="189" spans="1:15" hidden="1">
      <c r="A189" t="s">
        <v>75</v>
      </c>
      <c r="B189" t="s">
        <v>19</v>
      </c>
      <c r="C189">
        <v>1.37</v>
      </c>
      <c r="D189">
        <v>1.83</v>
      </c>
      <c r="E189" s="27">
        <v>74.86</v>
      </c>
      <c r="F189">
        <v>6.41</v>
      </c>
      <c r="G189">
        <v>1.48</v>
      </c>
      <c r="H189">
        <v>7.89</v>
      </c>
      <c r="I189">
        <v>81.239999999999995</v>
      </c>
      <c r="J189">
        <v>17.36</v>
      </c>
      <c r="K189" s="9">
        <v>45296</v>
      </c>
      <c r="L189">
        <f xml:space="preserve"> (交易處理資料__3[[#This Row],[售出工時]] * 60) / 5</f>
        <v>16.440000000000001</v>
      </c>
      <c r="M189" t="str">
        <f>VLOOKUP(交易處理資料__3[[#This Row],[人員代號]],團隊分組!$B$1:$C$52,2,FALSE)</f>
        <v>查修團隊A</v>
      </c>
      <c r="N189">
        <f>IF(交易處理資料__3[[#This Row],[上班時間]]=0,0,交易處理資料__3[[#This Row],[售出工時]]/交易處理資料__3[[#This Row],[上班時間]])</f>
        <v>0.17363751584283907</v>
      </c>
      <c r="O189" s="31" t="str">
        <f>IF(交易處理資料__3[[#This Row],[上班時間]]=0,"否","是")</f>
        <v>是</v>
      </c>
    </row>
    <row r="190" spans="1:15" hidden="1">
      <c r="A190" t="s">
        <v>75</v>
      </c>
      <c r="B190" t="s">
        <v>20</v>
      </c>
      <c r="C190">
        <v>0.93</v>
      </c>
      <c r="D190">
        <v>2.0099999999999998</v>
      </c>
      <c r="E190" s="27">
        <v>46.6</v>
      </c>
      <c r="F190">
        <v>3.15</v>
      </c>
      <c r="G190">
        <v>5</v>
      </c>
      <c r="H190">
        <v>8.15</v>
      </c>
      <c r="I190">
        <v>38.65</v>
      </c>
      <c r="J190">
        <v>11.49</v>
      </c>
      <c r="K190" s="9">
        <v>45296</v>
      </c>
      <c r="L190">
        <f xml:space="preserve"> (交易處理資料__3[[#This Row],[售出工時]] * 60) / 5</f>
        <v>11.16</v>
      </c>
      <c r="M190" t="str">
        <f>VLOOKUP(交易處理資料__3[[#This Row],[人員代號]],團隊分組!$B$1:$C$52,2,FALSE)</f>
        <v>查修團隊B</v>
      </c>
      <c r="N190">
        <f>IF(交易處理資料__3[[#This Row],[上班時間]]=0,0,交易處理資料__3[[#This Row],[售出工時]]/交易處理資料__3[[#This Row],[上班時間]])</f>
        <v>0.11411042944785277</v>
      </c>
      <c r="O190" s="31" t="str">
        <f>IF(交易處理資料__3[[#This Row],[上班時間]]=0,"否","是")</f>
        <v>是</v>
      </c>
    </row>
    <row r="191" spans="1:15" hidden="1">
      <c r="A191" t="s">
        <v>75</v>
      </c>
      <c r="B191" t="s">
        <v>21</v>
      </c>
      <c r="C191">
        <v>2.91</v>
      </c>
      <c r="D191">
        <v>7.09</v>
      </c>
      <c r="E191" s="27">
        <v>41.13</v>
      </c>
      <c r="F191">
        <v>2.6</v>
      </c>
      <c r="G191">
        <v>5.55</v>
      </c>
      <c r="H191">
        <v>8.15</v>
      </c>
      <c r="I191">
        <v>31.9</v>
      </c>
      <c r="J191">
        <v>35.79</v>
      </c>
      <c r="K191" s="9">
        <v>45296</v>
      </c>
      <c r="L191">
        <f xml:space="preserve"> (交易處理資料__3[[#This Row],[售出工時]] * 60) / 5</f>
        <v>34.92</v>
      </c>
      <c r="M191" t="str">
        <f>VLOOKUP(交易處理資料__3[[#This Row],[人員代號]],團隊分組!$B$1:$C$52,2,FALSE)</f>
        <v>查修團隊B</v>
      </c>
      <c r="N191">
        <f>IF(交易處理資料__3[[#This Row],[上班時間]]=0,0,交易處理資料__3[[#This Row],[售出工時]]/交易處理資料__3[[#This Row],[上班時間]])</f>
        <v>0.35705521472392637</v>
      </c>
      <c r="O191" s="31" t="str">
        <f>IF(交易處理資料__3[[#This Row],[上班時間]]=0,"否","是")</f>
        <v>是</v>
      </c>
    </row>
    <row r="192" spans="1:15" hidden="1">
      <c r="A192" t="s">
        <v>75</v>
      </c>
      <c r="B192" t="s">
        <v>22</v>
      </c>
      <c r="C192">
        <v>0</v>
      </c>
      <c r="D192">
        <v>0</v>
      </c>
      <c r="E192" s="27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s="9">
        <v>45296</v>
      </c>
      <c r="L192">
        <f xml:space="preserve"> (交易處理資料__3[[#This Row],[售出工時]] * 60) / 5</f>
        <v>0</v>
      </c>
      <c r="M192" t="str">
        <f>VLOOKUP(交易處理資料__3[[#This Row],[人員代號]],團隊分組!$B$1:$C$52,2,FALSE)</f>
        <v>快速保養團隊A</v>
      </c>
      <c r="N192">
        <f>IF(交易處理資料__3[[#This Row],[上班時間]]=0,0,交易處理資料__3[[#This Row],[售出工時]]/交易處理資料__3[[#This Row],[上班時間]])</f>
        <v>0</v>
      </c>
      <c r="O192" s="31" t="str">
        <f>IF(交易處理資料__3[[#This Row],[上班時間]]=0,"否","是")</f>
        <v>否</v>
      </c>
    </row>
    <row r="193" spans="1:15" hidden="1">
      <c r="A193" t="s">
        <v>75</v>
      </c>
      <c r="B193" t="s">
        <v>23</v>
      </c>
      <c r="C193">
        <v>7.89</v>
      </c>
      <c r="D193">
        <v>4.9000000000000004</v>
      </c>
      <c r="E193" s="27">
        <v>161.08000000000001</v>
      </c>
      <c r="F193">
        <v>8.84</v>
      </c>
      <c r="G193">
        <v>1.82</v>
      </c>
      <c r="H193">
        <v>10.66</v>
      </c>
      <c r="I193">
        <v>82.93</v>
      </c>
      <c r="J193">
        <v>74.05</v>
      </c>
      <c r="K193" s="9">
        <v>45296</v>
      </c>
      <c r="L193">
        <f xml:space="preserve"> (交易處理資料__3[[#This Row],[售出工時]] * 60) / 5</f>
        <v>94.679999999999993</v>
      </c>
      <c r="M193" t="str">
        <f>VLOOKUP(交易處理資料__3[[#This Row],[人員代號]],團隊分組!$B$1:$C$52,2,FALSE)</f>
        <v>快速保養團隊B</v>
      </c>
      <c r="N193">
        <f>IF(交易處理資料__3[[#This Row],[上班時間]]=0,0,交易處理資料__3[[#This Row],[售出工時]]/交易處理資料__3[[#This Row],[上班時間]])</f>
        <v>0.74015009380863039</v>
      </c>
      <c r="O193" s="31" t="str">
        <f>IF(交易處理資料__3[[#This Row],[上班時間]]=0,"否","是")</f>
        <v>是</v>
      </c>
    </row>
    <row r="194" spans="1:15" hidden="1">
      <c r="A194" t="s">
        <v>75</v>
      </c>
      <c r="B194" t="s">
        <v>25</v>
      </c>
      <c r="C194">
        <v>1</v>
      </c>
      <c r="D194">
        <v>0.79</v>
      </c>
      <c r="E194" s="27">
        <v>126.58</v>
      </c>
      <c r="F194">
        <v>8.56</v>
      </c>
      <c r="G194">
        <v>1.23</v>
      </c>
      <c r="H194">
        <v>9.7899999999999991</v>
      </c>
      <c r="I194">
        <v>87.44</v>
      </c>
      <c r="J194">
        <v>10.210000000000001</v>
      </c>
      <c r="K194" s="9">
        <v>45296</v>
      </c>
      <c r="L194">
        <f xml:space="preserve"> (交易處理資料__3[[#This Row],[售出工時]] * 60) / 5</f>
        <v>12</v>
      </c>
      <c r="M194" t="str">
        <f>VLOOKUP(交易處理資料__3[[#This Row],[人員代號]],團隊分組!$B$1:$C$52,2,FALSE)</f>
        <v>查修團隊A</v>
      </c>
      <c r="N194">
        <f>IF(交易處理資料__3[[#This Row],[上班時間]]=0,0,交易處理資料__3[[#This Row],[售出工時]]/交易處理資料__3[[#This Row],[上班時間]])</f>
        <v>0.10214504596527069</v>
      </c>
      <c r="O194" s="31" t="str">
        <f>IF(交易處理資料__3[[#This Row],[上班時間]]=0,"否","是")</f>
        <v>是</v>
      </c>
    </row>
    <row r="195" spans="1:15" hidden="1">
      <c r="A195" t="s">
        <v>75</v>
      </c>
      <c r="B195" t="s">
        <v>26</v>
      </c>
      <c r="C195">
        <v>0.99</v>
      </c>
      <c r="D195">
        <v>0.83</v>
      </c>
      <c r="E195" s="27">
        <v>119.27</v>
      </c>
      <c r="F195">
        <v>3.55</v>
      </c>
      <c r="G195">
        <v>4.58</v>
      </c>
      <c r="H195">
        <v>8.1300000000000008</v>
      </c>
      <c r="I195">
        <v>43.67</v>
      </c>
      <c r="J195">
        <v>12.18</v>
      </c>
      <c r="K195" s="9">
        <v>45296</v>
      </c>
      <c r="L195">
        <f xml:space="preserve"> (交易處理資料__3[[#This Row],[售出工時]] * 60) / 5</f>
        <v>11.879999999999999</v>
      </c>
      <c r="M195" t="str">
        <f>VLOOKUP(交易處理資料__3[[#This Row],[人員代號]],團隊分組!$B$1:$C$52,2,FALSE)</f>
        <v>查修團隊B</v>
      </c>
      <c r="N195">
        <f>IF(交易處理資料__3[[#This Row],[上班時間]]=0,0,交易處理資料__3[[#This Row],[售出工時]]/交易處理資料__3[[#This Row],[上班時間]])</f>
        <v>0.12177121771217711</v>
      </c>
      <c r="O195" s="31" t="str">
        <f>IF(交易處理資料__3[[#This Row],[上班時間]]=0,"否","是")</f>
        <v>是</v>
      </c>
    </row>
    <row r="196" spans="1:15" hidden="1">
      <c r="A196" t="s">
        <v>75</v>
      </c>
      <c r="B196" t="s">
        <v>28</v>
      </c>
      <c r="C196">
        <v>6.83</v>
      </c>
      <c r="D196">
        <v>6.03</v>
      </c>
      <c r="E196" s="27">
        <v>113.32</v>
      </c>
      <c r="F196">
        <v>7.58</v>
      </c>
      <c r="G196">
        <v>0.51</v>
      </c>
      <c r="H196">
        <v>8.09</v>
      </c>
      <c r="I196">
        <v>93.7</v>
      </c>
      <c r="J196">
        <v>84.47</v>
      </c>
      <c r="K196" s="9">
        <v>45296</v>
      </c>
      <c r="L196">
        <f xml:space="preserve"> (交易處理資料__3[[#This Row],[售出工時]] * 60) / 5</f>
        <v>81.960000000000008</v>
      </c>
      <c r="M196" t="str">
        <f>VLOOKUP(交易處理資料__3[[#This Row],[人員代號]],團隊分組!$B$1:$C$52,2,FALSE)</f>
        <v>快速保養團隊A</v>
      </c>
      <c r="N196">
        <f>IF(交易處理資料__3[[#This Row],[上班時間]]=0,0,交易處理資料__3[[#This Row],[售出工時]]/交易處理資料__3[[#This Row],[上班時間]])</f>
        <v>0.84425216316440055</v>
      </c>
      <c r="O196" s="31" t="str">
        <f>IF(交易處理資料__3[[#This Row],[上班時間]]=0,"否","是")</f>
        <v>是</v>
      </c>
    </row>
    <row r="197" spans="1:15" hidden="1">
      <c r="A197" t="s">
        <v>75</v>
      </c>
      <c r="B197" t="s">
        <v>29</v>
      </c>
      <c r="C197">
        <v>4.83</v>
      </c>
      <c r="D197">
        <v>5.84</v>
      </c>
      <c r="E197" s="27">
        <v>82.76</v>
      </c>
      <c r="F197">
        <v>5.33</v>
      </c>
      <c r="G197">
        <v>2.8</v>
      </c>
      <c r="H197">
        <v>8.1300000000000008</v>
      </c>
      <c r="I197">
        <v>65.56</v>
      </c>
      <c r="J197">
        <v>59.45</v>
      </c>
      <c r="K197" s="9">
        <v>45296</v>
      </c>
      <c r="L197">
        <f xml:space="preserve"> (交易處理資料__3[[#This Row],[售出工時]] * 60) / 5</f>
        <v>57.96</v>
      </c>
      <c r="M197" t="str">
        <f>VLOOKUP(交易處理資料__3[[#This Row],[人員代號]],團隊分組!$B$1:$C$52,2,FALSE)</f>
        <v>查修團隊B</v>
      </c>
      <c r="N197">
        <f>IF(交易處理資料__3[[#This Row],[上班時間]]=0,0,交易處理資料__3[[#This Row],[售出工時]]/交易處理資料__3[[#This Row],[上班時間]])</f>
        <v>0.59409594095940954</v>
      </c>
      <c r="O197" s="31" t="str">
        <f>IF(交易處理資料__3[[#This Row],[上班時間]]=0,"否","是")</f>
        <v>是</v>
      </c>
    </row>
    <row r="198" spans="1:15" hidden="1">
      <c r="A198" t="s">
        <v>75</v>
      </c>
      <c r="B198" t="s">
        <v>31</v>
      </c>
      <c r="C198">
        <v>0</v>
      </c>
      <c r="D198">
        <v>0</v>
      </c>
      <c r="E198" s="27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s="9">
        <v>45296</v>
      </c>
      <c r="L198">
        <f xml:space="preserve"> (交易處理資料__3[[#This Row],[售出工時]] * 60) / 5</f>
        <v>0</v>
      </c>
      <c r="M198" t="str">
        <f>VLOOKUP(交易處理資料__3[[#This Row],[人員代號]],團隊分組!$B$1:$C$52,2,FALSE)</f>
        <v>快速保養團隊A</v>
      </c>
      <c r="N198">
        <f>IF(交易處理資料__3[[#This Row],[上班時間]]=0,0,交易處理資料__3[[#This Row],[售出工時]]/交易處理資料__3[[#This Row],[上班時間]])</f>
        <v>0</v>
      </c>
      <c r="O198" s="31" t="str">
        <f>IF(交易處理資料__3[[#This Row],[上班時間]]=0,"否","是")</f>
        <v>否</v>
      </c>
    </row>
    <row r="199" spans="1:15" hidden="1">
      <c r="A199" t="s">
        <v>75</v>
      </c>
      <c r="B199" t="s">
        <v>32</v>
      </c>
      <c r="C199">
        <v>16.93</v>
      </c>
      <c r="D199">
        <v>9.5399999999999991</v>
      </c>
      <c r="E199" s="27">
        <v>177.53</v>
      </c>
      <c r="F199">
        <v>8.4499999999999993</v>
      </c>
      <c r="G199">
        <v>2.2000000000000002</v>
      </c>
      <c r="H199">
        <v>10.65</v>
      </c>
      <c r="I199">
        <v>79.34</v>
      </c>
      <c r="J199">
        <v>159.03</v>
      </c>
      <c r="K199" s="9">
        <v>45296</v>
      </c>
      <c r="L199">
        <f xml:space="preserve"> (交易處理資料__3[[#This Row],[售出工時]] * 60) / 5</f>
        <v>203.16</v>
      </c>
      <c r="M199" t="str">
        <f>VLOOKUP(交易處理資料__3[[#This Row],[人員代號]],團隊分組!$B$1:$C$52,2,FALSE)</f>
        <v>快速保養團隊B</v>
      </c>
      <c r="N199">
        <f>IF(交易處理資料__3[[#This Row],[上班時間]]=0,0,交易處理資料__3[[#This Row],[售出工時]]/交易處理資料__3[[#This Row],[上班時間]])</f>
        <v>1.5896713615023474</v>
      </c>
      <c r="O199" s="31" t="str">
        <f>IF(交易處理資料__3[[#This Row],[上班時間]]=0,"否","是")</f>
        <v>是</v>
      </c>
    </row>
    <row r="200" spans="1:15">
      <c r="A200" t="s">
        <v>75</v>
      </c>
      <c r="B200" t="s">
        <v>33</v>
      </c>
      <c r="C200">
        <v>0</v>
      </c>
      <c r="D200">
        <v>0</v>
      </c>
      <c r="E200" s="27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s="9">
        <v>45296</v>
      </c>
      <c r="L200">
        <f xml:space="preserve"> (交易處理資料__3[[#This Row],[售出工時]] * 60) / 5</f>
        <v>0</v>
      </c>
      <c r="M200" t="str">
        <f>VLOOKUP(交易處理資料__3[[#This Row],[人員代號]],團隊分組!$B$1:$C$52,2,FALSE)</f>
        <v>快速保養團隊B</v>
      </c>
      <c r="N200">
        <f>IF(交易處理資料__3[[#This Row],[上班時間]]=0,0,交易處理資料__3[[#This Row],[售出工時]]/交易處理資料__3[[#This Row],[上班時間]])</f>
        <v>0</v>
      </c>
      <c r="O200" s="31" t="str">
        <f>IF(交易處理資料__3[[#This Row],[上班時間]]=0,"否","是")</f>
        <v>否</v>
      </c>
    </row>
    <row r="201" spans="1:15" hidden="1">
      <c r="A201" t="s">
        <v>75</v>
      </c>
      <c r="B201" t="s">
        <v>34</v>
      </c>
      <c r="C201">
        <v>9.75</v>
      </c>
      <c r="D201">
        <v>6.62</v>
      </c>
      <c r="E201" s="27">
        <v>147.28</v>
      </c>
      <c r="F201">
        <v>7.34</v>
      </c>
      <c r="G201">
        <v>0.74</v>
      </c>
      <c r="H201">
        <v>8.08</v>
      </c>
      <c r="I201">
        <v>90.84</v>
      </c>
      <c r="J201">
        <v>120.67</v>
      </c>
      <c r="K201" s="9">
        <v>45296</v>
      </c>
      <c r="L201">
        <f xml:space="preserve"> (交易處理資料__3[[#This Row],[售出工時]] * 60) / 5</f>
        <v>117</v>
      </c>
      <c r="M201" t="str">
        <f>VLOOKUP(交易處理資料__3[[#This Row],[人員代號]],團隊分組!$B$1:$C$52,2,FALSE)</f>
        <v>快速保養團隊A</v>
      </c>
      <c r="N201">
        <f>IF(交易處理資料__3[[#This Row],[上班時間]]=0,0,交易處理資料__3[[#This Row],[售出工時]]/交易處理資料__3[[#This Row],[上班時間]])</f>
        <v>1.2066831683168318</v>
      </c>
      <c r="O201" s="31" t="str">
        <f>IF(交易處理資料__3[[#This Row],[上班時間]]=0,"否","是")</f>
        <v>是</v>
      </c>
    </row>
    <row r="202" spans="1:15" hidden="1">
      <c r="A202" t="s">
        <v>75</v>
      </c>
      <c r="B202" t="s">
        <v>35</v>
      </c>
      <c r="C202">
        <v>1.26</v>
      </c>
      <c r="D202">
        <v>3.14</v>
      </c>
      <c r="E202" s="27">
        <v>40.33</v>
      </c>
      <c r="F202">
        <v>4.33</v>
      </c>
      <c r="G202">
        <v>3.8</v>
      </c>
      <c r="H202">
        <v>8.1300000000000008</v>
      </c>
      <c r="I202">
        <v>53.26</v>
      </c>
      <c r="J202">
        <v>15.58</v>
      </c>
      <c r="K202" s="9">
        <v>45296</v>
      </c>
      <c r="L202">
        <f xml:space="preserve"> (交易處理資料__3[[#This Row],[售出工時]] * 60) / 5</f>
        <v>15.12</v>
      </c>
      <c r="M202" t="str">
        <f>VLOOKUP(交易處理資料__3[[#This Row],[人員代號]],團隊分組!$B$1:$C$52,2,FALSE)</f>
        <v>查修團隊B</v>
      </c>
      <c r="N202">
        <f>IF(交易處理資料__3[[#This Row],[上班時間]]=0,0,交易處理資料__3[[#This Row],[售出工時]]/交易處理資料__3[[#This Row],[上班時間]])</f>
        <v>0.15498154981549814</v>
      </c>
      <c r="O202" s="31" t="str">
        <f>IF(交易處理資料__3[[#This Row],[上班時間]]=0,"否","是")</f>
        <v>是</v>
      </c>
    </row>
    <row r="203" spans="1:15" hidden="1">
      <c r="A203" t="s">
        <v>75</v>
      </c>
      <c r="B203" t="s">
        <v>37</v>
      </c>
      <c r="C203">
        <v>4.07</v>
      </c>
      <c r="D203">
        <v>5.29</v>
      </c>
      <c r="E203" s="27">
        <v>76.930000000000007</v>
      </c>
      <c r="F203">
        <v>4.45</v>
      </c>
      <c r="G203">
        <v>3.3</v>
      </c>
      <c r="H203">
        <v>7.75</v>
      </c>
      <c r="I203">
        <v>57.42</v>
      </c>
      <c r="J203">
        <v>52.52</v>
      </c>
      <c r="K203" s="9">
        <v>45296</v>
      </c>
      <c r="L203">
        <f xml:space="preserve"> (交易處理資料__3[[#This Row],[售出工時]] * 60) / 5</f>
        <v>48.84</v>
      </c>
      <c r="M203" t="str">
        <f>VLOOKUP(交易處理資料__3[[#This Row],[人員代號]],團隊分組!$B$1:$C$52,2,FALSE)</f>
        <v>查修團隊A</v>
      </c>
      <c r="N203">
        <f>IF(交易處理資料__3[[#This Row],[上班時間]]=0,0,交易處理資料__3[[#This Row],[售出工時]]/交易處理資料__3[[#This Row],[上班時間]])</f>
        <v>0.52516129032258063</v>
      </c>
      <c r="O203" s="31" t="str">
        <f>IF(交易處理資料__3[[#This Row],[上班時間]]=0,"否","是")</f>
        <v>是</v>
      </c>
    </row>
    <row r="204" spans="1:15" hidden="1">
      <c r="A204" t="s">
        <v>75</v>
      </c>
      <c r="B204" t="s">
        <v>38</v>
      </c>
      <c r="C204">
        <v>21.5</v>
      </c>
      <c r="D204">
        <v>7.06</v>
      </c>
      <c r="E204" s="27">
        <v>304.52999999999997</v>
      </c>
      <c r="F204">
        <v>8.7799999999999994</v>
      </c>
      <c r="G204">
        <v>0.47</v>
      </c>
      <c r="H204">
        <v>9.25</v>
      </c>
      <c r="I204">
        <v>94.92</v>
      </c>
      <c r="J204">
        <v>232.43</v>
      </c>
      <c r="K204" s="9">
        <v>45296</v>
      </c>
      <c r="L204">
        <f xml:space="preserve"> (交易處理資料__3[[#This Row],[售出工時]] * 60) / 5</f>
        <v>258</v>
      </c>
      <c r="M204" t="str">
        <f>VLOOKUP(交易處理資料__3[[#This Row],[人員代號]],團隊分組!$B$1:$C$52,2,FALSE)</f>
        <v>快速保養團隊A</v>
      </c>
      <c r="N204">
        <f>IF(交易處理資料__3[[#This Row],[上班時間]]=0,0,交易處理資料__3[[#This Row],[售出工時]]/交易處理資料__3[[#This Row],[上班時間]])</f>
        <v>2.3243243243243241</v>
      </c>
      <c r="O204" s="31" t="str">
        <f>IF(交易處理資料__3[[#This Row],[上班時間]]=0,"否","是")</f>
        <v>是</v>
      </c>
    </row>
    <row r="205" spans="1:15" hidden="1">
      <c r="A205" t="s">
        <v>75</v>
      </c>
      <c r="B205" t="s">
        <v>39</v>
      </c>
      <c r="C205">
        <v>1.24</v>
      </c>
      <c r="D205">
        <v>1.45</v>
      </c>
      <c r="E205" s="27">
        <v>85.51</v>
      </c>
      <c r="F205">
        <v>7.16</v>
      </c>
      <c r="G205">
        <v>0.69</v>
      </c>
      <c r="H205">
        <v>7.85</v>
      </c>
      <c r="I205">
        <v>91.21</v>
      </c>
      <c r="J205">
        <v>15.8</v>
      </c>
      <c r="K205" s="9">
        <v>45296</v>
      </c>
      <c r="L205">
        <f xml:space="preserve"> (交易處理資料__3[[#This Row],[售出工時]] * 60) / 5</f>
        <v>14.88</v>
      </c>
      <c r="M205" t="str">
        <f>VLOOKUP(交易處理資料__3[[#This Row],[人員代號]],團隊分組!$B$1:$C$52,2,FALSE)</f>
        <v>查修團隊A</v>
      </c>
      <c r="N205">
        <f>IF(交易處理資料__3[[#This Row],[上班時間]]=0,0,交易處理資料__3[[#This Row],[售出工時]]/交易處理資料__3[[#This Row],[上班時間]])</f>
        <v>0.15796178343949044</v>
      </c>
      <c r="O205" s="31" t="str">
        <f>IF(交易處理資料__3[[#This Row],[上班時間]]=0,"否","是")</f>
        <v>是</v>
      </c>
    </row>
    <row r="206" spans="1:15" hidden="1">
      <c r="A206" t="s">
        <v>75</v>
      </c>
      <c r="B206" t="s">
        <v>42</v>
      </c>
      <c r="C206">
        <v>10</v>
      </c>
      <c r="D206">
        <v>7.33</v>
      </c>
      <c r="E206" s="27">
        <v>136.41999999999999</v>
      </c>
      <c r="F206">
        <v>7.03</v>
      </c>
      <c r="G206">
        <v>0.92</v>
      </c>
      <c r="H206">
        <v>7.95</v>
      </c>
      <c r="I206">
        <v>88.43</v>
      </c>
      <c r="J206">
        <v>125.79</v>
      </c>
      <c r="K206" s="9">
        <v>45296</v>
      </c>
      <c r="L206">
        <f xml:space="preserve"> (交易處理資料__3[[#This Row],[售出工時]] * 60) / 5</f>
        <v>120</v>
      </c>
      <c r="M206" t="str">
        <f>VLOOKUP(交易處理資料__3[[#This Row],[人員代號]],團隊分組!$B$1:$C$52,2,FALSE)</f>
        <v>快速保養團隊A</v>
      </c>
      <c r="N206">
        <f>IF(交易處理資料__3[[#This Row],[上班時間]]=0,0,交易處理資料__3[[#This Row],[售出工時]]/交易處理資料__3[[#This Row],[上班時間]])</f>
        <v>1.2578616352201257</v>
      </c>
      <c r="O206" s="31" t="str">
        <f>IF(交易處理資料__3[[#This Row],[上班時間]]=0,"否","是")</f>
        <v>是</v>
      </c>
    </row>
    <row r="207" spans="1:15" hidden="1">
      <c r="A207" t="s">
        <v>75</v>
      </c>
      <c r="B207" t="s">
        <v>43</v>
      </c>
      <c r="C207">
        <v>5.46</v>
      </c>
      <c r="D207">
        <v>6.59</v>
      </c>
      <c r="E207" s="27">
        <v>82.95</v>
      </c>
      <c r="F207">
        <v>6.79</v>
      </c>
      <c r="G207">
        <v>1.35</v>
      </c>
      <c r="H207">
        <v>8.14</v>
      </c>
      <c r="I207">
        <v>83.42</v>
      </c>
      <c r="J207">
        <v>67.16</v>
      </c>
      <c r="K207" s="9">
        <v>45296</v>
      </c>
      <c r="L207">
        <f xml:space="preserve"> (交易處理資料__3[[#This Row],[售出工時]] * 60) / 5</f>
        <v>65.52000000000001</v>
      </c>
      <c r="M207" t="str">
        <f>VLOOKUP(交易處理資料__3[[#This Row],[人員代號]],團隊分組!$B$1:$C$52,2,FALSE)</f>
        <v>查修團隊B</v>
      </c>
      <c r="N207">
        <f>IF(交易處理資料__3[[#This Row],[上班時間]]=0,0,交易處理資料__3[[#This Row],[售出工時]]/交易處理資料__3[[#This Row],[上班時間]])</f>
        <v>0.6707616707616707</v>
      </c>
      <c r="O207" s="31" t="str">
        <f>IF(交易處理資料__3[[#This Row],[上班時間]]=0,"否","是")</f>
        <v>是</v>
      </c>
    </row>
    <row r="208" spans="1:15" hidden="1">
      <c r="A208" t="s">
        <v>75</v>
      </c>
      <c r="B208" t="s">
        <v>45</v>
      </c>
      <c r="C208">
        <v>0</v>
      </c>
      <c r="D208">
        <v>0</v>
      </c>
      <c r="E208" s="27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s="9">
        <v>45296</v>
      </c>
      <c r="L208">
        <f xml:space="preserve"> (交易處理資料__3[[#This Row],[售出工時]] * 60) / 5</f>
        <v>0</v>
      </c>
      <c r="M208" t="str">
        <f>VLOOKUP(交易處理資料__3[[#This Row],[人員代號]],團隊分組!$B$1:$C$52,2,FALSE)</f>
        <v>快速保養團隊A</v>
      </c>
      <c r="N208">
        <f>IF(交易處理資料__3[[#This Row],[上班時間]]=0,0,交易處理資料__3[[#This Row],[售出工時]]/交易處理資料__3[[#This Row],[上班時間]])</f>
        <v>0</v>
      </c>
      <c r="O208" s="31" t="str">
        <f>IF(交易處理資料__3[[#This Row],[上班時間]]=0,"否","是")</f>
        <v>否</v>
      </c>
    </row>
    <row r="209" spans="1:15" hidden="1">
      <c r="A209" t="s">
        <v>75</v>
      </c>
      <c r="B209" t="s">
        <v>46</v>
      </c>
      <c r="C209">
        <v>5.75</v>
      </c>
      <c r="D209">
        <v>8.74</v>
      </c>
      <c r="E209" s="27">
        <v>65.78</v>
      </c>
      <c r="F209">
        <v>8.1</v>
      </c>
      <c r="G209">
        <v>0.75</v>
      </c>
      <c r="H209">
        <v>8.85</v>
      </c>
      <c r="I209">
        <v>91.53</v>
      </c>
      <c r="J209">
        <v>64.97</v>
      </c>
      <c r="K209" s="9">
        <v>45296</v>
      </c>
      <c r="L209">
        <f xml:space="preserve"> (交易處理資料__3[[#This Row],[售出工時]] * 60) / 5</f>
        <v>69</v>
      </c>
      <c r="M209" t="str">
        <f>VLOOKUP(交易處理資料__3[[#This Row],[人員代號]],團隊分組!$B$1:$C$52,2,FALSE)</f>
        <v>查修團隊B</v>
      </c>
      <c r="N209">
        <f>IF(交易處理資料__3[[#This Row],[上班時間]]=0,0,交易處理資料__3[[#This Row],[售出工時]]/交易處理資料__3[[#This Row],[上班時間]])</f>
        <v>0.64971751412429379</v>
      </c>
      <c r="O209" s="31" t="str">
        <f>IF(交易處理資料__3[[#This Row],[上班時間]]=0,"否","是")</f>
        <v>是</v>
      </c>
    </row>
    <row r="210" spans="1:15" hidden="1">
      <c r="A210" t="s">
        <v>75</v>
      </c>
      <c r="B210" t="s">
        <v>47</v>
      </c>
      <c r="C210">
        <v>3</v>
      </c>
      <c r="D210">
        <v>6.94</v>
      </c>
      <c r="E210" s="27">
        <v>43.22</v>
      </c>
      <c r="F210">
        <v>4.51</v>
      </c>
      <c r="G210">
        <v>3.64</v>
      </c>
      <c r="H210">
        <v>8.15</v>
      </c>
      <c r="I210">
        <v>55.34</v>
      </c>
      <c r="J210">
        <v>36.81</v>
      </c>
      <c r="K210" s="9">
        <v>45296</v>
      </c>
      <c r="L210">
        <f xml:space="preserve"> (交易處理資料__3[[#This Row],[售出工時]] * 60) / 5</f>
        <v>36</v>
      </c>
      <c r="M210" t="str">
        <f>VLOOKUP(交易處理資料__3[[#This Row],[人員代號]],團隊分組!$B$1:$C$52,2,FALSE)</f>
        <v>查修團隊B</v>
      </c>
      <c r="N210">
        <f>IF(交易處理資料__3[[#This Row],[上班時間]]=0,0,交易處理資料__3[[#This Row],[售出工時]]/交易處理資料__3[[#This Row],[上班時間]])</f>
        <v>0.36809815950920244</v>
      </c>
      <c r="O210" s="31" t="str">
        <f>IF(交易處理資料__3[[#This Row],[上班時間]]=0,"否","是")</f>
        <v>是</v>
      </c>
    </row>
    <row r="211" spans="1:15" hidden="1">
      <c r="A211" t="s">
        <v>75</v>
      </c>
      <c r="B211" t="s">
        <v>48</v>
      </c>
      <c r="C211">
        <v>4.83</v>
      </c>
      <c r="D211">
        <v>3.37</v>
      </c>
      <c r="E211" s="27">
        <v>143.41999999999999</v>
      </c>
      <c r="F211">
        <v>3.79</v>
      </c>
      <c r="G211">
        <v>3.96</v>
      </c>
      <c r="H211">
        <v>7.75</v>
      </c>
      <c r="I211">
        <v>48.9</v>
      </c>
      <c r="J211">
        <v>62.37</v>
      </c>
      <c r="K211" s="9">
        <v>45296</v>
      </c>
      <c r="L211">
        <f xml:space="preserve"> (交易處理資料__3[[#This Row],[售出工時]] * 60) / 5</f>
        <v>57.96</v>
      </c>
      <c r="M211" t="str">
        <f>VLOOKUP(交易處理資料__3[[#This Row],[人員代號]],團隊分組!$B$1:$C$52,2,FALSE)</f>
        <v>查修團隊A</v>
      </c>
      <c r="N211">
        <f>IF(交易處理資料__3[[#This Row],[上班時間]]=0,0,交易處理資料__3[[#This Row],[售出工時]]/交易處理資料__3[[#This Row],[上班時間]])</f>
        <v>0.62322580645161296</v>
      </c>
      <c r="O211" s="31" t="str">
        <f>IF(交易處理資料__3[[#This Row],[上班時間]]=0,"否","是")</f>
        <v>是</v>
      </c>
    </row>
    <row r="212" spans="1:15" hidden="1">
      <c r="A212" t="s">
        <v>75</v>
      </c>
      <c r="B212" t="s">
        <v>51</v>
      </c>
      <c r="C212">
        <v>0</v>
      </c>
      <c r="D212">
        <v>0</v>
      </c>
      <c r="E212" s="27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s="9">
        <v>45296</v>
      </c>
      <c r="L212">
        <f xml:space="preserve"> (交易處理資料__3[[#This Row],[售出工時]] * 60) / 5</f>
        <v>0</v>
      </c>
      <c r="M212" t="str">
        <f>VLOOKUP(交易處理資料__3[[#This Row],[人員代號]],團隊分組!$B$1:$C$52,2,FALSE)</f>
        <v>無效數據</v>
      </c>
      <c r="N212">
        <f>IF(交易處理資料__3[[#This Row],[上班時間]]=0,0,交易處理資料__3[[#This Row],[售出工時]]/交易處理資料__3[[#This Row],[上班時間]])</f>
        <v>0</v>
      </c>
      <c r="O212" s="31" t="str">
        <f>IF(交易處理資料__3[[#This Row],[上班時間]]=0,"否","是")</f>
        <v>否</v>
      </c>
    </row>
    <row r="213" spans="1:15" hidden="1">
      <c r="A213" t="s">
        <v>75</v>
      </c>
      <c r="B213" t="s">
        <v>52</v>
      </c>
      <c r="C213">
        <v>3.41</v>
      </c>
      <c r="D213">
        <v>3.56</v>
      </c>
      <c r="E213" s="27">
        <v>95.97</v>
      </c>
      <c r="F213">
        <v>7.82</v>
      </c>
      <c r="G213">
        <v>0.34</v>
      </c>
      <c r="H213">
        <v>8.16</v>
      </c>
      <c r="I213">
        <v>95.83</v>
      </c>
      <c r="J213">
        <v>41.87</v>
      </c>
      <c r="K213" s="9">
        <v>45296</v>
      </c>
      <c r="L213">
        <f xml:space="preserve"> (交易處理資料__3[[#This Row],[售出工時]] * 60) / 5</f>
        <v>40.92</v>
      </c>
      <c r="M213" t="str">
        <f>VLOOKUP(交易處理資料__3[[#This Row],[人員代號]],團隊分組!$B$1:$C$52,2,FALSE)</f>
        <v>查修團隊B</v>
      </c>
      <c r="N213">
        <f>IF(交易處理資料__3[[#This Row],[上班時間]]=0,0,交易處理資料__3[[#This Row],[售出工時]]/交易處理資料__3[[#This Row],[上班時間]])</f>
        <v>0.41789215686274511</v>
      </c>
      <c r="O213" s="31" t="str">
        <f>IF(交易處理資料__3[[#This Row],[上班時間]]=0,"否","是")</f>
        <v>是</v>
      </c>
    </row>
    <row r="214" spans="1:15" hidden="1">
      <c r="A214" t="s">
        <v>75</v>
      </c>
      <c r="B214" t="s">
        <v>53</v>
      </c>
      <c r="C214">
        <v>4.12</v>
      </c>
      <c r="D214">
        <v>7.98</v>
      </c>
      <c r="E214" s="27">
        <v>51.62</v>
      </c>
      <c r="F214">
        <v>7.19</v>
      </c>
      <c r="G214">
        <v>2.38</v>
      </c>
      <c r="H214">
        <v>9.57</v>
      </c>
      <c r="I214">
        <v>75.13</v>
      </c>
      <c r="J214">
        <v>43.05</v>
      </c>
      <c r="K214" s="9">
        <v>45296</v>
      </c>
      <c r="L214">
        <f xml:space="preserve"> (交易處理資料__3[[#This Row],[售出工時]] * 60) / 5</f>
        <v>49.440000000000005</v>
      </c>
      <c r="M214" t="str">
        <f>VLOOKUP(交易處理資料__3[[#This Row],[人員代號]],團隊分組!$B$1:$C$52,2,FALSE)</f>
        <v>查修團隊A</v>
      </c>
      <c r="N214">
        <f>IF(交易處理資料__3[[#This Row],[上班時間]]=0,0,交易處理資料__3[[#This Row],[售出工時]]/交易處理資料__3[[#This Row],[上班時間]])</f>
        <v>0.43051201671891326</v>
      </c>
      <c r="O214" s="31" t="str">
        <f>IF(交易處理資料__3[[#This Row],[上班時間]]=0,"否","是")</f>
        <v>是</v>
      </c>
    </row>
    <row r="215" spans="1:15" hidden="1">
      <c r="A215" s="10" t="s">
        <v>73</v>
      </c>
      <c r="B215" t="s">
        <v>1</v>
      </c>
      <c r="C215">
        <v>0</v>
      </c>
      <c r="D215">
        <v>0</v>
      </c>
      <c r="E215" s="27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s="9">
        <v>45297</v>
      </c>
      <c r="L215">
        <f xml:space="preserve"> (交易處理資料__3[[#This Row],[售出工時]] * 60) / 5</f>
        <v>0</v>
      </c>
      <c r="M215" t="str">
        <f>VLOOKUP(交易處理資料__3[[#This Row],[人員代號]],團隊分組!$B$1:$C$52,2,FALSE)</f>
        <v>噴漆維修組</v>
      </c>
      <c r="N215">
        <f>IF(交易處理資料__3[[#This Row],[上班時間]]=0,0,交易處理資料__3[[#This Row],[售出工時]]/交易處理資料__3[[#This Row],[上班時間]])</f>
        <v>0</v>
      </c>
      <c r="O215" s="31" t="str">
        <f>IF(交易處理資料__3[[#This Row],[上班時間]]=0,"否","是")</f>
        <v>否</v>
      </c>
    </row>
    <row r="216" spans="1:15" hidden="1">
      <c r="A216" s="10" t="s">
        <v>73</v>
      </c>
      <c r="B216" t="s">
        <v>2</v>
      </c>
      <c r="C216">
        <v>0</v>
      </c>
      <c r="D216">
        <v>0</v>
      </c>
      <c r="E216" s="27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s="9">
        <v>45297</v>
      </c>
      <c r="L216">
        <f xml:space="preserve"> (交易處理資料__3[[#This Row],[售出工時]] * 60) / 5</f>
        <v>0</v>
      </c>
      <c r="M216" t="str">
        <f>VLOOKUP(交易處理資料__3[[#This Row],[人員代號]],團隊分組!$B$1:$C$52,2,FALSE)</f>
        <v>噴漆維修組</v>
      </c>
      <c r="N216">
        <f>IF(交易處理資料__3[[#This Row],[上班時間]]=0,0,交易處理資料__3[[#This Row],[售出工時]]/交易處理資料__3[[#This Row],[上班時間]])</f>
        <v>0</v>
      </c>
      <c r="O216" s="31" t="str">
        <f>IF(交易處理資料__3[[#This Row],[上班時間]]=0,"否","是")</f>
        <v>否</v>
      </c>
    </row>
    <row r="217" spans="1:15" hidden="1">
      <c r="A217" s="10" t="s">
        <v>73</v>
      </c>
      <c r="B217" t="s">
        <v>3</v>
      </c>
      <c r="C217">
        <v>0</v>
      </c>
      <c r="D217">
        <v>0</v>
      </c>
      <c r="E217" s="2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s="9">
        <v>45297</v>
      </c>
      <c r="L217">
        <f xml:space="preserve"> (交易處理資料__3[[#This Row],[售出工時]] * 60) / 5</f>
        <v>0</v>
      </c>
      <c r="M217" t="str">
        <f>VLOOKUP(交易處理資料__3[[#This Row],[人員代號]],團隊分組!$B$1:$C$52,2,FALSE)</f>
        <v>噴漆維修組</v>
      </c>
      <c r="N217">
        <f>IF(交易處理資料__3[[#This Row],[上班時間]]=0,0,交易處理資料__3[[#This Row],[售出工時]]/交易處理資料__3[[#This Row],[上班時間]])</f>
        <v>0</v>
      </c>
      <c r="O217" s="31" t="str">
        <f>IF(交易處理資料__3[[#This Row],[上班時間]]=0,"否","是")</f>
        <v>否</v>
      </c>
    </row>
    <row r="218" spans="1:15" hidden="1">
      <c r="A218" s="10" t="s">
        <v>73</v>
      </c>
      <c r="B218" t="s">
        <v>4</v>
      </c>
      <c r="C218">
        <v>0</v>
      </c>
      <c r="D218">
        <v>0</v>
      </c>
      <c r="E218" s="27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s="9">
        <v>45297</v>
      </c>
      <c r="L218">
        <f xml:space="preserve"> (交易處理資料__3[[#This Row],[售出工時]] * 60) / 5</f>
        <v>0</v>
      </c>
      <c r="M218" t="str">
        <f>VLOOKUP(交易處理資料__3[[#This Row],[人員代號]],團隊分組!$B$1:$C$52,2,FALSE)</f>
        <v>噴漆維修組</v>
      </c>
      <c r="N218">
        <f>IF(交易處理資料__3[[#This Row],[上班時間]]=0,0,交易處理資料__3[[#This Row],[售出工時]]/交易處理資料__3[[#This Row],[上班時間]])</f>
        <v>0</v>
      </c>
      <c r="O218" s="31" t="str">
        <f>IF(交易處理資料__3[[#This Row],[上班時間]]=0,"否","是")</f>
        <v>否</v>
      </c>
    </row>
    <row r="219" spans="1:15" hidden="1">
      <c r="A219" s="10" t="s">
        <v>73</v>
      </c>
      <c r="B219" t="s">
        <v>5</v>
      </c>
      <c r="C219">
        <v>0.5</v>
      </c>
      <c r="D219">
        <v>1.07</v>
      </c>
      <c r="E219" s="27">
        <v>46.72</v>
      </c>
      <c r="F219">
        <v>7.65</v>
      </c>
      <c r="G219">
        <v>0.14000000000000001</v>
      </c>
      <c r="H219">
        <v>7.79</v>
      </c>
      <c r="I219">
        <v>98.2</v>
      </c>
      <c r="J219">
        <v>6.42</v>
      </c>
      <c r="K219" s="9">
        <v>45297</v>
      </c>
      <c r="L219">
        <f xml:space="preserve"> (交易處理資料__3[[#This Row],[售出工時]] * 60) / 5</f>
        <v>6</v>
      </c>
      <c r="M219" t="str">
        <f>VLOOKUP(交易處理資料__3[[#This Row],[人員代號]],團隊分組!$B$1:$C$52,2,FALSE)</f>
        <v>噴漆維修組</v>
      </c>
      <c r="N219">
        <f>IF(交易處理資料__3[[#This Row],[上班時間]]=0,0,交易處理資料__3[[#This Row],[售出工時]]/交易處理資料__3[[#This Row],[上班時間]])</f>
        <v>6.4184852374839535E-2</v>
      </c>
      <c r="O219" s="31" t="str">
        <f>IF(交易處理資料__3[[#This Row],[上班時間]]=0,"否","是")</f>
        <v>是</v>
      </c>
    </row>
    <row r="220" spans="1:15" hidden="1">
      <c r="A220" s="10" t="s">
        <v>73</v>
      </c>
      <c r="B220" t="s">
        <v>6</v>
      </c>
      <c r="C220">
        <v>0</v>
      </c>
      <c r="D220">
        <v>0</v>
      </c>
      <c r="E220" s="27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s="9">
        <v>45297</v>
      </c>
      <c r="L220">
        <f xml:space="preserve"> (交易處理資料__3[[#This Row],[售出工時]] * 60) / 5</f>
        <v>0</v>
      </c>
      <c r="M220" t="str">
        <f>VLOOKUP(交易處理資料__3[[#This Row],[人員代號]],團隊分組!$B$1:$C$52,2,FALSE)</f>
        <v>噴漆維修組</v>
      </c>
      <c r="N220">
        <f>IF(交易處理資料__3[[#This Row],[上班時間]]=0,0,交易處理資料__3[[#This Row],[售出工時]]/交易處理資料__3[[#This Row],[上班時間]])</f>
        <v>0</v>
      </c>
      <c r="O220" s="31" t="str">
        <f>IF(交易處理資料__3[[#This Row],[上班時間]]=0,"否","是")</f>
        <v>否</v>
      </c>
    </row>
    <row r="221" spans="1:15" hidden="1">
      <c r="A221" s="10" t="s">
        <v>73</v>
      </c>
      <c r="B221" t="s">
        <v>8</v>
      </c>
      <c r="C221">
        <v>0</v>
      </c>
      <c r="D221">
        <v>0</v>
      </c>
      <c r="E221" s="27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s="9">
        <v>45297</v>
      </c>
      <c r="L221">
        <f xml:space="preserve"> (交易處理資料__3[[#This Row],[售出工時]] * 60) / 5</f>
        <v>0</v>
      </c>
      <c r="M221" t="str">
        <f>VLOOKUP(交易處理資料__3[[#This Row],[人員代號]],團隊分組!$B$1:$C$52,2,FALSE)</f>
        <v>噴漆維修組</v>
      </c>
      <c r="N221">
        <f>IF(交易處理資料__3[[#This Row],[上班時間]]=0,0,交易處理資料__3[[#This Row],[售出工時]]/交易處理資料__3[[#This Row],[上班時間]])</f>
        <v>0</v>
      </c>
      <c r="O221" s="31" t="str">
        <f>IF(交易處理資料__3[[#This Row],[上班時間]]=0,"否","是")</f>
        <v>否</v>
      </c>
    </row>
    <row r="222" spans="1:15" hidden="1">
      <c r="A222" s="10" t="s">
        <v>73</v>
      </c>
      <c r="B222" t="s">
        <v>9</v>
      </c>
      <c r="C222">
        <v>0</v>
      </c>
      <c r="D222">
        <v>0</v>
      </c>
      <c r="E222" s="27">
        <v>0</v>
      </c>
      <c r="F222">
        <v>6.5</v>
      </c>
      <c r="G222">
        <v>1.54</v>
      </c>
      <c r="H222">
        <v>8.0399999999999991</v>
      </c>
      <c r="I222">
        <v>80.849999999999994</v>
      </c>
      <c r="J222">
        <v>0</v>
      </c>
      <c r="K222" s="9">
        <v>45297</v>
      </c>
      <c r="L222">
        <f xml:space="preserve"> (交易處理資料__3[[#This Row],[售出工時]] * 60) / 5</f>
        <v>0</v>
      </c>
      <c r="M222" t="str">
        <f>VLOOKUP(交易處理資料__3[[#This Row],[人員代號]],團隊分組!$B$1:$C$52,2,FALSE)</f>
        <v>噴漆維修組</v>
      </c>
      <c r="N222">
        <f>IF(交易處理資料__3[[#This Row],[上班時間]]=0,0,交易處理資料__3[[#This Row],[售出工時]]/交易處理資料__3[[#This Row],[上班時間]])</f>
        <v>0</v>
      </c>
      <c r="O222" s="31" t="str">
        <f>IF(交易處理資料__3[[#This Row],[上班時間]]=0,"否","是")</f>
        <v>是</v>
      </c>
    </row>
    <row r="223" spans="1:15" hidden="1">
      <c r="A223" t="s">
        <v>74</v>
      </c>
      <c r="B223" t="s">
        <v>11</v>
      </c>
      <c r="C223">
        <v>0</v>
      </c>
      <c r="D223">
        <v>0</v>
      </c>
      <c r="E223" s="27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s="9">
        <v>45297</v>
      </c>
      <c r="L223">
        <f xml:space="preserve"> (交易處理資料__3[[#This Row],[售出工時]] * 60) / 5</f>
        <v>0</v>
      </c>
      <c r="M223" t="str">
        <f>VLOOKUP(交易處理資料__3[[#This Row],[人員代號]],團隊分組!$B$1:$C$52,2,FALSE)</f>
        <v>鈑金維修組</v>
      </c>
      <c r="N223">
        <f>IF(交易處理資料__3[[#This Row],[上班時間]]=0,0,交易處理資料__3[[#This Row],[售出工時]]/交易處理資料__3[[#This Row],[上班時間]])</f>
        <v>0</v>
      </c>
      <c r="O223" s="31" t="str">
        <f>IF(交易處理資料__3[[#This Row],[上班時間]]=0,"否","是")</f>
        <v>否</v>
      </c>
    </row>
    <row r="224" spans="1:15" hidden="1">
      <c r="A224" t="s">
        <v>74</v>
      </c>
      <c r="B224" t="s">
        <v>12</v>
      </c>
      <c r="C224">
        <v>0</v>
      </c>
      <c r="D224">
        <v>0</v>
      </c>
      <c r="E224" s="27">
        <v>0</v>
      </c>
      <c r="F224">
        <v>7.57</v>
      </c>
      <c r="G224">
        <v>0.48</v>
      </c>
      <c r="H224">
        <v>8.0500000000000007</v>
      </c>
      <c r="I224">
        <v>94.04</v>
      </c>
      <c r="J224">
        <v>0</v>
      </c>
      <c r="K224" s="9">
        <v>45297</v>
      </c>
      <c r="L224">
        <f xml:space="preserve"> (交易處理資料__3[[#This Row],[售出工時]] * 60) / 5</f>
        <v>0</v>
      </c>
      <c r="M224" t="str">
        <f>VLOOKUP(交易處理資料__3[[#This Row],[人員代號]],團隊分組!$B$1:$C$52,2,FALSE)</f>
        <v>鈑金維修組</v>
      </c>
      <c r="N224">
        <f>IF(交易處理資料__3[[#This Row],[上班時間]]=0,0,交易處理資料__3[[#This Row],[售出工時]]/交易處理資料__3[[#This Row],[上班時間]])</f>
        <v>0</v>
      </c>
      <c r="O224" s="31" t="str">
        <f>IF(交易處理資料__3[[#This Row],[上班時間]]=0,"否","是")</f>
        <v>是</v>
      </c>
    </row>
    <row r="225" spans="1:15" hidden="1">
      <c r="A225" t="s">
        <v>74</v>
      </c>
      <c r="B225" t="s">
        <v>13</v>
      </c>
      <c r="C225">
        <v>0</v>
      </c>
      <c r="D225">
        <v>0</v>
      </c>
      <c r="E225" s="27">
        <v>0</v>
      </c>
      <c r="F225">
        <v>6.33</v>
      </c>
      <c r="G225">
        <v>1.72</v>
      </c>
      <c r="H225">
        <v>8.0500000000000007</v>
      </c>
      <c r="I225">
        <v>78.63</v>
      </c>
      <c r="J225">
        <v>0</v>
      </c>
      <c r="K225" s="9">
        <v>45297</v>
      </c>
      <c r="L225">
        <f xml:space="preserve"> (交易處理資料__3[[#This Row],[售出工時]] * 60) / 5</f>
        <v>0</v>
      </c>
      <c r="M225" t="str">
        <f>VLOOKUP(交易處理資料__3[[#This Row],[人員代號]],團隊分組!$B$1:$C$52,2,FALSE)</f>
        <v>鈑金維修組</v>
      </c>
      <c r="N225">
        <f>IF(交易處理資料__3[[#This Row],[上班時間]]=0,0,交易處理資料__3[[#This Row],[售出工時]]/交易處理資料__3[[#This Row],[上班時間]])</f>
        <v>0</v>
      </c>
      <c r="O225" s="31" t="str">
        <f>IF(交易處理資料__3[[#This Row],[上班時間]]=0,"否","是")</f>
        <v>是</v>
      </c>
    </row>
    <row r="226" spans="1:15" hidden="1">
      <c r="A226" t="s">
        <v>74</v>
      </c>
      <c r="B226" t="s">
        <v>14</v>
      </c>
      <c r="C226">
        <v>0</v>
      </c>
      <c r="D226">
        <v>0</v>
      </c>
      <c r="E226" s="27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s="9">
        <v>45297</v>
      </c>
      <c r="L226">
        <f xml:space="preserve"> (交易處理資料__3[[#This Row],[售出工時]] * 60) / 5</f>
        <v>0</v>
      </c>
      <c r="M226" t="str">
        <f>VLOOKUP(交易處理資料__3[[#This Row],[人員代號]],團隊分組!$B$1:$C$52,2,FALSE)</f>
        <v>鈑金維修組</v>
      </c>
      <c r="N226">
        <f>IF(交易處理資料__3[[#This Row],[上班時間]]=0,0,交易處理資料__3[[#This Row],[售出工時]]/交易處理資料__3[[#This Row],[上班時間]])</f>
        <v>0</v>
      </c>
      <c r="O226" s="31" t="str">
        <f>IF(交易處理資料__3[[#This Row],[上班時間]]=0,"否","是")</f>
        <v>否</v>
      </c>
    </row>
    <row r="227" spans="1:15" hidden="1">
      <c r="A227" t="s">
        <v>74</v>
      </c>
      <c r="B227" t="s">
        <v>15</v>
      </c>
      <c r="C227">
        <v>0</v>
      </c>
      <c r="D227">
        <v>0</v>
      </c>
      <c r="E227" s="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s="9">
        <v>45297</v>
      </c>
      <c r="L227">
        <f xml:space="preserve"> (交易處理資料__3[[#This Row],[售出工時]] * 60) / 5</f>
        <v>0</v>
      </c>
      <c r="M227" t="str">
        <f>VLOOKUP(交易處理資料__3[[#This Row],[人員代號]],團隊分組!$B$1:$C$52,2,FALSE)</f>
        <v>鈑金維修組</v>
      </c>
      <c r="N227">
        <f>IF(交易處理資料__3[[#This Row],[上班時間]]=0,0,交易處理資料__3[[#This Row],[售出工時]]/交易處理資料__3[[#This Row],[上班時間]])</f>
        <v>0</v>
      </c>
      <c r="O227" s="31" t="str">
        <f>IF(交易處理資料__3[[#This Row],[上班時間]]=0,"否","是")</f>
        <v>否</v>
      </c>
    </row>
    <row r="228" spans="1:15" hidden="1">
      <c r="A228" t="s">
        <v>75</v>
      </c>
      <c r="B228" t="s">
        <v>21</v>
      </c>
      <c r="C228">
        <v>7.17</v>
      </c>
      <c r="D228">
        <v>4.8499999999999996</v>
      </c>
      <c r="E228" s="27">
        <v>147.83000000000001</v>
      </c>
      <c r="F228">
        <v>4.8499999999999996</v>
      </c>
      <c r="G228">
        <v>3.15</v>
      </c>
      <c r="H228">
        <v>8</v>
      </c>
      <c r="I228">
        <v>60.63</v>
      </c>
      <c r="J228">
        <v>89.63</v>
      </c>
      <c r="K228" s="9">
        <v>45297</v>
      </c>
      <c r="L228">
        <f xml:space="preserve"> (交易處理資料__3[[#This Row],[售出工時]] * 60) / 5</f>
        <v>86.039999999999992</v>
      </c>
      <c r="M228" t="str">
        <f>VLOOKUP(交易處理資料__3[[#This Row],[人員代號]],團隊分組!$B$1:$C$52,2,FALSE)</f>
        <v>查修團隊B</v>
      </c>
      <c r="N228">
        <f>IF(交易處理資料__3[[#This Row],[上班時間]]=0,0,交易處理資料__3[[#This Row],[售出工時]]/交易處理資料__3[[#This Row],[上班時間]])</f>
        <v>0.89624999999999999</v>
      </c>
      <c r="O228" s="31" t="str">
        <f>IF(交易處理資料__3[[#This Row],[上班時間]]=0,"否","是")</f>
        <v>是</v>
      </c>
    </row>
    <row r="229" spans="1:15" hidden="1">
      <c r="A229" t="s">
        <v>75</v>
      </c>
      <c r="B229" t="s">
        <v>22</v>
      </c>
      <c r="C229">
        <v>0</v>
      </c>
      <c r="D229">
        <v>0</v>
      </c>
      <c r="E229" s="27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s="9">
        <v>45297</v>
      </c>
      <c r="L229">
        <f xml:space="preserve"> (交易處理資料__3[[#This Row],[售出工時]] * 60) / 5</f>
        <v>0</v>
      </c>
      <c r="M229" t="str">
        <f>VLOOKUP(交易處理資料__3[[#This Row],[人員代號]],團隊分組!$B$1:$C$52,2,FALSE)</f>
        <v>快速保養團隊A</v>
      </c>
      <c r="N229">
        <f>IF(交易處理資料__3[[#This Row],[上班時間]]=0,0,交易處理資料__3[[#This Row],[售出工時]]/交易處理資料__3[[#This Row],[上班時間]])</f>
        <v>0</v>
      </c>
      <c r="O229" s="31" t="str">
        <f>IF(交易處理資料__3[[#This Row],[上班時間]]=0,"否","是")</f>
        <v>否</v>
      </c>
    </row>
    <row r="230" spans="1:15" hidden="1">
      <c r="A230" t="s">
        <v>75</v>
      </c>
      <c r="B230" t="s">
        <v>24</v>
      </c>
      <c r="C230">
        <v>5.1100000000000003</v>
      </c>
      <c r="D230">
        <v>3.78</v>
      </c>
      <c r="E230" s="27">
        <v>135.36000000000001</v>
      </c>
      <c r="F230">
        <v>5.29</v>
      </c>
      <c r="G230">
        <v>2.72</v>
      </c>
      <c r="H230">
        <v>8.01</v>
      </c>
      <c r="I230">
        <v>66.040000000000006</v>
      </c>
      <c r="J230">
        <v>63.88</v>
      </c>
      <c r="K230" s="9">
        <v>45297</v>
      </c>
      <c r="L230">
        <f xml:space="preserve"> (交易處理資料__3[[#This Row],[售出工時]] * 60) / 5</f>
        <v>61.320000000000007</v>
      </c>
      <c r="M230" t="str">
        <f>VLOOKUP(交易處理資料__3[[#This Row],[人員代號]],團隊分組!$B$1:$C$52,2,FALSE)</f>
        <v>快速保養團隊A</v>
      </c>
      <c r="N230">
        <f>IF(交易處理資料__3[[#This Row],[上班時間]]=0,0,交易處理資料__3[[#This Row],[售出工時]]/交易處理資料__3[[#This Row],[上班時間]])</f>
        <v>0.63795255930087391</v>
      </c>
      <c r="O230" s="31" t="str">
        <f>IF(交易處理資料__3[[#This Row],[上班時間]]=0,"否","是")</f>
        <v>是</v>
      </c>
    </row>
    <row r="231" spans="1:15" hidden="1">
      <c r="A231" t="s">
        <v>75</v>
      </c>
      <c r="B231" t="s">
        <v>25</v>
      </c>
      <c r="C231">
        <v>0</v>
      </c>
      <c r="D231">
        <v>0</v>
      </c>
      <c r="E231" s="27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s="9">
        <v>45297</v>
      </c>
      <c r="L231">
        <f xml:space="preserve"> (交易處理資料__3[[#This Row],[售出工時]] * 60) / 5</f>
        <v>0</v>
      </c>
      <c r="M231" t="str">
        <f>VLOOKUP(交易處理資料__3[[#This Row],[人員代號]],團隊分組!$B$1:$C$52,2,FALSE)</f>
        <v>查修團隊A</v>
      </c>
      <c r="N231">
        <f>IF(交易處理資料__3[[#This Row],[上班時間]]=0,0,交易處理資料__3[[#This Row],[售出工時]]/交易處理資料__3[[#This Row],[上班時間]])</f>
        <v>0</v>
      </c>
      <c r="O231" s="31" t="str">
        <f>IF(交易處理資料__3[[#This Row],[上班時間]]=0,"否","是")</f>
        <v>否</v>
      </c>
    </row>
    <row r="232" spans="1:15" hidden="1">
      <c r="A232" t="s">
        <v>75</v>
      </c>
      <c r="B232" t="s">
        <v>27</v>
      </c>
      <c r="C232">
        <v>6.36</v>
      </c>
      <c r="D232">
        <v>6.36</v>
      </c>
      <c r="E232" s="27">
        <v>100.05</v>
      </c>
      <c r="F232">
        <v>4.6900000000000004</v>
      </c>
      <c r="G232">
        <v>3.28</v>
      </c>
      <c r="H232">
        <v>7.97</v>
      </c>
      <c r="I232">
        <v>58.85</v>
      </c>
      <c r="J232">
        <v>79.84</v>
      </c>
      <c r="K232" s="9">
        <v>45297</v>
      </c>
      <c r="L232">
        <f xml:space="preserve"> (交易處理資料__3[[#This Row],[售出工時]] * 60) / 5</f>
        <v>76.320000000000007</v>
      </c>
      <c r="M232" t="str">
        <f>VLOOKUP(交易處理資料__3[[#This Row],[人員代號]],團隊分組!$B$1:$C$52,2,FALSE)</f>
        <v>快速保養團隊B</v>
      </c>
      <c r="N232">
        <f>IF(交易處理資料__3[[#This Row],[上班時間]]=0,0,交易處理資料__3[[#This Row],[售出工時]]/交易處理資料__3[[#This Row],[上班時間]])</f>
        <v>0.79799247176913435</v>
      </c>
      <c r="O232" s="31" t="str">
        <f>IF(交易處理資料__3[[#This Row],[上班時間]]=0,"否","是")</f>
        <v>是</v>
      </c>
    </row>
    <row r="233" spans="1:15" hidden="1">
      <c r="A233" t="s">
        <v>75</v>
      </c>
      <c r="B233" t="s">
        <v>28</v>
      </c>
      <c r="C233">
        <v>5.82</v>
      </c>
      <c r="D233">
        <v>5.83</v>
      </c>
      <c r="E233" s="27">
        <v>99.88</v>
      </c>
      <c r="F233">
        <v>7.59</v>
      </c>
      <c r="G233">
        <v>0.51</v>
      </c>
      <c r="H233">
        <v>8.1</v>
      </c>
      <c r="I233">
        <v>93.7</v>
      </c>
      <c r="J233">
        <v>71.89</v>
      </c>
      <c r="K233" s="9">
        <v>45297</v>
      </c>
      <c r="L233">
        <f xml:space="preserve"> (交易處理資料__3[[#This Row],[售出工時]] * 60) / 5</f>
        <v>69.84</v>
      </c>
      <c r="M233" t="str">
        <f>VLOOKUP(交易處理資料__3[[#This Row],[人員代號]],團隊分組!$B$1:$C$52,2,FALSE)</f>
        <v>快速保養團隊A</v>
      </c>
      <c r="N233">
        <f>IF(交易處理資料__3[[#This Row],[上班時間]]=0,0,交易處理資料__3[[#This Row],[售出工時]]/交易處理資料__3[[#This Row],[上班時間]])</f>
        <v>0.71851851851851856</v>
      </c>
      <c r="O233" s="31" t="str">
        <f>IF(交易處理資料__3[[#This Row],[上班時間]]=0,"否","是")</f>
        <v>是</v>
      </c>
    </row>
    <row r="234" spans="1:15" hidden="1">
      <c r="A234" t="s">
        <v>75</v>
      </c>
      <c r="B234" t="s">
        <v>30</v>
      </c>
      <c r="C234">
        <v>6.97</v>
      </c>
      <c r="D234">
        <v>7.18</v>
      </c>
      <c r="E234" s="27">
        <v>97.07</v>
      </c>
      <c r="F234">
        <v>4.71</v>
      </c>
      <c r="G234">
        <v>3.25</v>
      </c>
      <c r="H234">
        <v>7.96</v>
      </c>
      <c r="I234">
        <v>59.17</v>
      </c>
      <c r="J234">
        <v>87.56</v>
      </c>
      <c r="K234" s="9">
        <v>45297</v>
      </c>
      <c r="L234">
        <f xml:space="preserve"> (交易處理資料__3[[#This Row],[售出工時]] * 60) / 5</f>
        <v>83.64</v>
      </c>
      <c r="M234" t="str">
        <f>VLOOKUP(交易處理資料__3[[#This Row],[人員代號]],團隊分組!$B$1:$C$52,2,FALSE)</f>
        <v>快速保養團隊B</v>
      </c>
      <c r="N234">
        <f>IF(交易處理資料__3[[#This Row],[上班時間]]=0,0,交易處理資料__3[[#This Row],[售出工時]]/交易處理資料__3[[#This Row],[上班時間]])</f>
        <v>0.87562814070351758</v>
      </c>
      <c r="O234" s="31" t="str">
        <f>IF(交易處理資料__3[[#This Row],[上班時間]]=0,"否","是")</f>
        <v>是</v>
      </c>
    </row>
    <row r="235" spans="1:15" hidden="1">
      <c r="A235" t="s">
        <v>75</v>
      </c>
      <c r="B235" t="s">
        <v>31</v>
      </c>
      <c r="C235">
        <v>0</v>
      </c>
      <c r="D235">
        <v>0</v>
      </c>
      <c r="E235" s="27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s="9">
        <v>45297</v>
      </c>
      <c r="L235">
        <f xml:space="preserve"> (交易處理資料__3[[#This Row],[售出工時]] * 60) / 5</f>
        <v>0</v>
      </c>
      <c r="M235" t="str">
        <f>VLOOKUP(交易處理資料__3[[#This Row],[人員代號]],團隊分組!$B$1:$C$52,2,FALSE)</f>
        <v>快速保養團隊A</v>
      </c>
      <c r="N235">
        <f>IF(交易處理資料__3[[#This Row],[上班時間]]=0,0,交易處理資料__3[[#This Row],[售出工時]]/交易處理資料__3[[#This Row],[上班時間]])</f>
        <v>0</v>
      </c>
      <c r="O235" s="31" t="str">
        <f>IF(交易處理資料__3[[#This Row],[上班時間]]=0,"否","是")</f>
        <v>否</v>
      </c>
    </row>
    <row r="236" spans="1:15">
      <c r="A236" t="s">
        <v>75</v>
      </c>
      <c r="B236" t="s">
        <v>33</v>
      </c>
      <c r="C236">
        <v>0</v>
      </c>
      <c r="D236">
        <v>0</v>
      </c>
      <c r="E236" s="27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s="9">
        <v>45297</v>
      </c>
      <c r="L236">
        <f xml:space="preserve"> (交易處理資料__3[[#This Row],[售出工時]] * 60) / 5</f>
        <v>0</v>
      </c>
      <c r="M236" t="str">
        <f>VLOOKUP(交易處理資料__3[[#This Row],[人員代號]],團隊分組!$B$1:$C$52,2,FALSE)</f>
        <v>快速保養團隊B</v>
      </c>
      <c r="N236">
        <f>IF(交易處理資料__3[[#This Row],[上班時間]]=0,0,交易處理資料__3[[#This Row],[售出工時]]/交易處理資料__3[[#This Row],[上班時間]])</f>
        <v>0</v>
      </c>
      <c r="O236" s="31" t="str">
        <f>IF(交易處理資料__3[[#This Row],[上班時間]]=0,"否","是")</f>
        <v>否</v>
      </c>
    </row>
    <row r="237" spans="1:15" hidden="1">
      <c r="A237" t="s">
        <v>75</v>
      </c>
      <c r="B237" t="s">
        <v>34</v>
      </c>
      <c r="C237">
        <v>4.66</v>
      </c>
      <c r="D237">
        <v>5.99</v>
      </c>
      <c r="E237" s="27">
        <v>77.900000000000006</v>
      </c>
      <c r="F237">
        <v>5.18</v>
      </c>
      <c r="G237">
        <v>2.81</v>
      </c>
      <c r="H237">
        <v>7.99</v>
      </c>
      <c r="I237">
        <v>64.83</v>
      </c>
      <c r="J237">
        <v>58.41</v>
      </c>
      <c r="K237" s="9">
        <v>45297</v>
      </c>
      <c r="L237">
        <f xml:space="preserve"> (交易處理資料__3[[#This Row],[售出工時]] * 60) / 5</f>
        <v>55.92</v>
      </c>
      <c r="M237" t="str">
        <f>VLOOKUP(交易處理資料__3[[#This Row],[人員代號]],團隊分組!$B$1:$C$52,2,FALSE)</f>
        <v>快速保養團隊A</v>
      </c>
      <c r="N237">
        <f>IF(交易處理資料__3[[#This Row],[上班時間]]=0,0,交易處理資料__3[[#This Row],[售出工時]]/交易處理資料__3[[#This Row],[上班時間]])</f>
        <v>0.58322903629536926</v>
      </c>
      <c r="O237" s="31" t="str">
        <f>IF(交易處理資料__3[[#This Row],[上班時間]]=0,"否","是")</f>
        <v>是</v>
      </c>
    </row>
    <row r="238" spans="1:15" hidden="1">
      <c r="A238" t="s">
        <v>75</v>
      </c>
      <c r="B238" t="s">
        <v>36</v>
      </c>
      <c r="C238">
        <v>0</v>
      </c>
      <c r="D238">
        <v>0</v>
      </c>
      <c r="E238" s="27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s="9">
        <v>45297</v>
      </c>
      <c r="L238">
        <f xml:space="preserve"> (交易處理資料__3[[#This Row],[售出工時]] * 60) / 5</f>
        <v>0</v>
      </c>
      <c r="M238" t="str">
        <f>VLOOKUP(交易處理資料__3[[#This Row],[人員代號]],團隊分組!$B$1:$C$52,2,FALSE)</f>
        <v>查修團隊B</v>
      </c>
      <c r="N238">
        <f>IF(交易處理資料__3[[#This Row],[上班時間]]=0,0,交易處理資料__3[[#This Row],[售出工時]]/交易處理資料__3[[#This Row],[上班時間]])</f>
        <v>0</v>
      </c>
      <c r="O238" s="31" t="str">
        <f>IF(交易處理資料__3[[#This Row],[上班時間]]=0,"否","是")</f>
        <v>否</v>
      </c>
    </row>
    <row r="239" spans="1:15" hidden="1">
      <c r="A239" t="s">
        <v>75</v>
      </c>
      <c r="B239" t="s">
        <v>37</v>
      </c>
      <c r="C239">
        <v>0</v>
      </c>
      <c r="D239">
        <v>0</v>
      </c>
      <c r="E239" s="27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s="9">
        <v>45297</v>
      </c>
      <c r="L239">
        <f xml:space="preserve"> (交易處理資料__3[[#This Row],[售出工時]] * 60) / 5</f>
        <v>0</v>
      </c>
      <c r="M239" t="str">
        <f>VLOOKUP(交易處理資料__3[[#This Row],[人員代號]],團隊分組!$B$1:$C$52,2,FALSE)</f>
        <v>查修團隊A</v>
      </c>
      <c r="N239">
        <f>IF(交易處理資料__3[[#This Row],[上班時間]]=0,0,交易處理資料__3[[#This Row],[售出工時]]/交易處理資料__3[[#This Row],[上班時間]])</f>
        <v>0</v>
      </c>
      <c r="O239" s="31" t="str">
        <f>IF(交易處理資料__3[[#This Row],[上班時間]]=0,"否","是")</f>
        <v>否</v>
      </c>
    </row>
    <row r="240" spans="1:15" hidden="1">
      <c r="A240" t="s">
        <v>75</v>
      </c>
      <c r="B240" t="s">
        <v>38</v>
      </c>
      <c r="C240">
        <v>0</v>
      </c>
      <c r="D240">
        <v>0</v>
      </c>
      <c r="E240" s="27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s="9">
        <v>45297</v>
      </c>
      <c r="L240">
        <f xml:space="preserve"> (交易處理資料__3[[#This Row],[售出工時]] * 60) / 5</f>
        <v>0</v>
      </c>
      <c r="M240" t="str">
        <f>VLOOKUP(交易處理資料__3[[#This Row],[人員代號]],團隊分組!$B$1:$C$52,2,FALSE)</f>
        <v>快速保養團隊A</v>
      </c>
      <c r="N240">
        <f>IF(交易處理資料__3[[#This Row],[上班時間]]=0,0,交易處理資料__3[[#This Row],[售出工時]]/交易處理資料__3[[#This Row],[上班時間]])</f>
        <v>0</v>
      </c>
      <c r="O240" s="31" t="str">
        <f>IF(交易處理資料__3[[#This Row],[上班時間]]=0,"否","是")</f>
        <v>否</v>
      </c>
    </row>
    <row r="241" spans="1:15" hidden="1">
      <c r="A241" t="s">
        <v>75</v>
      </c>
      <c r="B241" t="s">
        <v>39</v>
      </c>
      <c r="C241">
        <v>0</v>
      </c>
      <c r="D241">
        <v>0</v>
      </c>
      <c r="E241" s="27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s="9">
        <v>45297</v>
      </c>
      <c r="L241">
        <f xml:space="preserve"> (交易處理資料__3[[#This Row],[售出工時]] * 60) / 5</f>
        <v>0</v>
      </c>
      <c r="M241" t="str">
        <f>VLOOKUP(交易處理資料__3[[#This Row],[人員代號]],團隊分組!$B$1:$C$52,2,FALSE)</f>
        <v>查修團隊A</v>
      </c>
      <c r="N241">
        <f>IF(交易處理資料__3[[#This Row],[上班時間]]=0,0,交易處理資料__3[[#This Row],[售出工時]]/交易處理資料__3[[#This Row],[上班時間]])</f>
        <v>0</v>
      </c>
      <c r="O241" s="31" t="str">
        <f>IF(交易處理資料__3[[#This Row],[上班時間]]=0,"否","是")</f>
        <v>否</v>
      </c>
    </row>
    <row r="242" spans="1:15" hidden="1">
      <c r="A242" t="s">
        <v>75</v>
      </c>
      <c r="B242" t="s">
        <v>42</v>
      </c>
      <c r="C242">
        <v>4.08</v>
      </c>
      <c r="D242">
        <v>5.1100000000000003</v>
      </c>
      <c r="E242" s="27">
        <v>79.900000000000006</v>
      </c>
      <c r="F242">
        <v>4.33</v>
      </c>
      <c r="G242">
        <v>3.65</v>
      </c>
      <c r="H242">
        <v>7.98</v>
      </c>
      <c r="I242">
        <v>54.26</v>
      </c>
      <c r="J242">
        <v>51.17</v>
      </c>
      <c r="K242" s="9">
        <v>45297</v>
      </c>
      <c r="L242">
        <f xml:space="preserve"> (交易處理資料__3[[#This Row],[售出工時]] * 60) / 5</f>
        <v>48.96</v>
      </c>
      <c r="M242" t="str">
        <f>VLOOKUP(交易處理資料__3[[#This Row],[人員代號]],團隊分組!$B$1:$C$52,2,FALSE)</f>
        <v>快速保養團隊A</v>
      </c>
      <c r="N242">
        <f>IF(交易處理資料__3[[#This Row],[上班時間]]=0,0,交易處理資料__3[[#This Row],[售出工時]]/交易處理資料__3[[#This Row],[上班時間]])</f>
        <v>0.51127819548872178</v>
      </c>
      <c r="O242" s="31" t="str">
        <f>IF(交易處理資料__3[[#This Row],[上班時間]]=0,"否","是")</f>
        <v>是</v>
      </c>
    </row>
    <row r="243" spans="1:15" hidden="1">
      <c r="A243" t="s">
        <v>75</v>
      </c>
      <c r="B243" t="s">
        <v>43</v>
      </c>
      <c r="C243">
        <v>0</v>
      </c>
      <c r="D243">
        <v>0</v>
      </c>
      <c r="E243" s="27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s="9">
        <v>45297</v>
      </c>
      <c r="L243">
        <f xml:space="preserve"> (交易處理資料__3[[#This Row],[售出工時]] * 60) / 5</f>
        <v>0</v>
      </c>
      <c r="M243" t="str">
        <f>VLOOKUP(交易處理資料__3[[#This Row],[人員代號]],團隊分組!$B$1:$C$52,2,FALSE)</f>
        <v>查修團隊B</v>
      </c>
      <c r="N243">
        <f>IF(交易處理資料__3[[#This Row],[上班時間]]=0,0,交易處理資料__3[[#This Row],[售出工時]]/交易處理資料__3[[#This Row],[上班時間]])</f>
        <v>0</v>
      </c>
      <c r="O243" s="31" t="str">
        <f>IF(交易處理資料__3[[#This Row],[上班時間]]=0,"否","是")</f>
        <v>否</v>
      </c>
    </row>
    <row r="244" spans="1:15" hidden="1">
      <c r="A244" t="s">
        <v>75</v>
      </c>
      <c r="B244" t="s">
        <v>44</v>
      </c>
      <c r="C244">
        <v>0</v>
      </c>
      <c r="D244">
        <v>0</v>
      </c>
      <c r="E244" s="27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 s="9">
        <v>45297</v>
      </c>
      <c r="L244">
        <f xml:space="preserve"> (交易處理資料__3[[#This Row],[售出工時]] * 60) / 5</f>
        <v>0</v>
      </c>
      <c r="M244" t="str">
        <f>VLOOKUP(交易處理資料__3[[#This Row],[人員代號]],團隊分組!$B$1:$C$52,2,FALSE)</f>
        <v>快速保養團隊B</v>
      </c>
      <c r="N244">
        <f>IF(交易處理資料__3[[#This Row],[上班時間]]=0,0,交易處理資料__3[[#This Row],[售出工時]]/交易處理資料__3[[#This Row],[上班時間]])</f>
        <v>0</v>
      </c>
      <c r="O244" s="31" t="str">
        <f>IF(交易處理資料__3[[#This Row],[上班時間]]=0,"否","是")</f>
        <v>否</v>
      </c>
    </row>
    <row r="245" spans="1:15" hidden="1">
      <c r="A245" t="s">
        <v>75</v>
      </c>
      <c r="B245" t="s">
        <v>45</v>
      </c>
      <c r="C245">
        <v>4.83</v>
      </c>
      <c r="D245">
        <v>4.1500000000000004</v>
      </c>
      <c r="E245" s="27">
        <v>116.46</v>
      </c>
      <c r="F245">
        <v>4.0599999999999996</v>
      </c>
      <c r="G245">
        <v>3.91</v>
      </c>
      <c r="H245">
        <v>7.97</v>
      </c>
      <c r="I245">
        <v>50.94</v>
      </c>
      <c r="J245">
        <v>60.64</v>
      </c>
      <c r="K245" s="9">
        <v>45297</v>
      </c>
      <c r="L245">
        <f xml:space="preserve"> (交易處理資料__3[[#This Row],[售出工時]] * 60) / 5</f>
        <v>57.96</v>
      </c>
      <c r="M245" t="str">
        <f>VLOOKUP(交易處理資料__3[[#This Row],[人員代號]],團隊分組!$B$1:$C$52,2,FALSE)</f>
        <v>快速保養團隊A</v>
      </c>
      <c r="N245">
        <f>IF(交易處理資料__3[[#This Row],[上班時間]]=0,0,交易處理資料__3[[#This Row],[售出工時]]/交易處理資料__3[[#This Row],[上班時間]])</f>
        <v>0.60602258469259729</v>
      </c>
      <c r="O245" s="31" t="str">
        <f>IF(交易處理資料__3[[#This Row],[上班時間]]=0,"否","是")</f>
        <v>是</v>
      </c>
    </row>
    <row r="246" spans="1:15" hidden="1">
      <c r="A246" t="s">
        <v>75</v>
      </c>
      <c r="B246" t="s">
        <v>46</v>
      </c>
      <c r="C246">
        <v>6.27</v>
      </c>
      <c r="D246">
        <v>7.68</v>
      </c>
      <c r="E246" s="27">
        <v>81.64</v>
      </c>
      <c r="F246">
        <v>6.75</v>
      </c>
      <c r="G246">
        <v>1.25</v>
      </c>
      <c r="H246">
        <v>8</v>
      </c>
      <c r="I246">
        <v>84.38</v>
      </c>
      <c r="J246">
        <v>78.38</v>
      </c>
      <c r="K246" s="9">
        <v>45297</v>
      </c>
      <c r="L246">
        <f xml:space="preserve"> (交易處理資料__3[[#This Row],[售出工時]] * 60) / 5</f>
        <v>75.239999999999995</v>
      </c>
      <c r="M246" t="str">
        <f>VLOOKUP(交易處理資料__3[[#This Row],[人員代號]],團隊分組!$B$1:$C$52,2,FALSE)</f>
        <v>查修團隊B</v>
      </c>
      <c r="N246">
        <f>IF(交易處理資料__3[[#This Row],[上班時間]]=0,0,交易處理資料__3[[#This Row],[售出工時]]/交易處理資料__3[[#This Row],[上班時間]])</f>
        <v>0.78374999999999995</v>
      </c>
      <c r="O246" s="31" t="str">
        <f>IF(交易處理資料__3[[#This Row],[上班時間]]=0,"否","是")</f>
        <v>是</v>
      </c>
    </row>
    <row r="247" spans="1:15" hidden="1">
      <c r="A247" t="s">
        <v>75</v>
      </c>
      <c r="B247" t="s">
        <v>47</v>
      </c>
      <c r="C247">
        <v>0</v>
      </c>
      <c r="D247">
        <v>0</v>
      </c>
      <c r="E247" s="2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s="9">
        <v>45297</v>
      </c>
      <c r="L247">
        <f xml:space="preserve"> (交易處理資料__3[[#This Row],[售出工時]] * 60) / 5</f>
        <v>0</v>
      </c>
      <c r="M247" t="str">
        <f>VLOOKUP(交易處理資料__3[[#This Row],[人員代號]],團隊分組!$B$1:$C$52,2,FALSE)</f>
        <v>查修團隊B</v>
      </c>
      <c r="N247">
        <f>IF(交易處理資料__3[[#This Row],[上班時間]]=0,0,交易處理資料__3[[#This Row],[售出工時]]/交易處理資料__3[[#This Row],[上班時間]])</f>
        <v>0</v>
      </c>
      <c r="O247" s="31" t="str">
        <f>IF(交易處理資料__3[[#This Row],[上班時間]]=0,"否","是")</f>
        <v>否</v>
      </c>
    </row>
    <row r="248" spans="1:15" hidden="1">
      <c r="A248" t="s">
        <v>75</v>
      </c>
      <c r="B248" t="s">
        <v>48</v>
      </c>
      <c r="C248">
        <v>5</v>
      </c>
      <c r="D248">
        <v>3.1</v>
      </c>
      <c r="E248" s="27">
        <v>161.29</v>
      </c>
      <c r="F248">
        <v>3.1</v>
      </c>
      <c r="G248">
        <v>4.88</v>
      </c>
      <c r="H248">
        <v>7.98</v>
      </c>
      <c r="I248">
        <v>38.85</v>
      </c>
      <c r="J248">
        <v>62.66</v>
      </c>
      <c r="K248" s="9">
        <v>45297</v>
      </c>
      <c r="L248">
        <f xml:space="preserve"> (交易處理資料__3[[#This Row],[售出工時]] * 60) / 5</f>
        <v>60</v>
      </c>
      <c r="M248" t="str">
        <f>VLOOKUP(交易處理資料__3[[#This Row],[人員代號]],團隊分組!$B$1:$C$52,2,FALSE)</f>
        <v>查修團隊A</v>
      </c>
      <c r="N248">
        <f>IF(交易處理資料__3[[#This Row],[上班時間]]=0,0,交易處理資料__3[[#This Row],[售出工時]]/交易處理資料__3[[#This Row],[上班時間]])</f>
        <v>0.62656641604010022</v>
      </c>
      <c r="O248" s="31" t="str">
        <f>IF(交易處理資料__3[[#This Row],[上班時間]]=0,"否","是")</f>
        <v>是</v>
      </c>
    </row>
    <row r="249" spans="1:15" hidden="1">
      <c r="A249" t="s">
        <v>75</v>
      </c>
      <c r="B249" t="s">
        <v>49</v>
      </c>
      <c r="C249">
        <v>0</v>
      </c>
      <c r="D249">
        <v>0</v>
      </c>
      <c r="E249" s="27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s="9">
        <v>45297</v>
      </c>
      <c r="L249">
        <f xml:space="preserve"> (交易處理資料__3[[#This Row],[售出工時]] * 60) / 5</f>
        <v>0</v>
      </c>
      <c r="M249" t="str">
        <f>VLOOKUP(交易處理資料__3[[#This Row],[人員代號]],團隊分組!$B$1:$C$52,2,FALSE)</f>
        <v>查修團隊A</v>
      </c>
      <c r="N249">
        <f>IF(交易處理資料__3[[#This Row],[上班時間]]=0,0,交易處理資料__3[[#This Row],[售出工時]]/交易處理資料__3[[#This Row],[上班時間]])</f>
        <v>0</v>
      </c>
      <c r="O249" s="31" t="str">
        <f>IF(交易處理資料__3[[#This Row],[上班時間]]=0,"否","是")</f>
        <v>否</v>
      </c>
    </row>
    <row r="250" spans="1:15" hidden="1">
      <c r="A250" t="s">
        <v>75</v>
      </c>
      <c r="B250" t="s">
        <v>50</v>
      </c>
      <c r="C250">
        <v>0</v>
      </c>
      <c r="D250">
        <v>0</v>
      </c>
      <c r="E250" s="27">
        <v>0</v>
      </c>
      <c r="F250">
        <v>6.49</v>
      </c>
      <c r="G250">
        <v>1.53</v>
      </c>
      <c r="H250">
        <v>8.02</v>
      </c>
      <c r="I250">
        <v>80.92</v>
      </c>
      <c r="J250">
        <v>0</v>
      </c>
      <c r="K250" s="9">
        <v>45297</v>
      </c>
      <c r="L250">
        <f xml:space="preserve"> (交易處理資料__3[[#This Row],[售出工時]] * 60) / 5</f>
        <v>0</v>
      </c>
      <c r="M250" t="str">
        <f>VLOOKUP(交易處理資料__3[[#This Row],[人員代號]],團隊分組!$B$1:$C$52,2,FALSE)</f>
        <v>快速保養團隊B</v>
      </c>
      <c r="N250">
        <f>IF(交易處理資料__3[[#This Row],[上班時間]]=0,0,交易處理資料__3[[#This Row],[售出工時]]/交易處理資料__3[[#This Row],[上班時間]])</f>
        <v>0</v>
      </c>
      <c r="O250" s="31" t="str">
        <f>IF(交易處理資料__3[[#This Row],[上班時間]]=0,"否","是")</f>
        <v>是</v>
      </c>
    </row>
    <row r="251" spans="1:15" hidden="1">
      <c r="A251" t="s">
        <v>75</v>
      </c>
      <c r="B251" t="s">
        <v>51</v>
      </c>
      <c r="C251">
        <v>0</v>
      </c>
      <c r="D251">
        <v>0</v>
      </c>
      <c r="E251" s="27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s="9">
        <v>45297</v>
      </c>
      <c r="L251">
        <f xml:space="preserve"> (交易處理資料__3[[#This Row],[售出工時]] * 60) / 5</f>
        <v>0</v>
      </c>
      <c r="M251" t="str">
        <f>VLOOKUP(交易處理資料__3[[#This Row],[人員代號]],團隊分組!$B$1:$C$52,2,FALSE)</f>
        <v>無效數據</v>
      </c>
      <c r="N251">
        <f>IF(交易處理資料__3[[#This Row],[上班時間]]=0,0,交易處理資料__3[[#This Row],[售出工時]]/交易處理資料__3[[#This Row],[上班時間]])</f>
        <v>0</v>
      </c>
      <c r="O251" s="31" t="str">
        <f>IF(交易處理資料__3[[#This Row],[上班時間]]=0,"否","是")</f>
        <v>否</v>
      </c>
    </row>
    <row r="252" spans="1:15" hidden="1">
      <c r="A252" t="s">
        <v>75</v>
      </c>
      <c r="B252" t="s">
        <v>53</v>
      </c>
      <c r="C252">
        <v>9.8000000000000007</v>
      </c>
      <c r="D252">
        <v>6.45</v>
      </c>
      <c r="E252" s="27">
        <v>152.04</v>
      </c>
      <c r="F252">
        <v>5</v>
      </c>
      <c r="G252">
        <v>3.08</v>
      </c>
      <c r="H252">
        <v>8.08</v>
      </c>
      <c r="I252">
        <v>61.88</v>
      </c>
      <c r="J252">
        <v>121.37</v>
      </c>
      <c r="K252" s="9">
        <v>45297</v>
      </c>
      <c r="L252">
        <f xml:space="preserve"> (交易處理資料__3[[#This Row],[售出工時]] * 60) / 5</f>
        <v>117.6</v>
      </c>
      <c r="M252" t="str">
        <f>VLOOKUP(交易處理資料__3[[#This Row],[人員代號]],團隊分組!$B$1:$C$52,2,FALSE)</f>
        <v>查修團隊A</v>
      </c>
      <c r="N252">
        <f>IF(交易處理資料__3[[#This Row],[上班時間]]=0,0,交易處理資料__3[[#This Row],[售出工時]]/交易處理資料__3[[#This Row],[上班時間]])</f>
        <v>1.2128712871287128</v>
      </c>
      <c r="O252" s="31" t="str">
        <f>IF(交易處理資料__3[[#This Row],[上班時間]]=0,"否","是")</f>
        <v>是</v>
      </c>
    </row>
    <row r="253" spans="1:15" hidden="1">
      <c r="A253" s="10" t="s">
        <v>73</v>
      </c>
      <c r="B253" t="s">
        <v>1</v>
      </c>
      <c r="C253">
        <v>0</v>
      </c>
      <c r="D253">
        <v>0</v>
      </c>
      <c r="E253" s="27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s="9">
        <v>45298</v>
      </c>
      <c r="L253">
        <f xml:space="preserve"> (交易處理資料__3[[#This Row],[售出工時]] * 60) / 5</f>
        <v>0</v>
      </c>
      <c r="M253" t="str">
        <f>VLOOKUP(交易處理資料__3[[#This Row],[人員代號]],團隊分組!$B$1:$C$52,2,FALSE)</f>
        <v>噴漆維修組</v>
      </c>
      <c r="N253">
        <f>IF(交易處理資料__3[[#This Row],[上班時間]]=0,0,交易處理資料__3[[#This Row],[售出工時]]/交易處理資料__3[[#This Row],[上班時間]])</f>
        <v>0</v>
      </c>
      <c r="O253" s="31" t="str">
        <f>IF(交易處理資料__3[[#This Row],[上班時間]]=0,"否","是")</f>
        <v>否</v>
      </c>
    </row>
    <row r="254" spans="1:15" hidden="1">
      <c r="A254" s="10" t="s">
        <v>73</v>
      </c>
      <c r="B254" t="s">
        <v>2</v>
      </c>
      <c r="C254">
        <v>0</v>
      </c>
      <c r="D254">
        <v>0</v>
      </c>
      <c r="E254" s="27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 s="9">
        <v>45298</v>
      </c>
      <c r="L254">
        <f xml:space="preserve"> (交易處理資料__3[[#This Row],[售出工時]] * 60) / 5</f>
        <v>0</v>
      </c>
      <c r="M254" t="str">
        <f>VLOOKUP(交易處理資料__3[[#This Row],[人員代號]],團隊分組!$B$1:$C$52,2,FALSE)</f>
        <v>噴漆維修組</v>
      </c>
      <c r="N254">
        <f>IF(交易處理資料__3[[#This Row],[上班時間]]=0,0,交易處理資料__3[[#This Row],[售出工時]]/交易處理資料__3[[#This Row],[上班時間]])</f>
        <v>0</v>
      </c>
      <c r="O254" s="31" t="str">
        <f>IF(交易處理資料__3[[#This Row],[上班時間]]=0,"否","是")</f>
        <v>否</v>
      </c>
    </row>
    <row r="255" spans="1:15" hidden="1">
      <c r="A255" s="10" t="s">
        <v>73</v>
      </c>
      <c r="B255" t="s">
        <v>3</v>
      </c>
      <c r="C255">
        <v>0</v>
      </c>
      <c r="D255">
        <v>0</v>
      </c>
      <c r="E255" s="27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 s="9">
        <v>45298</v>
      </c>
      <c r="L255">
        <f xml:space="preserve"> (交易處理資料__3[[#This Row],[售出工時]] * 60) / 5</f>
        <v>0</v>
      </c>
      <c r="M255" t="str">
        <f>VLOOKUP(交易處理資料__3[[#This Row],[人員代號]],團隊分組!$B$1:$C$52,2,FALSE)</f>
        <v>噴漆維修組</v>
      </c>
      <c r="N255">
        <f>IF(交易處理資料__3[[#This Row],[上班時間]]=0,0,交易處理資料__3[[#This Row],[售出工時]]/交易處理資料__3[[#This Row],[上班時間]])</f>
        <v>0</v>
      </c>
      <c r="O255" s="31" t="str">
        <f>IF(交易處理資料__3[[#This Row],[上班時間]]=0,"否","是")</f>
        <v>否</v>
      </c>
    </row>
    <row r="256" spans="1:15" hidden="1">
      <c r="A256" s="10" t="s">
        <v>73</v>
      </c>
      <c r="B256" t="s">
        <v>4</v>
      </c>
      <c r="C256">
        <v>0</v>
      </c>
      <c r="D256">
        <v>0</v>
      </c>
      <c r="E256" s="27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s="9">
        <v>45298</v>
      </c>
      <c r="L256">
        <f xml:space="preserve"> (交易處理資料__3[[#This Row],[售出工時]] * 60) / 5</f>
        <v>0</v>
      </c>
      <c r="M256" t="str">
        <f>VLOOKUP(交易處理資料__3[[#This Row],[人員代號]],團隊分組!$B$1:$C$52,2,FALSE)</f>
        <v>噴漆維修組</v>
      </c>
      <c r="N256">
        <f>IF(交易處理資料__3[[#This Row],[上班時間]]=0,0,交易處理資料__3[[#This Row],[售出工時]]/交易處理資料__3[[#This Row],[上班時間]])</f>
        <v>0</v>
      </c>
      <c r="O256" s="31" t="str">
        <f>IF(交易處理資料__3[[#This Row],[上班時間]]=0,"否","是")</f>
        <v>否</v>
      </c>
    </row>
    <row r="257" spans="1:15" hidden="1">
      <c r="A257" s="10" t="s">
        <v>73</v>
      </c>
      <c r="B257" t="s">
        <v>5</v>
      </c>
      <c r="C257">
        <v>0</v>
      </c>
      <c r="D257">
        <v>0</v>
      </c>
      <c r="E257" s="2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 s="9">
        <v>45298</v>
      </c>
      <c r="L257">
        <f xml:space="preserve"> (交易處理資料__3[[#This Row],[售出工時]] * 60) / 5</f>
        <v>0</v>
      </c>
      <c r="M257" t="str">
        <f>VLOOKUP(交易處理資料__3[[#This Row],[人員代號]],團隊分組!$B$1:$C$52,2,FALSE)</f>
        <v>噴漆維修組</v>
      </c>
      <c r="N257">
        <f>IF(交易處理資料__3[[#This Row],[上班時間]]=0,0,交易處理資料__3[[#This Row],[售出工時]]/交易處理資料__3[[#This Row],[上班時間]])</f>
        <v>0</v>
      </c>
      <c r="O257" s="31" t="str">
        <f>IF(交易處理資料__3[[#This Row],[上班時間]]=0,"否","是")</f>
        <v>否</v>
      </c>
    </row>
    <row r="258" spans="1:15" hidden="1">
      <c r="A258" s="10" t="s">
        <v>73</v>
      </c>
      <c r="B258" t="s">
        <v>6</v>
      </c>
      <c r="C258">
        <v>0</v>
      </c>
      <c r="D258">
        <v>0</v>
      </c>
      <c r="E258" s="27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 s="9">
        <v>45298</v>
      </c>
      <c r="L258">
        <f xml:space="preserve"> (交易處理資料__3[[#This Row],[售出工時]] * 60) / 5</f>
        <v>0</v>
      </c>
      <c r="M258" t="str">
        <f>VLOOKUP(交易處理資料__3[[#This Row],[人員代號]],團隊分組!$B$1:$C$52,2,FALSE)</f>
        <v>噴漆維修組</v>
      </c>
      <c r="N258">
        <f>IF(交易處理資料__3[[#This Row],[上班時間]]=0,0,交易處理資料__3[[#This Row],[售出工時]]/交易處理資料__3[[#This Row],[上班時間]])</f>
        <v>0</v>
      </c>
      <c r="O258" s="31" t="str">
        <f>IF(交易處理資料__3[[#This Row],[上班時間]]=0,"否","是")</f>
        <v>否</v>
      </c>
    </row>
    <row r="259" spans="1:15" hidden="1">
      <c r="A259" s="10" t="s">
        <v>73</v>
      </c>
      <c r="B259" t="s">
        <v>7</v>
      </c>
      <c r="C259">
        <v>0</v>
      </c>
      <c r="D259">
        <v>0</v>
      </c>
      <c r="E259" s="27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 s="9">
        <v>45298</v>
      </c>
      <c r="L259">
        <f xml:space="preserve"> (交易處理資料__3[[#This Row],[售出工時]] * 60) / 5</f>
        <v>0</v>
      </c>
      <c r="M259" t="str">
        <f>VLOOKUP(交易處理資料__3[[#This Row],[人員代號]],團隊分組!$B$1:$C$52,2,FALSE)</f>
        <v>噴漆維修組</v>
      </c>
      <c r="N259">
        <f>IF(交易處理資料__3[[#This Row],[上班時間]]=0,0,交易處理資料__3[[#This Row],[售出工時]]/交易處理資料__3[[#This Row],[上班時間]])</f>
        <v>0</v>
      </c>
      <c r="O259" s="31" t="str">
        <f>IF(交易處理資料__3[[#This Row],[上班時間]]=0,"否","是")</f>
        <v>否</v>
      </c>
    </row>
    <row r="260" spans="1:15" hidden="1">
      <c r="A260" s="10" t="s">
        <v>73</v>
      </c>
      <c r="B260" t="s">
        <v>8</v>
      </c>
      <c r="C260">
        <v>0</v>
      </c>
      <c r="D260">
        <v>0</v>
      </c>
      <c r="E260" s="27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 s="9">
        <v>45298</v>
      </c>
      <c r="L260">
        <f xml:space="preserve"> (交易處理資料__3[[#This Row],[售出工時]] * 60) / 5</f>
        <v>0</v>
      </c>
      <c r="M260" t="str">
        <f>VLOOKUP(交易處理資料__3[[#This Row],[人員代號]],團隊分組!$B$1:$C$52,2,FALSE)</f>
        <v>噴漆維修組</v>
      </c>
      <c r="N260">
        <f>IF(交易處理資料__3[[#This Row],[上班時間]]=0,0,交易處理資料__3[[#This Row],[售出工時]]/交易處理資料__3[[#This Row],[上班時間]])</f>
        <v>0</v>
      </c>
      <c r="O260" s="31" t="str">
        <f>IF(交易處理資料__3[[#This Row],[上班時間]]=0,"否","是")</f>
        <v>否</v>
      </c>
    </row>
    <row r="261" spans="1:15" hidden="1">
      <c r="A261" s="10" t="s">
        <v>73</v>
      </c>
      <c r="B261" t="s">
        <v>9</v>
      </c>
      <c r="C261">
        <v>0</v>
      </c>
      <c r="D261">
        <v>0</v>
      </c>
      <c r="E261" s="27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 s="9">
        <v>45298</v>
      </c>
      <c r="L261">
        <f xml:space="preserve"> (交易處理資料__3[[#This Row],[售出工時]] * 60) / 5</f>
        <v>0</v>
      </c>
      <c r="M261" t="str">
        <f>VLOOKUP(交易處理資料__3[[#This Row],[人員代號]],團隊分組!$B$1:$C$52,2,FALSE)</f>
        <v>噴漆維修組</v>
      </c>
      <c r="N261">
        <f>IF(交易處理資料__3[[#This Row],[上班時間]]=0,0,交易處理資料__3[[#This Row],[售出工時]]/交易處理資料__3[[#This Row],[上班時間]])</f>
        <v>0</v>
      </c>
      <c r="O261" s="31" t="str">
        <f>IF(交易處理資料__3[[#This Row],[上班時間]]=0,"否","是")</f>
        <v>否</v>
      </c>
    </row>
    <row r="262" spans="1:15" hidden="1">
      <c r="A262" t="s">
        <v>74</v>
      </c>
      <c r="B262" t="s">
        <v>11</v>
      </c>
      <c r="C262">
        <v>0</v>
      </c>
      <c r="D262">
        <v>0</v>
      </c>
      <c r="E262" s="27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 s="9">
        <v>45298</v>
      </c>
      <c r="L262">
        <f xml:space="preserve"> (交易處理資料__3[[#This Row],[售出工時]] * 60) / 5</f>
        <v>0</v>
      </c>
      <c r="M262" t="str">
        <f>VLOOKUP(交易處理資料__3[[#This Row],[人員代號]],團隊分組!$B$1:$C$52,2,FALSE)</f>
        <v>鈑金維修組</v>
      </c>
      <c r="N262">
        <f>IF(交易處理資料__3[[#This Row],[上班時間]]=0,0,交易處理資料__3[[#This Row],[售出工時]]/交易處理資料__3[[#This Row],[上班時間]])</f>
        <v>0</v>
      </c>
      <c r="O262" s="31" t="str">
        <f>IF(交易處理資料__3[[#This Row],[上班時間]]=0,"否","是")</f>
        <v>否</v>
      </c>
    </row>
    <row r="263" spans="1:15" hidden="1">
      <c r="A263" t="s">
        <v>74</v>
      </c>
      <c r="B263" t="s">
        <v>12</v>
      </c>
      <c r="C263">
        <v>0</v>
      </c>
      <c r="D263">
        <v>0</v>
      </c>
      <c r="E263" s="27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 s="9">
        <v>45298</v>
      </c>
      <c r="L263">
        <f xml:space="preserve"> (交易處理資料__3[[#This Row],[售出工時]] * 60) / 5</f>
        <v>0</v>
      </c>
      <c r="M263" t="str">
        <f>VLOOKUP(交易處理資料__3[[#This Row],[人員代號]],團隊分組!$B$1:$C$52,2,FALSE)</f>
        <v>鈑金維修組</v>
      </c>
      <c r="N263">
        <f>IF(交易處理資料__3[[#This Row],[上班時間]]=0,0,交易處理資料__3[[#This Row],[售出工時]]/交易處理資料__3[[#This Row],[上班時間]])</f>
        <v>0</v>
      </c>
      <c r="O263" s="31" t="str">
        <f>IF(交易處理資料__3[[#This Row],[上班時間]]=0,"否","是")</f>
        <v>否</v>
      </c>
    </row>
    <row r="264" spans="1:15" hidden="1">
      <c r="A264" t="s">
        <v>74</v>
      </c>
      <c r="B264" t="s">
        <v>13</v>
      </c>
      <c r="C264">
        <v>0</v>
      </c>
      <c r="D264">
        <v>0</v>
      </c>
      <c r="E264" s="27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 s="9">
        <v>45298</v>
      </c>
      <c r="L264">
        <f xml:space="preserve"> (交易處理資料__3[[#This Row],[售出工時]] * 60) / 5</f>
        <v>0</v>
      </c>
      <c r="M264" t="str">
        <f>VLOOKUP(交易處理資料__3[[#This Row],[人員代號]],團隊分組!$B$1:$C$52,2,FALSE)</f>
        <v>鈑金維修組</v>
      </c>
      <c r="N264">
        <f>IF(交易處理資料__3[[#This Row],[上班時間]]=0,0,交易處理資料__3[[#This Row],[售出工時]]/交易處理資料__3[[#This Row],[上班時間]])</f>
        <v>0</v>
      </c>
      <c r="O264" s="31" t="str">
        <f>IF(交易處理資料__3[[#This Row],[上班時間]]=0,"否","是")</f>
        <v>否</v>
      </c>
    </row>
    <row r="265" spans="1:15" hidden="1">
      <c r="A265" t="s">
        <v>74</v>
      </c>
      <c r="B265" t="s">
        <v>14</v>
      </c>
      <c r="C265">
        <v>0</v>
      </c>
      <c r="D265">
        <v>0</v>
      </c>
      <c r="E265" s="27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 s="9">
        <v>45298</v>
      </c>
      <c r="L265">
        <f xml:space="preserve"> (交易處理資料__3[[#This Row],[售出工時]] * 60) / 5</f>
        <v>0</v>
      </c>
      <c r="M265" t="str">
        <f>VLOOKUP(交易處理資料__3[[#This Row],[人員代號]],團隊分組!$B$1:$C$52,2,FALSE)</f>
        <v>鈑金維修組</v>
      </c>
      <c r="N265">
        <f>IF(交易處理資料__3[[#This Row],[上班時間]]=0,0,交易處理資料__3[[#This Row],[售出工時]]/交易處理資料__3[[#This Row],[上班時間]])</f>
        <v>0</v>
      </c>
      <c r="O265" s="31" t="str">
        <f>IF(交易處理資料__3[[#This Row],[上班時間]]=0,"否","是")</f>
        <v>否</v>
      </c>
    </row>
    <row r="266" spans="1:15" hidden="1">
      <c r="A266" t="s">
        <v>74</v>
      </c>
      <c r="B266" t="s">
        <v>15</v>
      </c>
      <c r="C266">
        <v>0</v>
      </c>
      <c r="D266">
        <v>0</v>
      </c>
      <c r="E266" s="27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 s="9">
        <v>45298</v>
      </c>
      <c r="L266">
        <f xml:space="preserve"> (交易處理資料__3[[#This Row],[售出工時]] * 60) / 5</f>
        <v>0</v>
      </c>
      <c r="M266" t="str">
        <f>VLOOKUP(交易處理資料__3[[#This Row],[人員代號]],團隊分組!$B$1:$C$52,2,FALSE)</f>
        <v>鈑金維修組</v>
      </c>
      <c r="N266">
        <f>IF(交易處理資料__3[[#This Row],[上班時間]]=0,0,交易處理資料__3[[#This Row],[售出工時]]/交易處理資料__3[[#This Row],[上班時間]])</f>
        <v>0</v>
      </c>
      <c r="O266" s="31" t="str">
        <f>IF(交易處理資料__3[[#This Row],[上班時間]]=0,"否","是")</f>
        <v>否</v>
      </c>
    </row>
    <row r="267" spans="1:15" hidden="1">
      <c r="A267" t="s">
        <v>75</v>
      </c>
      <c r="B267" t="s">
        <v>17</v>
      </c>
      <c r="C267">
        <v>0</v>
      </c>
      <c r="D267">
        <v>0</v>
      </c>
      <c r="E267" s="2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 s="9">
        <v>45298</v>
      </c>
      <c r="L267">
        <f xml:space="preserve"> (交易處理資料__3[[#This Row],[售出工時]] * 60) / 5</f>
        <v>0</v>
      </c>
      <c r="M267" t="str">
        <f>VLOOKUP(交易處理資料__3[[#This Row],[人員代號]],團隊分組!$B$1:$C$52,2,FALSE)</f>
        <v>快速保養團隊A</v>
      </c>
      <c r="N267">
        <f>IF(交易處理資料__3[[#This Row],[上班時間]]=0,0,交易處理資料__3[[#This Row],[售出工時]]/交易處理資料__3[[#This Row],[上班時間]])</f>
        <v>0</v>
      </c>
      <c r="O267" s="31" t="str">
        <f>IF(交易處理資料__3[[#This Row],[上班時間]]=0,"否","是")</f>
        <v>否</v>
      </c>
    </row>
    <row r="268" spans="1:15" hidden="1">
      <c r="A268" t="s">
        <v>75</v>
      </c>
      <c r="B268" t="s">
        <v>18</v>
      </c>
      <c r="C268">
        <v>0</v>
      </c>
      <c r="D268">
        <v>0</v>
      </c>
      <c r="E268" s="27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 s="9">
        <v>45298</v>
      </c>
      <c r="L268">
        <f xml:space="preserve"> (交易處理資料__3[[#This Row],[售出工時]] * 60) / 5</f>
        <v>0</v>
      </c>
      <c r="M268" t="str">
        <f>VLOOKUP(交易處理資料__3[[#This Row],[人員代號]],團隊分組!$B$1:$C$52,2,FALSE)</f>
        <v>查修團隊B</v>
      </c>
      <c r="N268">
        <f>IF(交易處理資料__3[[#This Row],[上班時間]]=0,0,交易處理資料__3[[#This Row],[售出工時]]/交易處理資料__3[[#This Row],[上班時間]])</f>
        <v>0</v>
      </c>
      <c r="O268" s="31" t="str">
        <f>IF(交易處理資料__3[[#This Row],[上班時間]]=0,"否","是")</f>
        <v>否</v>
      </c>
    </row>
    <row r="269" spans="1:15" hidden="1">
      <c r="A269" t="s">
        <v>75</v>
      </c>
      <c r="B269" t="s">
        <v>19</v>
      </c>
      <c r="C269">
        <v>0</v>
      </c>
      <c r="D269">
        <v>0</v>
      </c>
      <c r="E269" s="27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 s="9">
        <v>45298</v>
      </c>
      <c r="L269">
        <f xml:space="preserve"> (交易處理資料__3[[#This Row],[售出工時]] * 60) / 5</f>
        <v>0</v>
      </c>
      <c r="M269" t="str">
        <f>VLOOKUP(交易處理資料__3[[#This Row],[人員代號]],團隊分組!$B$1:$C$52,2,FALSE)</f>
        <v>查修團隊A</v>
      </c>
      <c r="N269">
        <f>IF(交易處理資料__3[[#This Row],[上班時間]]=0,0,交易處理資料__3[[#This Row],[售出工時]]/交易處理資料__3[[#This Row],[上班時間]])</f>
        <v>0</v>
      </c>
      <c r="O269" s="31" t="str">
        <f>IF(交易處理資料__3[[#This Row],[上班時間]]=0,"否","是")</f>
        <v>否</v>
      </c>
    </row>
    <row r="270" spans="1:15" hidden="1">
      <c r="A270" t="s">
        <v>75</v>
      </c>
      <c r="B270" t="s">
        <v>20</v>
      </c>
      <c r="C270">
        <v>0</v>
      </c>
      <c r="D270">
        <v>0</v>
      </c>
      <c r="E270" s="27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 s="9">
        <v>45298</v>
      </c>
      <c r="L270">
        <f xml:space="preserve"> (交易處理資料__3[[#This Row],[售出工時]] * 60) / 5</f>
        <v>0</v>
      </c>
      <c r="M270" t="str">
        <f>VLOOKUP(交易處理資料__3[[#This Row],[人員代號]],團隊分組!$B$1:$C$52,2,FALSE)</f>
        <v>查修團隊B</v>
      </c>
      <c r="N270">
        <f>IF(交易處理資料__3[[#This Row],[上班時間]]=0,0,交易處理資料__3[[#This Row],[售出工時]]/交易處理資料__3[[#This Row],[上班時間]])</f>
        <v>0</v>
      </c>
      <c r="O270" s="31" t="str">
        <f>IF(交易處理資料__3[[#This Row],[上班時間]]=0,"否","是")</f>
        <v>否</v>
      </c>
    </row>
    <row r="271" spans="1:15" hidden="1">
      <c r="A271" t="s">
        <v>75</v>
      </c>
      <c r="B271" t="s">
        <v>21</v>
      </c>
      <c r="C271">
        <v>0</v>
      </c>
      <c r="D271">
        <v>0</v>
      </c>
      <c r="E271" s="27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s="9">
        <v>45298</v>
      </c>
      <c r="L271">
        <f xml:space="preserve"> (交易處理資料__3[[#This Row],[售出工時]] * 60) / 5</f>
        <v>0</v>
      </c>
      <c r="M271" t="str">
        <f>VLOOKUP(交易處理資料__3[[#This Row],[人員代號]],團隊分組!$B$1:$C$52,2,FALSE)</f>
        <v>查修團隊B</v>
      </c>
      <c r="N271">
        <f>IF(交易處理資料__3[[#This Row],[上班時間]]=0,0,交易處理資料__3[[#This Row],[售出工時]]/交易處理資料__3[[#This Row],[上班時間]])</f>
        <v>0</v>
      </c>
      <c r="O271" s="31" t="str">
        <f>IF(交易處理資料__3[[#This Row],[上班時間]]=0,"否","是")</f>
        <v>否</v>
      </c>
    </row>
    <row r="272" spans="1:15" hidden="1">
      <c r="A272" t="s">
        <v>75</v>
      </c>
      <c r="B272" t="s">
        <v>22</v>
      </c>
      <c r="C272">
        <v>0</v>
      </c>
      <c r="D272">
        <v>0</v>
      </c>
      <c r="E272" s="27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 s="9">
        <v>45298</v>
      </c>
      <c r="L272">
        <f xml:space="preserve"> (交易處理資料__3[[#This Row],[售出工時]] * 60) / 5</f>
        <v>0</v>
      </c>
      <c r="M272" t="str">
        <f>VLOOKUP(交易處理資料__3[[#This Row],[人員代號]],團隊分組!$B$1:$C$52,2,FALSE)</f>
        <v>快速保養團隊A</v>
      </c>
      <c r="N272">
        <f>IF(交易處理資料__3[[#This Row],[上班時間]]=0,0,交易處理資料__3[[#This Row],[售出工時]]/交易處理資料__3[[#This Row],[上班時間]])</f>
        <v>0</v>
      </c>
      <c r="O272" s="31" t="str">
        <f>IF(交易處理資料__3[[#This Row],[上班時間]]=0,"否","是")</f>
        <v>否</v>
      </c>
    </row>
    <row r="273" spans="1:15" hidden="1">
      <c r="A273" t="s">
        <v>75</v>
      </c>
      <c r="B273" t="s">
        <v>23</v>
      </c>
      <c r="C273">
        <v>0</v>
      </c>
      <c r="D273">
        <v>0</v>
      </c>
      <c r="E273" s="27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 s="9">
        <v>45298</v>
      </c>
      <c r="L273">
        <f xml:space="preserve"> (交易處理資料__3[[#This Row],[售出工時]] * 60) / 5</f>
        <v>0</v>
      </c>
      <c r="M273" t="str">
        <f>VLOOKUP(交易處理資料__3[[#This Row],[人員代號]],團隊分組!$B$1:$C$52,2,FALSE)</f>
        <v>快速保養團隊B</v>
      </c>
      <c r="N273">
        <f>IF(交易處理資料__3[[#This Row],[上班時間]]=0,0,交易處理資料__3[[#This Row],[售出工時]]/交易處理資料__3[[#This Row],[上班時間]])</f>
        <v>0</v>
      </c>
      <c r="O273" s="31" t="str">
        <f>IF(交易處理資料__3[[#This Row],[上班時間]]=0,"否","是")</f>
        <v>否</v>
      </c>
    </row>
    <row r="274" spans="1:15" hidden="1">
      <c r="A274" t="s">
        <v>75</v>
      </c>
      <c r="B274" t="s">
        <v>24</v>
      </c>
      <c r="C274">
        <v>0</v>
      </c>
      <c r="D274">
        <v>0</v>
      </c>
      <c r="E274" s="27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s="9">
        <v>45298</v>
      </c>
      <c r="L274">
        <f xml:space="preserve"> (交易處理資料__3[[#This Row],[售出工時]] * 60) / 5</f>
        <v>0</v>
      </c>
      <c r="M274" t="str">
        <f>VLOOKUP(交易處理資料__3[[#This Row],[人員代號]],團隊分組!$B$1:$C$52,2,FALSE)</f>
        <v>快速保養團隊A</v>
      </c>
      <c r="N274">
        <f>IF(交易處理資料__3[[#This Row],[上班時間]]=0,0,交易處理資料__3[[#This Row],[售出工時]]/交易處理資料__3[[#This Row],[上班時間]])</f>
        <v>0</v>
      </c>
      <c r="O274" s="31" t="str">
        <f>IF(交易處理資料__3[[#This Row],[上班時間]]=0,"否","是")</f>
        <v>否</v>
      </c>
    </row>
    <row r="275" spans="1:15" hidden="1">
      <c r="A275" t="s">
        <v>75</v>
      </c>
      <c r="B275" t="s">
        <v>25</v>
      </c>
      <c r="C275">
        <v>0</v>
      </c>
      <c r="D275">
        <v>0</v>
      </c>
      <c r="E275" s="27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 s="9">
        <v>45298</v>
      </c>
      <c r="L275">
        <f xml:space="preserve"> (交易處理資料__3[[#This Row],[售出工時]] * 60) / 5</f>
        <v>0</v>
      </c>
      <c r="M275" t="str">
        <f>VLOOKUP(交易處理資料__3[[#This Row],[人員代號]],團隊分組!$B$1:$C$52,2,FALSE)</f>
        <v>查修團隊A</v>
      </c>
      <c r="N275">
        <f>IF(交易處理資料__3[[#This Row],[上班時間]]=0,0,交易處理資料__3[[#This Row],[售出工時]]/交易處理資料__3[[#This Row],[上班時間]])</f>
        <v>0</v>
      </c>
      <c r="O275" s="31" t="str">
        <f>IF(交易處理資料__3[[#This Row],[上班時間]]=0,"否","是")</f>
        <v>否</v>
      </c>
    </row>
    <row r="276" spans="1:15" hidden="1">
      <c r="A276" t="s">
        <v>75</v>
      </c>
      <c r="B276" t="s">
        <v>26</v>
      </c>
      <c r="C276">
        <v>0</v>
      </c>
      <c r="D276">
        <v>0</v>
      </c>
      <c r="E276" s="27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 s="9">
        <v>45298</v>
      </c>
      <c r="L276">
        <f xml:space="preserve"> (交易處理資料__3[[#This Row],[售出工時]] * 60) / 5</f>
        <v>0</v>
      </c>
      <c r="M276" t="str">
        <f>VLOOKUP(交易處理資料__3[[#This Row],[人員代號]],團隊分組!$B$1:$C$52,2,FALSE)</f>
        <v>查修團隊B</v>
      </c>
      <c r="N276">
        <f>IF(交易處理資料__3[[#This Row],[上班時間]]=0,0,交易處理資料__3[[#This Row],[售出工時]]/交易處理資料__3[[#This Row],[上班時間]])</f>
        <v>0</v>
      </c>
      <c r="O276" s="31" t="str">
        <f>IF(交易處理資料__3[[#This Row],[上班時間]]=0,"否","是")</f>
        <v>否</v>
      </c>
    </row>
    <row r="277" spans="1:15" hidden="1">
      <c r="A277" t="s">
        <v>75</v>
      </c>
      <c r="B277" t="s">
        <v>27</v>
      </c>
      <c r="C277">
        <v>0</v>
      </c>
      <c r="D277">
        <v>0</v>
      </c>
      <c r="E277" s="2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 s="9">
        <v>45298</v>
      </c>
      <c r="L277">
        <f xml:space="preserve"> (交易處理資料__3[[#This Row],[售出工時]] * 60) / 5</f>
        <v>0</v>
      </c>
      <c r="M277" t="str">
        <f>VLOOKUP(交易處理資料__3[[#This Row],[人員代號]],團隊分組!$B$1:$C$52,2,FALSE)</f>
        <v>快速保養團隊B</v>
      </c>
      <c r="N277">
        <f>IF(交易處理資料__3[[#This Row],[上班時間]]=0,0,交易處理資料__3[[#This Row],[售出工時]]/交易處理資料__3[[#This Row],[上班時間]])</f>
        <v>0</v>
      </c>
      <c r="O277" s="31" t="str">
        <f>IF(交易處理資料__3[[#This Row],[上班時間]]=0,"否","是")</f>
        <v>否</v>
      </c>
    </row>
    <row r="278" spans="1:15" hidden="1">
      <c r="A278" t="s">
        <v>75</v>
      </c>
      <c r="B278" t="s">
        <v>28</v>
      </c>
      <c r="C278">
        <v>0</v>
      </c>
      <c r="D278">
        <v>0</v>
      </c>
      <c r="E278" s="27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 s="9">
        <v>45298</v>
      </c>
      <c r="L278">
        <f xml:space="preserve"> (交易處理資料__3[[#This Row],[售出工時]] * 60) / 5</f>
        <v>0</v>
      </c>
      <c r="M278" t="str">
        <f>VLOOKUP(交易處理資料__3[[#This Row],[人員代號]],團隊分組!$B$1:$C$52,2,FALSE)</f>
        <v>快速保養團隊A</v>
      </c>
      <c r="N278">
        <f>IF(交易處理資料__3[[#This Row],[上班時間]]=0,0,交易處理資料__3[[#This Row],[售出工時]]/交易處理資料__3[[#This Row],[上班時間]])</f>
        <v>0</v>
      </c>
      <c r="O278" s="31" t="str">
        <f>IF(交易處理資料__3[[#This Row],[上班時間]]=0,"否","是")</f>
        <v>否</v>
      </c>
    </row>
    <row r="279" spans="1:15" hidden="1">
      <c r="A279" t="s">
        <v>75</v>
      </c>
      <c r="B279" t="s">
        <v>29</v>
      </c>
      <c r="C279">
        <v>0</v>
      </c>
      <c r="D279">
        <v>0</v>
      </c>
      <c r="E279" s="27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 s="9">
        <v>45298</v>
      </c>
      <c r="L279">
        <f xml:space="preserve"> (交易處理資料__3[[#This Row],[售出工時]] * 60) / 5</f>
        <v>0</v>
      </c>
      <c r="M279" t="str">
        <f>VLOOKUP(交易處理資料__3[[#This Row],[人員代號]],團隊分組!$B$1:$C$52,2,FALSE)</f>
        <v>查修團隊B</v>
      </c>
      <c r="N279">
        <f>IF(交易處理資料__3[[#This Row],[上班時間]]=0,0,交易處理資料__3[[#This Row],[售出工時]]/交易處理資料__3[[#This Row],[上班時間]])</f>
        <v>0</v>
      </c>
      <c r="O279" s="31" t="str">
        <f>IF(交易處理資料__3[[#This Row],[上班時間]]=0,"否","是")</f>
        <v>否</v>
      </c>
    </row>
    <row r="280" spans="1:15" hidden="1">
      <c r="A280" t="s">
        <v>75</v>
      </c>
      <c r="B280" t="s">
        <v>30</v>
      </c>
      <c r="C280">
        <v>0</v>
      </c>
      <c r="D280">
        <v>0</v>
      </c>
      <c r="E280" s="27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 s="9">
        <v>45298</v>
      </c>
      <c r="L280">
        <f xml:space="preserve"> (交易處理資料__3[[#This Row],[售出工時]] * 60) / 5</f>
        <v>0</v>
      </c>
      <c r="M280" t="str">
        <f>VLOOKUP(交易處理資料__3[[#This Row],[人員代號]],團隊分組!$B$1:$C$52,2,FALSE)</f>
        <v>快速保養團隊B</v>
      </c>
      <c r="N280">
        <f>IF(交易處理資料__3[[#This Row],[上班時間]]=0,0,交易處理資料__3[[#This Row],[售出工時]]/交易處理資料__3[[#This Row],[上班時間]])</f>
        <v>0</v>
      </c>
      <c r="O280" s="31" t="str">
        <f>IF(交易處理資料__3[[#This Row],[上班時間]]=0,"否","是")</f>
        <v>否</v>
      </c>
    </row>
    <row r="281" spans="1:15" hidden="1">
      <c r="A281" t="s">
        <v>75</v>
      </c>
      <c r="B281" t="s">
        <v>31</v>
      </c>
      <c r="C281">
        <v>0</v>
      </c>
      <c r="D281">
        <v>0</v>
      </c>
      <c r="E281" s="27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 s="9">
        <v>45298</v>
      </c>
      <c r="L281">
        <f xml:space="preserve"> (交易處理資料__3[[#This Row],[售出工時]] * 60) / 5</f>
        <v>0</v>
      </c>
      <c r="M281" t="str">
        <f>VLOOKUP(交易處理資料__3[[#This Row],[人員代號]],團隊分組!$B$1:$C$52,2,FALSE)</f>
        <v>快速保養團隊A</v>
      </c>
      <c r="N281">
        <f>IF(交易處理資料__3[[#This Row],[上班時間]]=0,0,交易處理資料__3[[#This Row],[售出工時]]/交易處理資料__3[[#This Row],[上班時間]])</f>
        <v>0</v>
      </c>
      <c r="O281" s="31" t="str">
        <f>IF(交易處理資料__3[[#This Row],[上班時間]]=0,"否","是")</f>
        <v>否</v>
      </c>
    </row>
    <row r="282" spans="1:15" hidden="1">
      <c r="A282" t="s">
        <v>75</v>
      </c>
      <c r="B282" t="s">
        <v>32</v>
      </c>
      <c r="C282">
        <v>0</v>
      </c>
      <c r="D282">
        <v>0</v>
      </c>
      <c r="E282" s="27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 s="9">
        <v>45298</v>
      </c>
      <c r="L282">
        <f xml:space="preserve"> (交易處理資料__3[[#This Row],[售出工時]] * 60) / 5</f>
        <v>0</v>
      </c>
      <c r="M282" t="str">
        <f>VLOOKUP(交易處理資料__3[[#This Row],[人員代號]],團隊分組!$B$1:$C$52,2,FALSE)</f>
        <v>快速保養團隊B</v>
      </c>
      <c r="N282">
        <f>IF(交易處理資料__3[[#This Row],[上班時間]]=0,0,交易處理資料__3[[#This Row],[售出工時]]/交易處理資料__3[[#This Row],[上班時間]])</f>
        <v>0</v>
      </c>
      <c r="O282" s="31" t="str">
        <f>IF(交易處理資料__3[[#This Row],[上班時間]]=0,"否","是")</f>
        <v>否</v>
      </c>
    </row>
    <row r="283" spans="1:15">
      <c r="A283" t="s">
        <v>75</v>
      </c>
      <c r="B283" t="s">
        <v>33</v>
      </c>
      <c r="C283">
        <v>0</v>
      </c>
      <c r="D283">
        <v>0</v>
      </c>
      <c r="E283" s="27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 s="9">
        <v>45298</v>
      </c>
      <c r="L283">
        <f xml:space="preserve"> (交易處理資料__3[[#This Row],[售出工時]] * 60) / 5</f>
        <v>0</v>
      </c>
      <c r="M283" t="str">
        <f>VLOOKUP(交易處理資料__3[[#This Row],[人員代號]],團隊分組!$B$1:$C$52,2,FALSE)</f>
        <v>快速保養團隊B</v>
      </c>
      <c r="N283">
        <f>IF(交易處理資料__3[[#This Row],[上班時間]]=0,0,交易處理資料__3[[#This Row],[售出工時]]/交易處理資料__3[[#This Row],[上班時間]])</f>
        <v>0</v>
      </c>
      <c r="O283" s="31" t="str">
        <f>IF(交易處理資料__3[[#This Row],[上班時間]]=0,"否","是")</f>
        <v>否</v>
      </c>
    </row>
    <row r="284" spans="1:15" hidden="1">
      <c r="A284" t="s">
        <v>75</v>
      </c>
      <c r="B284" t="s">
        <v>34</v>
      </c>
      <c r="C284">
        <v>0</v>
      </c>
      <c r="D284">
        <v>0</v>
      </c>
      <c r="E284" s="27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 s="9">
        <v>45298</v>
      </c>
      <c r="L284">
        <f xml:space="preserve"> (交易處理資料__3[[#This Row],[售出工時]] * 60) / 5</f>
        <v>0</v>
      </c>
      <c r="M284" t="str">
        <f>VLOOKUP(交易處理資料__3[[#This Row],[人員代號]],團隊分組!$B$1:$C$52,2,FALSE)</f>
        <v>快速保養團隊A</v>
      </c>
      <c r="N284">
        <f>IF(交易處理資料__3[[#This Row],[上班時間]]=0,0,交易處理資料__3[[#This Row],[售出工時]]/交易處理資料__3[[#This Row],[上班時間]])</f>
        <v>0</v>
      </c>
      <c r="O284" s="31" t="str">
        <f>IF(交易處理資料__3[[#This Row],[上班時間]]=0,"否","是")</f>
        <v>否</v>
      </c>
    </row>
    <row r="285" spans="1:15" hidden="1">
      <c r="A285" t="s">
        <v>75</v>
      </c>
      <c r="B285" t="s">
        <v>35</v>
      </c>
      <c r="C285">
        <v>0</v>
      </c>
      <c r="D285">
        <v>0</v>
      </c>
      <c r="E285" s="27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 s="9">
        <v>45298</v>
      </c>
      <c r="L285">
        <f xml:space="preserve"> (交易處理資料__3[[#This Row],[售出工時]] * 60) / 5</f>
        <v>0</v>
      </c>
      <c r="M285" t="str">
        <f>VLOOKUP(交易處理資料__3[[#This Row],[人員代號]],團隊分組!$B$1:$C$52,2,FALSE)</f>
        <v>查修團隊B</v>
      </c>
      <c r="N285">
        <f>IF(交易處理資料__3[[#This Row],[上班時間]]=0,0,交易處理資料__3[[#This Row],[售出工時]]/交易處理資料__3[[#This Row],[上班時間]])</f>
        <v>0</v>
      </c>
      <c r="O285" s="31" t="str">
        <f>IF(交易處理資料__3[[#This Row],[上班時間]]=0,"否","是")</f>
        <v>否</v>
      </c>
    </row>
    <row r="286" spans="1:15" hidden="1">
      <c r="A286" t="s">
        <v>75</v>
      </c>
      <c r="B286" t="s">
        <v>36</v>
      </c>
      <c r="C286">
        <v>0</v>
      </c>
      <c r="D286">
        <v>0</v>
      </c>
      <c r="E286" s="27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 s="9">
        <v>45298</v>
      </c>
      <c r="L286">
        <f xml:space="preserve"> (交易處理資料__3[[#This Row],[售出工時]] * 60) / 5</f>
        <v>0</v>
      </c>
      <c r="M286" t="str">
        <f>VLOOKUP(交易處理資料__3[[#This Row],[人員代號]],團隊分組!$B$1:$C$52,2,FALSE)</f>
        <v>查修團隊B</v>
      </c>
      <c r="N286">
        <f>IF(交易處理資料__3[[#This Row],[上班時間]]=0,0,交易處理資料__3[[#This Row],[售出工時]]/交易處理資料__3[[#This Row],[上班時間]])</f>
        <v>0</v>
      </c>
      <c r="O286" s="31" t="str">
        <f>IF(交易處理資料__3[[#This Row],[上班時間]]=0,"否","是")</f>
        <v>否</v>
      </c>
    </row>
    <row r="287" spans="1:15" hidden="1">
      <c r="A287" t="s">
        <v>75</v>
      </c>
      <c r="B287" t="s">
        <v>37</v>
      </c>
      <c r="C287">
        <v>0</v>
      </c>
      <c r="D287">
        <v>0</v>
      </c>
      <c r="E287" s="2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 s="9">
        <v>45298</v>
      </c>
      <c r="L287">
        <f xml:space="preserve"> (交易處理資料__3[[#This Row],[售出工時]] * 60) / 5</f>
        <v>0</v>
      </c>
      <c r="M287" t="str">
        <f>VLOOKUP(交易處理資料__3[[#This Row],[人員代號]],團隊分組!$B$1:$C$52,2,FALSE)</f>
        <v>查修團隊A</v>
      </c>
      <c r="N287">
        <f>IF(交易處理資料__3[[#This Row],[上班時間]]=0,0,交易處理資料__3[[#This Row],[售出工時]]/交易處理資料__3[[#This Row],[上班時間]])</f>
        <v>0</v>
      </c>
      <c r="O287" s="31" t="str">
        <f>IF(交易處理資料__3[[#This Row],[上班時間]]=0,"否","是")</f>
        <v>否</v>
      </c>
    </row>
    <row r="288" spans="1:15" hidden="1">
      <c r="A288" t="s">
        <v>75</v>
      </c>
      <c r="B288" t="s">
        <v>38</v>
      </c>
      <c r="C288">
        <v>0</v>
      </c>
      <c r="D288">
        <v>0</v>
      </c>
      <c r="E288" s="27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 s="9">
        <v>45298</v>
      </c>
      <c r="L288">
        <f xml:space="preserve"> (交易處理資料__3[[#This Row],[售出工時]] * 60) / 5</f>
        <v>0</v>
      </c>
      <c r="M288" t="str">
        <f>VLOOKUP(交易處理資料__3[[#This Row],[人員代號]],團隊分組!$B$1:$C$52,2,FALSE)</f>
        <v>快速保養團隊A</v>
      </c>
      <c r="N288">
        <f>IF(交易處理資料__3[[#This Row],[上班時間]]=0,0,交易處理資料__3[[#This Row],[售出工時]]/交易處理資料__3[[#This Row],[上班時間]])</f>
        <v>0</v>
      </c>
      <c r="O288" s="31" t="str">
        <f>IF(交易處理資料__3[[#This Row],[上班時間]]=0,"否","是")</f>
        <v>否</v>
      </c>
    </row>
    <row r="289" spans="1:15" hidden="1">
      <c r="A289" t="s">
        <v>75</v>
      </c>
      <c r="B289" t="s">
        <v>39</v>
      </c>
      <c r="C289">
        <v>0</v>
      </c>
      <c r="D289">
        <v>0</v>
      </c>
      <c r="E289" s="27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 s="9">
        <v>45298</v>
      </c>
      <c r="L289">
        <f xml:space="preserve"> (交易處理資料__3[[#This Row],[售出工時]] * 60) / 5</f>
        <v>0</v>
      </c>
      <c r="M289" t="str">
        <f>VLOOKUP(交易處理資料__3[[#This Row],[人員代號]],團隊分組!$B$1:$C$52,2,FALSE)</f>
        <v>查修團隊A</v>
      </c>
      <c r="N289">
        <f>IF(交易處理資料__3[[#This Row],[上班時間]]=0,0,交易處理資料__3[[#This Row],[售出工時]]/交易處理資料__3[[#This Row],[上班時間]])</f>
        <v>0</v>
      </c>
      <c r="O289" s="31" t="str">
        <f>IF(交易處理資料__3[[#This Row],[上班時間]]=0,"否","是")</f>
        <v>否</v>
      </c>
    </row>
    <row r="290" spans="1:15" hidden="1">
      <c r="A290" t="s">
        <v>75</v>
      </c>
      <c r="B290" t="s">
        <v>40</v>
      </c>
      <c r="C290">
        <v>0</v>
      </c>
      <c r="D290">
        <v>0</v>
      </c>
      <c r="E290" s="27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 s="9">
        <v>45298</v>
      </c>
      <c r="L290">
        <f xml:space="preserve"> (交易處理資料__3[[#This Row],[售出工時]] * 60) / 5</f>
        <v>0</v>
      </c>
      <c r="M290" t="str">
        <f>VLOOKUP(交易處理資料__3[[#This Row],[人員代號]],團隊分組!$B$1:$C$52,2,FALSE)</f>
        <v>查修團隊A</v>
      </c>
      <c r="N290">
        <f>IF(交易處理資料__3[[#This Row],[上班時間]]=0,0,交易處理資料__3[[#This Row],[售出工時]]/交易處理資料__3[[#This Row],[上班時間]])</f>
        <v>0</v>
      </c>
      <c r="O290" s="31" t="str">
        <f>IF(交易處理資料__3[[#This Row],[上班時間]]=0,"否","是")</f>
        <v>否</v>
      </c>
    </row>
    <row r="291" spans="1:15" hidden="1">
      <c r="A291" t="s">
        <v>75</v>
      </c>
      <c r="B291" t="s">
        <v>41</v>
      </c>
      <c r="C291">
        <v>0</v>
      </c>
      <c r="D291">
        <v>0</v>
      </c>
      <c r="E291" s="27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s="9">
        <v>45298</v>
      </c>
      <c r="L291">
        <f xml:space="preserve"> (交易處理資料__3[[#This Row],[售出工時]] * 60) / 5</f>
        <v>0</v>
      </c>
      <c r="M291" t="str">
        <f>VLOOKUP(交易處理資料__3[[#This Row],[人員代號]],團隊分組!$B$1:$C$52,2,FALSE)</f>
        <v>快速保養團隊A</v>
      </c>
      <c r="N291">
        <f>IF(交易處理資料__3[[#This Row],[上班時間]]=0,0,交易處理資料__3[[#This Row],[售出工時]]/交易處理資料__3[[#This Row],[上班時間]])</f>
        <v>0</v>
      </c>
      <c r="O291" s="31" t="str">
        <f>IF(交易處理資料__3[[#This Row],[上班時間]]=0,"否","是")</f>
        <v>否</v>
      </c>
    </row>
    <row r="292" spans="1:15" hidden="1">
      <c r="A292" t="s">
        <v>75</v>
      </c>
      <c r="B292" t="s">
        <v>42</v>
      </c>
      <c r="C292">
        <v>0</v>
      </c>
      <c r="D292">
        <v>0</v>
      </c>
      <c r="E292" s="27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 s="9">
        <v>45298</v>
      </c>
      <c r="L292">
        <f xml:space="preserve"> (交易處理資料__3[[#This Row],[售出工時]] * 60) / 5</f>
        <v>0</v>
      </c>
      <c r="M292" t="str">
        <f>VLOOKUP(交易處理資料__3[[#This Row],[人員代號]],團隊分組!$B$1:$C$52,2,FALSE)</f>
        <v>快速保養團隊A</v>
      </c>
      <c r="N292">
        <f>IF(交易處理資料__3[[#This Row],[上班時間]]=0,0,交易處理資料__3[[#This Row],[售出工時]]/交易處理資料__3[[#This Row],[上班時間]])</f>
        <v>0</v>
      </c>
      <c r="O292" s="31" t="str">
        <f>IF(交易處理資料__3[[#This Row],[上班時間]]=0,"否","是")</f>
        <v>否</v>
      </c>
    </row>
    <row r="293" spans="1:15" hidden="1">
      <c r="A293" t="s">
        <v>75</v>
      </c>
      <c r="B293" t="s">
        <v>43</v>
      </c>
      <c r="C293">
        <v>0</v>
      </c>
      <c r="D293">
        <v>0</v>
      </c>
      <c r="E293" s="27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 s="9">
        <v>45298</v>
      </c>
      <c r="L293">
        <f xml:space="preserve"> (交易處理資料__3[[#This Row],[售出工時]] * 60) / 5</f>
        <v>0</v>
      </c>
      <c r="M293" t="str">
        <f>VLOOKUP(交易處理資料__3[[#This Row],[人員代號]],團隊分組!$B$1:$C$52,2,FALSE)</f>
        <v>查修團隊B</v>
      </c>
      <c r="N293">
        <f>IF(交易處理資料__3[[#This Row],[上班時間]]=0,0,交易處理資料__3[[#This Row],[售出工時]]/交易處理資料__3[[#This Row],[上班時間]])</f>
        <v>0</v>
      </c>
      <c r="O293" s="31" t="str">
        <f>IF(交易處理資料__3[[#This Row],[上班時間]]=0,"否","是")</f>
        <v>否</v>
      </c>
    </row>
    <row r="294" spans="1:15" hidden="1">
      <c r="A294" t="s">
        <v>75</v>
      </c>
      <c r="B294" t="s">
        <v>44</v>
      </c>
      <c r="C294">
        <v>0</v>
      </c>
      <c r="D294">
        <v>0</v>
      </c>
      <c r="E294" s="27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 s="9">
        <v>45298</v>
      </c>
      <c r="L294">
        <f xml:space="preserve"> (交易處理資料__3[[#This Row],[售出工時]] * 60) / 5</f>
        <v>0</v>
      </c>
      <c r="M294" t="str">
        <f>VLOOKUP(交易處理資料__3[[#This Row],[人員代號]],團隊分組!$B$1:$C$52,2,FALSE)</f>
        <v>快速保養團隊B</v>
      </c>
      <c r="N294">
        <f>IF(交易處理資料__3[[#This Row],[上班時間]]=0,0,交易處理資料__3[[#This Row],[售出工時]]/交易處理資料__3[[#This Row],[上班時間]])</f>
        <v>0</v>
      </c>
      <c r="O294" s="31" t="str">
        <f>IF(交易處理資料__3[[#This Row],[上班時間]]=0,"否","是")</f>
        <v>否</v>
      </c>
    </row>
    <row r="295" spans="1:15" hidden="1">
      <c r="A295" t="s">
        <v>75</v>
      </c>
      <c r="B295" t="s">
        <v>45</v>
      </c>
      <c r="C295">
        <v>0</v>
      </c>
      <c r="D295">
        <v>0</v>
      </c>
      <c r="E295" s="27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 s="9">
        <v>45298</v>
      </c>
      <c r="L295">
        <f xml:space="preserve"> (交易處理資料__3[[#This Row],[售出工時]] * 60) / 5</f>
        <v>0</v>
      </c>
      <c r="M295" t="str">
        <f>VLOOKUP(交易處理資料__3[[#This Row],[人員代號]],團隊分組!$B$1:$C$52,2,FALSE)</f>
        <v>快速保養團隊A</v>
      </c>
      <c r="N295">
        <f>IF(交易處理資料__3[[#This Row],[上班時間]]=0,0,交易處理資料__3[[#This Row],[售出工時]]/交易處理資料__3[[#This Row],[上班時間]])</f>
        <v>0</v>
      </c>
      <c r="O295" s="31" t="str">
        <f>IF(交易處理資料__3[[#This Row],[上班時間]]=0,"否","是")</f>
        <v>否</v>
      </c>
    </row>
    <row r="296" spans="1:15" hidden="1">
      <c r="A296" t="s">
        <v>75</v>
      </c>
      <c r="B296" t="s">
        <v>46</v>
      </c>
      <c r="C296">
        <v>0</v>
      </c>
      <c r="D296">
        <v>0</v>
      </c>
      <c r="E296" s="27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 s="9">
        <v>45298</v>
      </c>
      <c r="L296">
        <f xml:space="preserve"> (交易處理資料__3[[#This Row],[售出工時]] * 60) / 5</f>
        <v>0</v>
      </c>
      <c r="M296" t="str">
        <f>VLOOKUP(交易處理資料__3[[#This Row],[人員代號]],團隊分組!$B$1:$C$52,2,FALSE)</f>
        <v>查修團隊B</v>
      </c>
      <c r="N296">
        <f>IF(交易處理資料__3[[#This Row],[上班時間]]=0,0,交易處理資料__3[[#This Row],[售出工時]]/交易處理資料__3[[#This Row],[上班時間]])</f>
        <v>0</v>
      </c>
      <c r="O296" s="31" t="str">
        <f>IF(交易處理資料__3[[#This Row],[上班時間]]=0,"否","是")</f>
        <v>否</v>
      </c>
    </row>
    <row r="297" spans="1:15" hidden="1">
      <c r="A297" t="s">
        <v>75</v>
      </c>
      <c r="B297" t="s">
        <v>47</v>
      </c>
      <c r="C297">
        <v>0</v>
      </c>
      <c r="D297">
        <v>0</v>
      </c>
      <c r="E297" s="2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 s="9">
        <v>45298</v>
      </c>
      <c r="L297">
        <f xml:space="preserve"> (交易處理資料__3[[#This Row],[售出工時]] * 60) / 5</f>
        <v>0</v>
      </c>
      <c r="M297" t="str">
        <f>VLOOKUP(交易處理資料__3[[#This Row],[人員代號]],團隊分組!$B$1:$C$52,2,FALSE)</f>
        <v>查修團隊B</v>
      </c>
      <c r="N297">
        <f>IF(交易處理資料__3[[#This Row],[上班時間]]=0,0,交易處理資料__3[[#This Row],[售出工時]]/交易處理資料__3[[#This Row],[上班時間]])</f>
        <v>0</v>
      </c>
      <c r="O297" s="31" t="str">
        <f>IF(交易處理資料__3[[#This Row],[上班時間]]=0,"否","是")</f>
        <v>否</v>
      </c>
    </row>
    <row r="298" spans="1:15" hidden="1">
      <c r="A298" t="s">
        <v>75</v>
      </c>
      <c r="B298" t="s">
        <v>48</v>
      </c>
      <c r="C298">
        <v>0</v>
      </c>
      <c r="D298">
        <v>0</v>
      </c>
      <c r="E298" s="27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 s="9">
        <v>45298</v>
      </c>
      <c r="L298">
        <f xml:space="preserve"> (交易處理資料__3[[#This Row],[售出工時]] * 60) / 5</f>
        <v>0</v>
      </c>
      <c r="M298" t="str">
        <f>VLOOKUP(交易處理資料__3[[#This Row],[人員代號]],團隊分組!$B$1:$C$52,2,FALSE)</f>
        <v>查修團隊A</v>
      </c>
      <c r="N298">
        <f>IF(交易處理資料__3[[#This Row],[上班時間]]=0,0,交易處理資料__3[[#This Row],[售出工時]]/交易處理資料__3[[#This Row],[上班時間]])</f>
        <v>0</v>
      </c>
      <c r="O298" s="31" t="str">
        <f>IF(交易處理資料__3[[#This Row],[上班時間]]=0,"否","是")</f>
        <v>否</v>
      </c>
    </row>
    <row r="299" spans="1:15" hidden="1">
      <c r="A299" t="s">
        <v>75</v>
      </c>
      <c r="B299" t="s">
        <v>49</v>
      </c>
      <c r="C299">
        <v>0</v>
      </c>
      <c r="D299">
        <v>0</v>
      </c>
      <c r="E299" s="27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 s="9">
        <v>45298</v>
      </c>
      <c r="L299">
        <f xml:space="preserve"> (交易處理資料__3[[#This Row],[售出工時]] * 60) / 5</f>
        <v>0</v>
      </c>
      <c r="M299" t="str">
        <f>VLOOKUP(交易處理資料__3[[#This Row],[人員代號]],團隊分組!$B$1:$C$52,2,FALSE)</f>
        <v>查修團隊A</v>
      </c>
      <c r="N299">
        <f>IF(交易處理資料__3[[#This Row],[上班時間]]=0,0,交易處理資料__3[[#This Row],[售出工時]]/交易處理資料__3[[#This Row],[上班時間]])</f>
        <v>0</v>
      </c>
      <c r="O299" s="31" t="str">
        <f>IF(交易處理資料__3[[#This Row],[上班時間]]=0,"否","是")</f>
        <v>否</v>
      </c>
    </row>
    <row r="300" spans="1:15" hidden="1">
      <c r="A300" t="s">
        <v>75</v>
      </c>
      <c r="B300" t="s">
        <v>50</v>
      </c>
      <c r="C300">
        <v>0</v>
      </c>
      <c r="D300">
        <v>0</v>
      </c>
      <c r="E300" s="27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s="9">
        <v>45298</v>
      </c>
      <c r="L300">
        <f xml:space="preserve"> (交易處理資料__3[[#This Row],[售出工時]] * 60) / 5</f>
        <v>0</v>
      </c>
      <c r="M300" t="str">
        <f>VLOOKUP(交易處理資料__3[[#This Row],[人員代號]],團隊分組!$B$1:$C$52,2,FALSE)</f>
        <v>快速保養團隊B</v>
      </c>
      <c r="N300">
        <f>IF(交易處理資料__3[[#This Row],[上班時間]]=0,0,交易處理資料__3[[#This Row],[售出工時]]/交易處理資料__3[[#This Row],[上班時間]])</f>
        <v>0</v>
      </c>
      <c r="O300" s="31" t="str">
        <f>IF(交易處理資料__3[[#This Row],[上班時間]]=0,"否","是")</f>
        <v>否</v>
      </c>
    </row>
    <row r="301" spans="1:15" hidden="1">
      <c r="A301" t="s">
        <v>75</v>
      </c>
      <c r="B301" t="s">
        <v>51</v>
      </c>
      <c r="C301">
        <v>0</v>
      </c>
      <c r="D301">
        <v>0</v>
      </c>
      <c r="E301" s="27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 s="9">
        <v>45298</v>
      </c>
      <c r="L301">
        <f xml:space="preserve"> (交易處理資料__3[[#This Row],[售出工時]] * 60) / 5</f>
        <v>0</v>
      </c>
      <c r="M301" t="str">
        <f>VLOOKUP(交易處理資料__3[[#This Row],[人員代號]],團隊分組!$B$1:$C$52,2,FALSE)</f>
        <v>無效數據</v>
      </c>
      <c r="N301">
        <f>IF(交易處理資料__3[[#This Row],[上班時間]]=0,0,交易處理資料__3[[#This Row],[售出工時]]/交易處理資料__3[[#This Row],[上班時間]])</f>
        <v>0</v>
      </c>
      <c r="O301" s="31" t="str">
        <f>IF(交易處理資料__3[[#This Row],[上班時間]]=0,"否","是")</f>
        <v>否</v>
      </c>
    </row>
    <row r="302" spans="1:15" hidden="1">
      <c r="A302" t="s">
        <v>75</v>
      </c>
      <c r="B302" t="s">
        <v>52</v>
      </c>
      <c r="C302">
        <v>0</v>
      </c>
      <c r="D302">
        <v>0</v>
      </c>
      <c r="E302" s="27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 s="9">
        <v>45298</v>
      </c>
      <c r="L302">
        <f xml:space="preserve"> (交易處理資料__3[[#This Row],[售出工時]] * 60) / 5</f>
        <v>0</v>
      </c>
      <c r="M302" t="str">
        <f>VLOOKUP(交易處理資料__3[[#This Row],[人員代號]],團隊分組!$B$1:$C$52,2,FALSE)</f>
        <v>查修團隊B</v>
      </c>
      <c r="N302">
        <f>IF(交易處理資料__3[[#This Row],[上班時間]]=0,0,交易處理資料__3[[#This Row],[售出工時]]/交易處理資料__3[[#This Row],[上班時間]])</f>
        <v>0</v>
      </c>
      <c r="O302" s="31" t="str">
        <f>IF(交易處理資料__3[[#This Row],[上班時間]]=0,"否","是")</f>
        <v>否</v>
      </c>
    </row>
    <row r="303" spans="1:15" hidden="1">
      <c r="A303" t="s">
        <v>75</v>
      </c>
      <c r="B303" t="s">
        <v>53</v>
      </c>
      <c r="C303">
        <v>0</v>
      </c>
      <c r="D303">
        <v>0</v>
      </c>
      <c r="E303" s="27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 s="9">
        <v>45298</v>
      </c>
      <c r="L303">
        <f xml:space="preserve"> (交易處理資料__3[[#This Row],[售出工時]] * 60) / 5</f>
        <v>0</v>
      </c>
      <c r="M303" t="str">
        <f>VLOOKUP(交易處理資料__3[[#This Row],[人員代號]],團隊分組!$B$1:$C$52,2,FALSE)</f>
        <v>查修團隊A</v>
      </c>
      <c r="N303">
        <f>IF(交易處理資料__3[[#This Row],[上班時間]]=0,0,交易處理資料__3[[#This Row],[售出工時]]/交易處理資料__3[[#This Row],[上班時間]])</f>
        <v>0</v>
      </c>
      <c r="O303" s="31" t="str">
        <f>IF(交易處理資料__3[[#This Row],[上班時間]]=0,"否","是")</f>
        <v>否</v>
      </c>
    </row>
    <row r="304" spans="1:15" hidden="1">
      <c r="A304" s="10" t="s">
        <v>73</v>
      </c>
      <c r="B304" t="s">
        <v>1</v>
      </c>
      <c r="C304">
        <v>2.3199999999999998</v>
      </c>
      <c r="D304">
        <v>5.62</v>
      </c>
      <c r="E304" s="27">
        <v>41.28</v>
      </c>
      <c r="F304">
        <v>7.7</v>
      </c>
      <c r="G304">
        <v>0.4</v>
      </c>
      <c r="H304">
        <v>8.1</v>
      </c>
      <c r="I304">
        <v>95.06</v>
      </c>
      <c r="J304">
        <v>28.64</v>
      </c>
      <c r="K304" s="9">
        <v>45299</v>
      </c>
      <c r="L304">
        <f xml:space="preserve"> (交易處理資料__3[[#This Row],[售出工時]] * 60) / 5</f>
        <v>27.839999999999996</v>
      </c>
      <c r="M304" t="str">
        <f>VLOOKUP(交易處理資料__3[[#This Row],[人員代號]],團隊分組!$B$1:$C$52,2,FALSE)</f>
        <v>噴漆維修組</v>
      </c>
      <c r="N304">
        <f>IF(交易處理資料__3[[#This Row],[上班時間]]=0,0,交易處理資料__3[[#This Row],[售出工時]]/交易處理資料__3[[#This Row],[上班時間]])</f>
        <v>0.28641975308641976</v>
      </c>
      <c r="O304" s="31" t="str">
        <f>IF(交易處理資料__3[[#This Row],[上班時間]]=0,"否","是")</f>
        <v>是</v>
      </c>
    </row>
    <row r="305" spans="1:15" hidden="1">
      <c r="A305" s="10" t="s">
        <v>73</v>
      </c>
      <c r="B305" t="s">
        <v>2</v>
      </c>
      <c r="C305">
        <v>0</v>
      </c>
      <c r="D305">
        <v>0</v>
      </c>
      <c r="E305" s="27">
        <v>0</v>
      </c>
      <c r="F305">
        <v>10.37</v>
      </c>
      <c r="G305">
        <v>0.18</v>
      </c>
      <c r="H305">
        <v>10.55</v>
      </c>
      <c r="I305">
        <v>98.29</v>
      </c>
      <c r="J305">
        <v>0</v>
      </c>
      <c r="K305" s="9">
        <v>45299</v>
      </c>
      <c r="L305">
        <f xml:space="preserve"> (交易處理資料__3[[#This Row],[售出工時]] * 60) / 5</f>
        <v>0</v>
      </c>
      <c r="M305" t="str">
        <f>VLOOKUP(交易處理資料__3[[#This Row],[人員代號]],團隊分組!$B$1:$C$52,2,FALSE)</f>
        <v>噴漆維修組</v>
      </c>
      <c r="N305">
        <f>IF(交易處理資料__3[[#This Row],[上班時間]]=0,0,交易處理資料__3[[#This Row],[售出工時]]/交易處理資料__3[[#This Row],[上班時間]])</f>
        <v>0</v>
      </c>
      <c r="O305" s="31" t="str">
        <f>IF(交易處理資料__3[[#This Row],[上班時間]]=0,"否","是")</f>
        <v>是</v>
      </c>
    </row>
    <row r="306" spans="1:15" hidden="1">
      <c r="A306" s="10" t="s">
        <v>73</v>
      </c>
      <c r="B306" t="s">
        <v>3</v>
      </c>
      <c r="C306">
        <v>0</v>
      </c>
      <c r="D306">
        <v>0</v>
      </c>
      <c r="E306" s="27">
        <v>0</v>
      </c>
      <c r="F306">
        <v>10.37</v>
      </c>
      <c r="G306">
        <v>0.18</v>
      </c>
      <c r="H306">
        <v>10.55</v>
      </c>
      <c r="I306">
        <v>98.29</v>
      </c>
      <c r="J306">
        <v>0</v>
      </c>
      <c r="K306" s="9">
        <v>45299</v>
      </c>
      <c r="L306">
        <f xml:space="preserve"> (交易處理資料__3[[#This Row],[售出工時]] * 60) / 5</f>
        <v>0</v>
      </c>
      <c r="M306" t="str">
        <f>VLOOKUP(交易處理資料__3[[#This Row],[人員代號]],團隊分組!$B$1:$C$52,2,FALSE)</f>
        <v>噴漆維修組</v>
      </c>
      <c r="N306">
        <f>IF(交易處理資料__3[[#This Row],[上班時間]]=0,0,交易處理資料__3[[#This Row],[售出工時]]/交易處理資料__3[[#This Row],[上班時間]])</f>
        <v>0</v>
      </c>
      <c r="O306" s="31" t="str">
        <f>IF(交易處理資料__3[[#This Row],[上班時間]]=0,"否","是")</f>
        <v>是</v>
      </c>
    </row>
    <row r="307" spans="1:15" hidden="1">
      <c r="A307" s="10" t="s">
        <v>73</v>
      </c>
      <c r="B307" t="s">
        <v>4</v>
      </c>
      <c r="C307">
        <v>0</v>
      </c>
      <c r="D307">
        <v>0</v>
      </c>
      <c r="E307" s="27">
        <v>0</v>
      </c>
      <c r="F307">
        <v>7.65</v>
      </c>
      <c r="G307">
        <v>0.45</v>
      </c>
      <c r="H307">
        <v>8.1</v>
      </c>
      <c r="I307">
        <v>94.44</v>
      </c>
      <c r="J307">
        <v>0</v>
      </c>
      <c r="K307" s="9">
        <v>45299</v>
      </c>
      <c r="L307">
        <f xml:space="preserve"> (交易處理資料__3[[#This Row],[售出工時]] * 60) / 5</f>
        <v>0</v>
      </c>
      <c r="M307" t="str">
        <f>VLOOKUP(交易處理資料__3[[#This Row],[人員代號]],團隊分組!$B$1:$C$52,2,FALSE)</f>
        <v>噴漆維修組</v>
      </c>
      <c r="N307">
        <f>IF(交易處理資料__3[[#This Row],[上班時間]]=0,0,交易處理資料__3[[#This Row],[售出工時]]/交易處理資料__3[[#This Row],[上班時間]])</f>
        <v>0</v>
      </c>
      <c r="O307" s="31" t="str">
        <f>IF(交易處理資料__3[[#This Row],[上班時間]]=0,"否","是")</f>
        <v>是</v>
      </c>
    </row>
    <row r="308" spans="1:15" hidden="1">
      <c r="A308" s="10" t="s">
        <v>73</v>
      </c>
      <c r="B308" t="s">
        <v>5</v>
      </c>
      <c r="C308">
        <v>0</v>
      </c>
      <c r="D308">
        <v>0</v>
      </c>
      <c r="E308" s="27">
        <v>0</v>
      </c>
      <c r="F308">
        <v>8.33</v>
      </c>
      <c r="G308">
        <v>2.2599999999999998</v>
      </c>
      <c r="H308">
        <v>10.59</v>
      </c>
      <c r="I308">
        <v>78.66</v>
      </c>
      <c r="J308">
        <v>0</v>
      </c>
      <c r="K308" s="9">
        <v>45299</v>
      </c>
      <c r="L308">
        <f xml:space="preserve"> (交易處理資料__3[[#This Row],[售出工時]] * 60) / 5</f>
        <v>0</v>
      </c>
      <c r="M308" t="str">
        <f>VLOOKUP(交易處理資料__3[[#This Row],[人員代號]],團隊分組!$B$1:$C$52,2,FALSE)</f>
        <v>噴漆維修組</v>
      </c>
      <c r="N308">
        <f>IF(交易處理資料__3[[#This Row],[上班時間]]=0,0,交易處理資料__3[[#This Row],[售出工時]]/交易處理資料__3[[#This Row],[上班時間]])</f>
        <v>0</v>
      </c>
      <c r="O308" s="31" t="str">
        <f>IF(交易處理資料__3[[#This Row],[上班時間]]=0,"否","是")</f>
        <v>是</v>
      </c>
    </row>
    <row r="309" spans="1:15" hidden="1">
      <c r="A309" s="10" t="s">
        <v>73</v>
      </c>
      <c r="B309" t="s">
        <v>6</v>
      </c>
      <c r="C309">
        <v>0</v>
      </c>
      <c r="D309">
        <v>0</v>
      </c>
      <c r="E309" s="27">
        <v>0</v>
      </c>
      <c r="F309">
        <v>10.39</v>
      </c>
      <c r="G309">
        <v>0.18</v>
      </c>
      <c r="H309">
        <v>10.57</v>
      </c>
      <c r="I309">
        <v>98.3</v>
      </c>
      <c r="J309">
        <v>0</v>
      </c>
      <c r="K309" s="9">
        <v>45299</v>
      </c>
      <c r="L309">
        <f xml:space="preserve"> (交易處理資料__3[[#This Row],[售出工時]] * 60) / 5</f>
        <v>0</v>
      </c>
      <c r="M309" t="str">
        <f>VLOOKUP(交易處理資料__3[[#This Row],[人員代號]],團隊分組!$B$1:$C$52,2,FALSE)</f>
        <v>噴漆維修組</v>
      </c>
      <c r="N309">
        <f>IF(交易處理資料__3[[#This Row],[上班時間]]=0,0,交易處理資料__3[[#This Row],[售出工時]]/交易處理資料__3[[#This Row],[上班時間]])</f>
        <v>0</v>
      </c>
      <c r="O309" s="31" t="str">
        <f>IF(交易處理資料__3[[#This Row],[上班時間]]=0,"否","是")</f>
        <v>是</v>
      </c>
    </row>
    <row r="310" spans="1:15" hidden="1">
      <c r="A310" s="10" t="s">
        <v>73</v>
      </c>
      <c r="B310" t="s">
        <v>7</v>
      </c>
      <c r="C310">
        <v>2.5</v>
      </c>
      <c r="D310">
        <v>4.88</v>
      </c>
      <c r="E310" s="27">
        <v>51.22</v>
      </c>
      <c r="F310">
        <v>8.33</v>
      </c>
      <c r="G310">
        <v>2.2599999999999998</v>
      </c>
      <c r="H310">
        <v>10.59</v>
      </c>
      <c r="I310">
        <v>78.66</v>
      </c>
      <c r="J310">
        <v>23.61</v>
      </c>
      <c r="K310" s="9">
        <v>45299</v>
      </c>
      <c r="L310">
        <f xml:space="preserve"> (交易處理資料__3[[#This Row],[售出工時]] * 60) / 5</f>
        <v>30</v>
      </c>
      <c r="M310" t="str">
        <f>VLOOKUP(交易處理資料__3[[#This Row],[人員代號]],團隊分組!$B$1:$C$52,2,FALSE)</f>
        <v>噴漆維修組</v>
      </c>
      <c r="N310">
        <f>IF(交易處理資料__3[[#This Row],[上班時間]]=0,0,交易處理資料__3[[#This Row],[售出工時]]/交易處理資料__3[[#This Row],[上班時間]])</f>
        <v>0.2360717658168083</v>
      </c>
      <c r="O310" s="31" t="str">
        <f>IF(交易處理資料__3[[#This Row],[上班時間]]=0,"否","是")</f>
        <v>是</v>
      </c>
    </row>
    <row r="311" spans="1:15" hidden="1">
      <c r="A311" s="10" t="s">
        <v>73</v>
      </c>
      <c r="B311" t="s">
        <v>8</v>
      </c>
      <c r="C311">
        <v>1.01</v>
      </c>
      <c r="D311">
        <v>2.4500000000000002</v>
      </c>
      <c r="E311" s="27">
        <v>41.22</v>
      </c>
      <c r="F311">
        <v>7.66</v>
      </c>
      <c r="G311">
        <v>0.38</v>
      </c>
      <c r="H311">
        <v>8.0399999999999991</v>
      </c>
      <c r="I311">
        <v>95.27</v>
      </c>
      <c r="J311">
        <v>12.56</v>
      </c>
      <c r="K311" s="9">
        <v>45299</v>
      </c>
      <c r="L311">
        <f xml:space="preserve"> (交易處理資料__3[[#This Row],[售出工時]] * 60) / 5</f>
        <v>12.120000000000001</v>
      </c>
      <c r="M311" t="str">
        <f>VLOOKUP(交易處理資料__3[[#This Row],[人員代號]],團隊分組!$B$1:$C$52,2,FALSE)</f>
        <v>噴漆維修組</v>
      </c>
      <c r="N311">
        <f>IF(交易處理資料__3[[#This Row],[上班時間]]=0,0,交易處理資料__3[[#This Row],[售出工時]]/交易處理資料__3[[#This Row],[上班時間]])</f>
        <v>0.12562189054726369</v>
      </c>
      <c r="O311" s="31" t="str">
        <f>IF(交易處理資料__3[[#This Row],[上班時間]]=0,"否","是")</f>
        <v>是</v>
      </c>
    </row>
    <row r="312" spans="1:15" hidden="1">
      <c r="A312" s="10" t="s">
        <v>73</v>
      </c>
      <c r="B312" t="s">
        <v>9</v>
      </c>
      <c r="C312">
        <v>0</v>
      </c>
      <c r="D312">
        <v>0</v>
      </c>
      <c r="E312" s="27">
        <v>0</v>
      </c>
      <c r="F312">
        <v>7.4</v>
      </c>
      <c r="G312">
        <v>0.7</v>
      </c>
      <c r="H312">
        <v>8.1</v>
      </c>
      <c r="I312">
        <v>91.36</v>
      </c>
      <c r="J312">
        <v>0</v>
      </c>
      <c r="K312" s="9">
        <v>45299</v>
      </c>
      <c r="L312">
        <f xml:space="preserve"> (交易處理資料__3[[#This Row],[售出工時]] * 60) / 5</f>
        <v>0</v>
      </c>
      <c r="M312" t="str">
        <f>VLOOKUP(交易處理資料__3[[#This Row],[人員代號]],團隊分組!$B$1:$C$52,2,FALSE)</f>
        <v>噴漆維修組</v>
      </c>
      <c r="N312">
        <f>IF(交易處理資料__3[[#This Row],[上班時間]]=0,0,交易處理資料__3[[#This Row],[售出工時]]/交易處理資料__3[[#This Row],[上班時間]])</f>
        <v>0</v>
      </c>
      <c r="O312" s="31" t="str">
        <f>IF(交易處理資料__3[[#This Row],[上班時間]]=0,"否","是")</f>
        <v>是</v>
      </c>
    </row>
    <row r="313" spans="1:15" hidden="1">
      <c r="A313" t="s">
        <v>74</v>
      </c>
      <c r="B313" t="s">
        <v>11</v>
      </c>
      <c r="C313">
        <v>0</v>
      </c>
      <c r="D313">
        <v>0</v>
      </c>
      <c r="E313" s="27">
        <v>0</v>
      </c>
      <c r="F313">
        <v>6.36</v>
      </c>
      <c r="G313">
        <v>1.78</v>
      </c>
      <c r="H313">
        <v>8.14</v>
      </c>
      <c r="I313">
        <v>78.13</v>
      </c>
      <c r="J313">
        <v>0</v>
      </c>
      <c r="K313" s="9">
        <v>45299</v>
      </c>
      <c r="L313">
        <f xml:space="preserve"> (交易處理資料__3[[#This Row],[售出工時]] * 60) / 5</f>
        <v>0</v>
      </c>
      <c r="M313" t="str">
        <f>VLOOKUP(交易處理資料__3[[#This Row],[人員代號]],團隊分組!$B$1:$C$52,2,FALSE)</f>
        <v>鈑金維修組</v>
      </c>
      <c r="N313">
        <f>IF(交易處理資料__3[[#This Row],[上班時間]]=0,0,交易處理資料__3[[#This Row],[售出工時]]/交易處理資料__3[[#This Row],[上班時間]])</f>
        <v>0</v>
      </c>
      <c r="O313" s="31" t="str">
        <f>IF(交易處理資料__3[[#This Row],[上班時間]]=0,"否","是")</f>
        <v>是</v>
      </c>
    </row>
    <row r="314" spans="1:15" hidden="1">
      <c r="A314" t="s">
        <v>74</v>
      </c>
      <c r="B314" t="s">
        <v>12</v>
      </c>
      <c r="C314">
        <v>3.7</v>
      </c>
      <c r="D314">
        <v>3.63</v>
      </c>
      <c r="E314" s="27">
        <v>101.92</v>
      </c>
      <c r="F314">
        <v>6.96</v>
      </c>
      <c r="G314">
        <v>1.1299999999999999</v>
      </c>
      <c r="H314">
        <v>8.09</v>
      </c>
      <c r="I314">
        <v>86.03</v>
      </c>
      <c r="J314">
        <v>45.74</v>
      </c>
      <c r="K314" s="9">
        <v>45299</v>
      </c>
      <c r="L314">
        <f xml:space="preserve"> (交易處理資料__3[[#This Row],[售出工時]] * 60) / 5</f>
        <v>44.4</v>
      </c>
      <c r="M314" t="str">
        <f>VLOOKUP(交易處理資料__3[[#This Row],[人員代號]],團隊分組!$B$1:$C$52,2,FALSE)</f>
        <v>鈑金維修組</v>
      </c>
      <c r="N314">
        <f>IF(交易處理資料__3[[#This Row],[上班時間]]=0,0,交易處理資料__3[[#This Row],[售出工時]]/交易處理資料__3[[#This Row],[上班時間]])</f>
        <v>0.4573547589616811</v>
      </c>
      <c r="O314" s="31" t="str">
        <f>IF(交易處理資料__3[[#This Row],[上班時間]]=0,"否","是")</f>
        <v>是</v>
      </c>
    </row>
    <row r="315" spans="1:15" hidden="1">
      <c r="A315" t="s">
        <v>74</v>
      </c>
      <c r="B315" t="s">
        <v>13</v>
      </c>
      <c r="C315">
        <v>2.63</v>
      </c>
      <c r="D315">
        <v>2.98</v>
      </c>
      <c r="E315" s="27">
        <v>88.56</v>
      </c>
      <c r="F315">
        <v>3.2</v>
      </c>
      <c r="G315">
        <v>4.9400000000000004</v>
      </c>
      <c r="H315">
        <v>8.14</v>
      </c>
      <c r="I315">
        <v>39.31</v>
      </c>
      <c r="J315">
        <v>32.42</v>
      </c>
      <c r="K315" s="9">
        <v>45299</v>
      </c>
      <c r="L315">
        <f xml:space="preserve"> (交易處理資料__3[[#This Row],[售出工時]] * 60) / 5</f>
        <v>31.559999999999995</v>
      </c>
      <c r="M315" t="str">
        <f>VLOOKUP(交易處理資料__3[[#This Row],[人員代號]],團隊分組!$B$1:$C$52,2,FALSE)</f>
        <v>鈑金維修組</v>
      </c>
      <c r="N315">
        <f>IF(交易處理資料__3[[#This Row],[上班時間]]=0,0,交易處理資料__3[[#This Row],[售出工時]]/交易處理資料__3[[#This Row],[上班時間]])</f>
        <v>0.32309582309582308</v>
      </c>
      <c r="O315" s="31" t="str">
        <f>IF(交易處理資料__3[[#This Row],[上班時間]]=0,"否","是")</f>
        <v>是</v>
      </c>
    </row>
    <row r="316" spans="1:15" hidden="1">
      <c r="A316" t="s">
        <v>74</v>
      </c>
      <c r="B316" t="s">
        <v>14</v>
      </c>
      <c r="C316">
        <v>1.31</v>
      </c>
      <c r="D316">
        <v>1.37</v>
      </c>
      <c r="E316" s="27">
        <v>95.62</v>
      </c>
      <c r="F316">
        <v>3.18</v>
      </c>
      <c r="G316">
        <v>4.93</v>
      </c>
      <c r="H316">
        <v>8.11</v>
      </c>
      <c r="I316">
        <v>39.21</v>
      </c>
      <c r="J316">
        <v>16.149999999999999</v>
      </c>
      <c r="K316" s="9">
        <v>45299</v>
      </c>
      <c r="L316">
        <f xml:space="preserve"> (交易處理資料__3[[#This Row],[售出工時]] * 60) / 5</f>
        <v>15.720000000000002</v>
      </c>
      <c r="M316" t="str">
        <f>VLOOKUP(交易處理資料__3[[#This Row],[人員代號]],團隊分組!$B$1:$C$52,2,FALSE)</f>
        <v>鈑金維修組</v>
      </c>
      <c r="N316">
        <f>IF(交易處理資料__3[[#This Row],[上班時間]]=0,0,交易處理資料__3[[#This Row],[售出工時]]/交易處理資料__3[[#This Row],[上班時間]])</f>
        <v>0.16152897657213319</v>
      </c>
      <c r="O316" s="31" t="str">
        <f>IF(交易處理資料__3[[#This Row],[上班時間]]=0,"否","是")</f>
        <v>是</v>
      </c>
    </row>
    <row r="317" spans="1:15" hidden="1">
      <c r="A317" t="s">
        <v>74</v>
      </c>
      <c r="B317" t="s">
        <v>15</v>
      </c>
      <c r="C317">
        <v>3.31</v>
      </c>
      <c r="D317">
        <v>5.42</v>
      </c>
      <c r="E317" s="27">
        <v>61.07</v>
      </c>
      <c r="F317">
        <v>3.18</v>
      </c>
      <c r="G317">
        <v>4.95</v>
      </c>
      <c r="H317">
        <v>8.1300000000000008</v>
      </c>
      <c r="I317">
        <v>39.11</v>
      </c>
      <c r="J317">
        <v>40.71</v>
      </c>
      <c r="K317" s="9">
        <v>45299</v>
      </c>
      <c r="L317">
        <f xml:space="preserve"> (交易處理資料__3[[#This Row],[售出工時]] * 60) / 5</f>
        <v>39.72</v>
      </c>
      <c r="M317" t="str">
        <f>VLOOKUP(交易處理資料__3[[#This Row],[人員代號]],團隊分組!$B$1:$C$52,2,FALSE)</f>
        <v>鈑金維修組</v>
      </c>
      <c r="N317">
        <f>IF(交易處理資料__3[[#This Row],[上班時間]]=0,0,交易處理資料__3[[#This Row],[售出工時]]/交易處理資料__3[[#This Row],[上班時間]])</f>
        <v>0.40713407134071339</v>
      </c>
      <c r="O317" s="31" t="str">
        <f>IF(交易處理資料__3[[#This Row],[上班時間]]=0,"否","是")</f>
        <v>是</v>
      </c>
    </row>
    <row r="318" spans="1:15" hidden="1">
      <c r="A318" t="s">
        <v>75</v>
      </c>
      <c r="B318" t="s">
        <v>17</v>
      </c>
      <c r="C318">
        <v>17.53</v>
      </c>
      <c r="D318">
        <v>7.79</v>
      </c>
      <c r="E318" s="27">
        <v>225.07</v>
      </c>
      <c r="F318">
        <v>8.89</v>
      </c>
      <c r="G318">
        <v>1.21</v>
      </c>
      <c r="H318">
        <v>10.1</v>
      </c>
      <c r="I318">
        <v>88.02</v>
      </c>
      <c r="J318">
        <v>173.6</v>
      </c>
      <c r="K318" s="9">
        <v>45299</v>
      </c>
      <c r="L318">
        <f xml:space="preserve"> (交易處理資料__3[[#This Row],[售出工時]] * 60) / 5</f>
        <v>210.36000000000004</v>
      </c>
      <c r="M318" t="str">
        <f>VLOOKUP(交易處理資料__3[[#This Row],[人員代號]],團隊分組!$B$1:$C$52,2,FALSE)</f>
        <v>快速保養團隊A</v>
      </c>
      <c r="N318">
        <f>IF(交易處理資料__3[[#This Row],[上班時間]]=0,0,交易處理資料__3[[#This Row],[售出工時]]/交易處理資料__3[[#This Row],[上班時間]])</f>
        <v>1.7356435643564359</v>
      </c>
      <c r="O318" s="31" t="str">
        <f>IF(交易處理資料__3[[#This Row],[上班時間]]=0,"否","是")</f>
        <v>是</v>
      </c>
    </row>
    <row r="319" spans="1:15" hidden="1">
      <c r="A319" t="s">
        <v>75</v>
      </c>
      <c r="B319" t="s">
        <v>18</v>
      </c>
      <c r="C319">
        <v>1</v>
      </c>
      <c r="D319">
        <v>1.35</v>
      </c>
      <c r="E319" s="27">
        <v>74.069999999999993</v>
      </c>
      <c r="F319">
        <v>9.0399999999999991</v>
      </c>
      <c r="G319">
        <v>1.0900000000000001</v>
      </c>
      <c r="H319">
        <v>10.130000000000001</v>
      </c>
      <c r="I319">
        <v>89.24</v>
      </c>
      <c r="J319">
        <v>9.8699999999999992</v>
      </c>
      <c r="K319" s="9">
        <v>45299</v>
      </c>
      <c r="L319">
        <f xml:space="preserve"> (交易處理資料__3[[#This Row],[售出工時]] * 60) / 5</f>
        <v>12</v>
      </c>
      <c r="M319" t="str">
        <f>VLOOKUP(交易處理資料__3[[#This Row],[人員代號]],團隊分組!$B$1:$C$52,2,FALSE)</f>
        <v>查修團隊B</v>
      </c>
      <c r="N319">
        <f>IF(交易處理資料__3[[#This Row],[上班時間]]=0,0,交易處理資料__3[[#This Row],[售出工時]]/交易處理資料__3[[#This Row],[上班時間]])</f>
        <v>9.8716683119447174E-2</v>
      </c>
      <c r="O319" s="31" t="str">
        <f>IF(交易處理資料__3[[#This Row],[上班時間]]=0,"否","是")</f>
        <v>是</v>
      </c>
    </row>
    <row r="320" spans="1:15" hidden="1">
      <c r="A320" t="s">
        <v>75</v>
      </c>
      <c r="B320" t="s">
        <v>20</v>
      </c>
      <c r="C320">
        <v>0</v>
      </c>
      <c r="D320">
        <v>0</v>
      </c>
      <c r="E320" s="27">
        <v>0</v>
      </c>
      <c r="F320">
        <v>4.9800000000000004</v>
      </c>
      <c r="G320">
        <v>4.6500000000000004</v>
      </c>
      <c r="H320">
        <v>9.6300000000000008</v>
      </c>
      <c r="I320">
        <v>51.71</v>
      </c>
      <c r="J320">
        <v>0</v>
      </c>
      <c r="K320" s="9">
        <v>45299</v>
      </c>
      <c r="L320">
        <f xml:space="preserve"> (交易處理資料__3[[#This Row],[售出工時]] * 60) / 5</f>
        <v>0</v>
      </c>
      <c r="M320" t="str">
        <f>VLOOKUP(交易處理資料__3[[#This Row],[人員代號]],團隊分組!$B$1:$C$52,2,FALSE)</f>
        <v>查修團隊B</v>
      </c>
      <c r="N320">
        <f>IF(交易處理資料__3[[#This Row],[上班時間]]=0,0,交易處理資料__3[[#This Row],[售出工時]]/交易處理資料__3[[#This Row],[上班時間]])</f>
        <v>0</v>
      </c>
      <c r="O320" s="31" t="str">
        <f>IF(交易處理資料__3[[#This Row],[上班時間]]=0,"否","是")</f>
        <v>是</v>
      </c>
    </row>
    <row r="321" spans="1:15" hidden="1">
      <c r="A321" t="s">
        <v>75</v>
      </c>
      <c r="B321" t="s">
        <v>21</v>
      </c>
      <c r="C321">
        <v>5.41</v>
      </c>
      <c r="D321">
        <v>5.92</v>
      </c>
      <c r="E321" s="27">
        <v>91.49</v>
      </c>
      <c r="F321">
        <v>6.23</v>
      </c>
      <c r="G321">
        <v>1.85</v>
      </c>
      <c r="H321">
        <v>8.08</v>
      </c>
      <c r="I321">
        <v>77.099999999999994</v>
      </c>
      <c r="J321">
        <v>67.040000000000006</v>
      </c>
      <c r="K321" s="9">
        <v>45299</v>
      </c>
      <c r="L321">
        <f xml:space="preserve"> (交易處理資料__3[[#This Row],[售出工時]] * 60) / 5</f>
        <v>64.92</v>
      </c>
      <c r="M321" t="str">
        <f>VLOOKUP(交易處理資料__3[[#This Row],[人員代號]],團隊分組!$B$1:$C$52,2,FALSE)</f>
        <v>查修團隊B</v>
      </c>
      <c r="N321">
        <f>IF(交易處理資料__3[[#This Row],[上班時間]]=0,0,交易處理資料__3[[#This Row],[售出工時]]/交易處理資料__3[[#This Row],[上班時間]])</f>
        <v>0.66955445544554459</v>
      </c>
      <c r="O321" s="31" t="str">
        <f>IF(交易處理資料__3[[#This Row],[上班時間]]=0,"否","是")</f>
        <v>是</v>
      </c>
    </row>
    <row r="322" spans="1:15" hidden="1">
      <c r="A322" t="s">
        <v>75</v>
      </c>
      <c r="B322" t="s">
        <v>22</v>
      </c>
      <c r="C322">
        <v>0</v>
      </c>
      <c r="D322">
        <v>0</v>
      </c>
      <c r="E322" s="27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 s="9">
        <v>45299</v>
      </c>
      <c r="L322">
        <f xml:space="preserve"> (交易處理資料__3[[#This Row],[售出工時]] * 60) / 5</f>
        <v>0</v>
      </c>
      <c r="M322" t="str">
        <f>VLOOKUP(交易處理資料__3[[#This Row],[人員代號]],團隊分組!$B$1:$C$52,2,FALSE)</f>
        <v>快速保養團隊A</v>
      </c>
      <c r="N322">
        <f>IF(交易處理資料__3[[#This Row],[上班時間]]=0,0,交易處理資料__3[[#This Row],[售出工時]]/交易處理資料__3[[#This Row],[上班時間]])</f>
        <v>0</v>
      </c>
      <c r="O322" s="31" t="str">
        <f>IF(交易處理資料__3[[#This Row],[上班時間]]=0,"否","是")</f>
        <v>否</v>
      </c>
    </row>
    <row r="323" spans="1:15" hidden="1">
      <c r="A323" t="s">
        <v>75</v>
      </c>
      <c r="B323" t="s">
        <v>23</v>
      </c>
      <c r="C323">
        <v>7.91</v>
      </c>
      <c r="D323">
        <v>7.76</v>
      </c>
      <c r="E323" s="27">
        <v>102.01</v>
      </c>
      <c r="F323">
        <v>8.91</v>
      </c>
      <c r="G323">
        <v>1.8</v>
      </c>
      <c r="H323">
        <v>10.71</v>
      </c>
      <c r="I323">
        <v>83.19</v>
      </c>
      <c r="J323">
        <v>73.92</v>
      </c>
      <c r="K323" s="9">
        <v>45299</v>
      </c>
      <c r="L323">
        <f xml:space="preserve"> (交易處理資料__3[[#This Row],[售出工時]] * 60) / 5</f>
        <v>94.92</v>
      </c>
      <c r="M323" t="str">
        <f>VLOOKUP(交易處理資料__3[[#This Row],[人員代號]],團隊分組!$B$1:$C$52,2,FALSE)</f>
        <v>快速保養團隊B</v>
      </c>
      <c r="N323">
        <f>IF(交易處理資料__3[[#This Row],[上班時間]]=0,0,交易處理資料__3[[#This Row],[售出工時]]/交易處理資料__3[[#This Row],[上班時間]])</f>
        <v>0.7385620915032679</v>
      </c>
      <c r="O323" s="31" t="str">
        <f>IF(交易處理資料__3[[#This Row],[上班時間]]=0,"否","是")</f>
        <v>是</v>
      </c>
    </row>
    <row r="324" spans="1:15" hidden="1">
      <c r="A324" t="s">
        <v>75</v>
      </c>
      <c r="B324" t="s">
        <v>24</v>
      </c>
      <c r="C324">
        <v>6.79</v>
      </c>
      <c r="D324">
        <v>4.51</v>
      </c>
      <c r="E324" s="27">
        <v>150.69999999999999</v>
      </c>
      <c r="F324">
        <v>8.24</v>
      </c>
      <c r="G324">
        <v>0.22</v>
      </c>
      <c r="H324">
        <v>8.4600000000000009</v>
      </c>
      <c r="I324">
        <v>97.4</v>
      </c>
      <c r="J324">
        <v>80.34</v>
      </c>
      <c r="K324" s="9">
        <v>45299</v>
      </c>
      <c r="L324">
        <f xml:space="preserve"> (交易處理資料__3[[#This Row],[售出工時]] * 60) / 5</f>
        <v>81.47999999999999</v>
      </c>
      <c r="M324" t="str">
        <f>VLOOKUP(交易處理資料__3[[#This Row],[人員代號]],團隊分組!$B$1:$C$52,2,FALSE)</f>
        <v>快速保養團隊A</v>
      </c>
      <c r="N324">
        <f>IF(交易處理資料__3[[#This Row],[上班時間]]=0,0,交易處理資料__3[[#This Row],[售出工時]]/交易處理資料__3[[#This Row],[上班時間]])</f>
        <v>0.80260047281323865</v>
      </c>
      <c r="O324" s="31" t="str">
        <f>IF(交易處理資料__3[[#This Row],[上班時間]]=0,"否","是")</f>
        <v>是</v>
      </c>
    </row>
    <row r="325" spans="1:15" hidden="1">
      <c r="A325" t="s">
        <v>75</v>
      </c>
      <c r="B325" t="s">
        <v>25</v>
      </c>
      <c r="C325">
        <v>4.58</v>
      </c>
      <c r="D325">
        <v>6.17</v>
      </c>
      <c r="E325" s="27">
        <v>74.28</v>
      </c>
      <c r="F325">
        <v>9.36</v>
      </c>
      <c r="G325">
        <v>0.39</v>
      </c>
      <c r="H325">
        <v>9.75</v>
      </c>
      <c r="I325">
        <v>96</v>
      </c>
      <c r="J325">
        <v>47.01</v>
      </c>
      <c r="K325" s="9">
        <v>45299</v>
      </c>
      <c r="L325">
        <f xml:space="preserve"> (交易處理資料__3[[#This Row],[售出工時]] * 60) / 5</f>
        <v>54.96</v>
      </c>
      <c r="M325" t="str">
        <f>VLOOKUP(交易處理資料__3[[#This Row],[人員代號]],團隊分組!$B$1:$C$52,2,FALSE)</f>
        <v>查修團隊A</v>
      </c>
      <c r="N325">
        <f>IF(交易處理資料__3[[#This Row],[上班時間]]=0,0,交易處理資料__3[[#This Row],[售出工時]]/交易處理資料__3[[#This Row],[上班時間]])</f>
        <v>0.46974358974358976</v>
      </c>
      <c r="O325" s="31" t="str">
        <f>IF(交易處理資料__3[[#This Row],[上班時間]]=0,"否","是")</f>
        <v>是</v>
      </c>
    </row>
    <row r="326" spans="1:15" hidden="1">
      <c r="A326" t="s">
        <v>75</v>
      </c>
      <c r="B326" t="s">
        <v>26</v>
      </c>
      <c r="C326">
        <v>0</v>
      </c>
      <c r="D326">
        <v>0</v>
      </c>
      <c r="E326" s="27">
        <v>0</v>
      </c>
      <c r="F326">
        <v>8.43</v>
      </c>
      <c r="G326">
        <v>1.2</v>
      </c>
      <c r="H326">
        <v>9.6300000000000008</v>
      </c>
      <c r="I326">
        <v>87.54</v>
      </c>
      <c r="J326">
        <v>0</v>
      </c>
      <c r="K326" s="9">
        <v>45299</v>
      </c>
      <c r="L326">
        <f xml:space="preserve"> (交易處理資料__3[[#This Row],[售出工時]] * 60) / 5</f>
        <v>0</v>
      </c>
      <c r="M326" t="str">
        <f>VLOOKUP(交易處理資料__3[[#This Row],[人員代號]],團隊分組!$B$1:$C$52,2,FALSE)</f>
        <v>查修團隊B</v>
      </c>
      <c r="N326">
        <f>IF(交易處理資料__3[[#This Row],[上班時間]]=0,0,交易處理資料__3[[#This Row],[售出工時]]/交易處理資料__3[[#This Row],[上班時間]])</f>
        <v>0</v>
      </c>
      <c r="O326" s="31" t="str">
        <f>IF(交易處理資料__3[[#This Row],[上班時間]]=0,"否","是")</f>
        <v>是</v>
      </c>
    </row>
    <row r="327" spans="1:15" hidden="1">
      <c r="A327" t="s">
        <v>75</v>
      </c>
      <c r="B327" t="s">
        <v>27</v>
      </c>
      <c r="C327">
        <v>8.7899999999999991</v>
      </c>
      <c r="D327">
        <v>7.24</v>
      </c>
      <c r="E327" s="27">
        <v>121.5</v>
      </c>
      <c r="F327">
        <v>9.99</v>
      </c>
      <c r="G327">
        <v>7.0000000000000007E-2</v>
      </c>
      <c r="H327">
        <v>10.06</v>
      </c>
      <c r="I327">
        <v>99.3</v>
      </c>
      <c r="J327">
        <v>87.44</v>
      </c>
      <c r="K327" s="9">
        <v>45299</v>
      </c>
      <c r="L327">
        <f xml:space="preserve"> (交易處理資料__3[[#This Row],[售出工時]] * 60) / 5</f>
        <v>105.47999999999999</v>
      </c>
      <c r="M327" t="str">
        <f>VLOOKUP(交易處理資料__3[[#This Row],[人員代號]],團隊分組!$B$1:$C$52,2,FALSE)</f>
        <v>快速保養團隊B</v>
      </c>
      <c r="N327">
        <f>IF(交易處理資料__3[[#This Row],[上班時間]]=0,0,交易處理資料__3[[#This Row],[售出工時]]/交易處理資料__3[[#This Row],[上班時間]])</f>
        <v>0.87375745526838955</v>
      </c>
      <c r="O327" s="31" t="str">
        <f>IF(交易處理資料__3[[#This Row],[上班時間]]=0,"否","是")</f>
        <v>是</v>
      </c>
    </row>
    <row r="328" spans="1:15" hidden="1">
      <c r="A328" t="s">
        <v>75</v>
      </c>
      <c r="B328" t="s">
        <v>29</v>
      </c>
      <c r="C328">
        <v>0</v>
      </c>
      <c r="D328">
        <v>0</v>
      </c>
      <c r="E328" s="27">
        <v>0</v>
      </c>
      <c r="F328">
        <v>4.3</v>
      </c>
      <c r="G328">
        <v>3.77</v>
      </c>
      <c r="H328">
        <v>8.07</v>
      </c>
      <c r="I328">
        <v>53.28</v>
      </c>
      <c r="J328">
        <v>0</v>
      </c>
      <c r="K328" s="9">
        <v>45299</v>
      </c>
      <c r="L328">
        <f xml:space="preserve"> (交易處理資料__3[[#This Row],[售出工時]] * 60) / 5</f>
        <v>0</v>
      </c>
      <c r="M328" t="str">
        <f>VLOOKUP(交易處理資料__3[[#This Row],[人員代號]],團隊分組!$B$1:$C$52,2,FALSE)</f>
        <v>查修團隊B</v>
      </c>
      <c r="N328">
        <f>IF(交易處理資料__3[[#This Row],[上班時間]]=0,0,交易處理資料__3[[#This Row],[售出工時]]/交易處理資料__3[[#This Row],[上班時間]])</f>
        <v>0</v>
      </c>
      <c r="O328" s="31" t="str">
        <f>IF(交易處理資料__3[[#This Row],[上班時間]]=0,"否","是")</f>
        <v>是</v>
      </c>
    </row>
    <row r="329" spans="1:15" hidden="1">
      <c r="A329" t="s">
        <v>75</v>
      </c>
      <c r="B329" t="s">
        <v>30</v>
      </c>
      <c r="C329">
        <v>10.47</v>
      </c>
      <c r="D329">
        <v>8.14</v>
      </c>
      <c r="E329" s="27">
        <v>128.69999999999999</v>
      </c>
      <c r="F329">
        <v>9.9700000000000006</v>
      </c>
      <c r="G329">
        <v>7.0000000000000007E-2</v>
      </c>
      <c r="H329">
        <v>10.039999999999999</v>
      </c>
      <c r="I329">
        <v>99.3</v>
      </c>
      <c r="J329">
        <v>104.35</v>
      </c>
      <c r="K329" s="9">
        <v>45299</v>
      </c>
      <c r="L329">
        <f xml:space="preserve"> (交易處理資料__3[[#This Row],[售出工時]] * 60) / 5</f>
        <v>125.64000000000001</v>
      </c>
      <c r="M329" t="str">
        <f>VLOOKUP(交易處理資料__3[[#This Row],[人員代號]],團隊分組!$B$1:$C$52,2,FALSE)</f>
        <v>快速保養團隊B</v>
      </c>
      <c r="N329">
        <f>IF(交易處理資料__3[[#This Row],[上班時間]]=0,0,交易處理資料__3[[#This Row],[售出工時]]/交易處理資料__3[[#This Row],[上班時間]])</f>
        <v>1.0428286852589643</v>
      </c>
      <c r="O329" s="31" t="str">
        <f>IF(交易處理資料__3[[#This Row],[上班時間]]=0,"否","是")</f>
        <v>是</v>
      </c>
    </row>
    <row r="330" spans="1:15" hidden="1">
      <c r="A330" t="s">
        <v>75</v>
      </c>
      <c r="B330" t="s">
        <v>31</v>
      </c>
      <c r="C330">
        <v>0</v>
      </c>
      <c r="D330">
        <v>0</v>
      </c>
      <c r="E330" s="27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 s="9">
        <v>45299</v>
      </c>
      <c r="L330">
        <f xml:space="preserve"> (交易處理資料__3[[#This Row],[售出工時]] * 60) / 5</f>
        <v>0</v>
      </c>
      <c r="M330" t="str">
        <f>VLOOKUP(交易處理資料__3[[#This Row],[人員代號]],團隊分組!$B$1:$C$52,2,FALSE)</f>
        <v>快速保養團隊A</v>
      </c>
      <c r="N330">
        <f>IF(交易處理資料__3[[#This Row],[上班時間]]=0,0,交易處理資料__3[[#This Row],[售出工時]]/交易處理資料__3[[#This Row],[上班時間]])</f>
        <v>0</v>
      </c>
      <c r="O330" s="31" t="str">
        <f>IF(交易處理資料__3[[#This Row],[上班時間]]=0,"否","是")</f>
        <v>否</v>
      </c>
    </row>
    <row r="331" spans="1:15">
      <c r="A331" t="s">
        <v>75</v>
      </c>
      <c r="B331" t="s">
        <v>33</v>
      </c>
      <c r="C331">
        <v>0</v>
      </c>
      <c r="D331">
        <v>0</v>
      </c>
      <c r="E331" s="27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 s="9">
        <v>45299</v>
      </c>
      <c r="L331">
        <f xml:space="preserve"> (交易處理資料__3[[#This Row],[售出工時]] * 60) / 5</f>
        <v>0</v>
      </c>
      <c r="M331" t="str">
        <f>VLOOKUP(交易處理資料__3[[#This Row],[人員代號]],團隊分組!$B$1:$C$52,2,FALSE)</f>
        <v>快速保養團隊B</v>
      </c>
      <c r="N331">
        <f>IF(交易處理資料__3[[#This Row],[上班時間]]=0,0,交易處理資料__3[[#This Row],[售出工時]]/交易處理資料__3[[#This Row],[上班時間]])</f>
        <v>0</v>
      </c>
      <c r="O331" s="31" t="str">
        <f>IF(交易處理資料__3[[#This Row],[上班時間]]=0,"否","是")</f>
        <v>否</v>
      </c>
    </row>
    <row r="332" spans="1:15" hidden="1">
      <c r="A332" t="s">
        <v>75</v>
      </c>
      <c r="B332" t="s">
        <v>34</v>
      </c>
      <c r="C332">
        <v>12</v>
      </c>
      <c r="D332">
        <v>6.96</v>
      </c>
      <c r="E332" s="27">
        <v>172.41</v>
      </c>
      <c r="F332">
        <v>7.64</v>
      </c>
      <c r="G332">
        <v>1.48</v>
      </c>
      <c r="H332">
        <v>9.1199999999999992</v>
      </c>
      <c r="I332">
        <v>83.77</v>
      </c>
      <c r="J332">
        <v>131.58000000000001</v>
      </c>
      <c r="K332" s="9">
        <v>45299</v>
      </c>
      <c r="L332">
        <f xml:space="preserve"> (交易處理資料__3[[#This Row],[售出工時]] * 60) / 5</f>
        <v>144</v>
      </c>
      <c r="M332" t="str">
        <f>VLOOKUP(交易處理資料__3[[#This Row],[人員代號]],團隊分組!$B$1:$C$52,2,FALSE)</f>
        <v>快速保養團隊A</v>
      </c>
      <c r="N332">
        <f>IF(交易處理資料__3[[#This Row],[上班時間]]=0,0,交易處理資料__3[[#This Row],[售出工時]]/交易處理資料__3[[#This Row],[上班時間]])</f>
        <v>1.3157894736842106</v>
      </c>
      <c r="O332" s="31" t="str">
        <f>IF(交易處理資料__3[[#This Row],[上班時間]]=0,"否","是")</f>
        <v>是</v>
      </c>
    </row>
    <row r="333" spans="1:15" hidden="1">
      <c r="A333" t="s">
        <v>75</v>
      </c>
      <c r="B333" t="s">
        <v>35</v>
      </c>
      <c r="C333">
        <v>0.83</v>
      </c>
      <c r="D333">
        <v>3.03</v>
      </c>
      <c r="E333" s="27">
        <v>27.5</v>
      </c>
      <c r="F333">
        <v>8.43</v>
      </c>
      <c r="G333">
        <v>1.17</v>
      </c>
      <c r="H333">
        <v>9.6</v>
      </c>
      <c r="I333">
        <v>87.81</v>
      </c>
      <c r="J333">
        <v>8.68</v>
      </c>
      <c r="K333" s="9">
        <v>45299</v>
      </c>
      <c r="L333">
        <f xml:space="preserve"> (交易處理資料__3[[#This Row],[售出工時]] * 60) / 5</f>
        <v>9.9599999999999991</v>
      </c>
      <c r="M333" t="str">
        <f>VLOOKUP(交易處理資料__3[[#This Row],[人員代號]],團隊分組!$B$1:$C$52,2,FALSE)</f>
        <v>查修團隊B</v>
      </c>
      <c r="N333">
        <f>IF(交易處理資料__3[[#This Row],[上班時間]]=0,0,交易處理資料__3[[#This Row],[售出工時]]/交易處理資料__3[[#This Row],[上班時間]])</f>
        <v>8.6458333333333331E-2</v>
      </c>
      <c r="O333" s="31" t="str">
        <f>IF(交易處理資料__3[[#This Row],[上班時間]]=0,"否","是")</f>
        <v>是</v>
      </c>
    </row>
    <row r="334" spans="1:15" hidden="1">
      <c r="A334" t="s">
        <v>75</v>
      </c>
      <c r="B334" t="s">
        <v>36</v>
      </c>
      <c r="C334">
        <v>0</v>
      </c>
      <c r="D334">
        <v>0</v>
      </c>
      <c r="E334" s="27">
        <v>0</v>
      </c>
      <c r="F334">
        <v>7.75</v>
      </c>
      <c r="G334">
        <v>0.47</v>
      </c>
      <c r="H334">
        <v>8.2200000000000006</v>
      </c>
      <c r="I334">
        <v>94.28</v>
      </c>
      <c r="J334">
        <v>0</v>
      </c>
      <c r="K334" s="9">
        <v>45299</v>
      </c>
      <c r="L334">
        <f xml:space="preserve"> (交易處理資料__3[[#This Row],[售出工時]] * 60) / 5</f>
        <v>0</v>
      </c>
      <c r="M334" t="str">
        <f>VLOOKUP(交易處理資料__3[[#This Row],[人員代號]],團隊分組!$B$1:$C$52,2,FALSE)</f>
        <v>查修團隊B</v>
      </c>
      <c r="N334">
        <f>IF(交易處理資料__3[[#This Row],[上班時間]]=0,0,交易處理資料__3[[#This Row],[售出工時]]/交易處理資料__3[[#This Row],[上班時間]])</f>
        <v>0</v>
      </c>
      <c r="O334" s="31" t="str">
        <f>IF(交易處理資料__3[[#This Row],[上班時間]]=0,"否","是")</f>
        <v>是</v>
      </c>
    </row>
    <row r="335" spans="1:15" hidden="1">
      <c r="A335" t="s">
        <v>75</v>
      </c>
      <c r="B335" t="s">
        <v>37</v>
      </c>
      <c r="C335">
        <v>4.41</v>
      </c>
      <c r="D335">
        <v>2.8</v>
      </c>
      <c r="E335" s="27">
        <v>157.72999999999999</v>
      </c>
      <c r="F335">
        <v>6.52</v>
      </c>
      <c r="G335">
        <v>3.47</v>
      </c>
      <c r="H335">
        <v>9.99</v>
      </c>
      <c r="I335">
        <v>65.27</v>
      </c>
      <c r="J335">
        <v>44.21</v>
      </c>
      <c r="K335" s="9">
        <v>45299</v>
      </c>
      <c r="L335">
        <f xml:space="preserve"> (交易處理資料__3[[#This Row],[售出工時]] * 60) / 5</f>
        <v>52.92</v>
      </c>
      <c r="M335" t="str">
        <f>VLOOKUP(交易處理資料__3[[#This Row],[人員代號]],團隊分組!$B$1:$C$52,2,FALSE)</f>
        <v>查修團隊A</v>
      </c>
      <c r="N335">
        <f>IF(交易處理資料__3[[#This Row],[上班時間]]=0,0,交易處理資料__3[[#This Row],[售出工時]]/交易處理資料__3[[#This Row],[上班時間]])</f>
        <v>0.44144144144144143</v>
      </c>
      <c r="O335" s="31" t="str">
        <f>IF(交易處理資料__3[[#This Row],[上班時間]]=0,"否","是")</f>
        <v>是</v>
      </c>
    </row>
    <row r="336" spans="1:15" hidden="1">
      <c r="A336" t="s">
        <v>75</v>
      </c>
      <c r="B336" t="s">
        <v>38</v>
      </c>
      <c r="C336">
        <v>11.83</v>
      </c>
      <c r="D336">
        <v>7.57</v>
      </c>
      <c r="E336" s="27">
        <v>156.31</v>
      </c>
      <c r="F336">
        <v>11.24</v>
      </c>
      <c r="G336">
        <v>1.23</v>
      </c>
      <c r="H336">
        <v>12.47</v>
      </c>
      <c r="I336">
        <v>90.14</v>
      </c>
      <c r="J336">
        <v>94.89</v>
      </c>
      <c r="K336" s="9">
        <v>45299</v>
      </c>
      <c r="L336">
        <f xml:space="preserve"> (交易處理資料__3[[#This Row],[售出工時]] * 60) / 5</f>
        <v>141.95999999999998</v>
      </c>
      <c r="M336" t="str">
        <f>VLOOKUP(交易處理資料__3[[#This Row],[人員代號]],團隊分組!$B$1:$C$52,2,FALSE)</f>
        <v>快速保養團隊A</v>
      </c>
      <c r="N336">
        <f>IF(交易處理資料__3[[#This Row],[上班時間]]=0,0,交易處理資料__3[[#This Row],[售出工時]]/交易處理資料__3[[#This Row],[上班時間]])</f>
        <v>0.94867682437850842</v>
      </c>
      <c r="O336" s="31" t="str">
        <f>IF(交易處理資料__3[[#This Row],[上班時間]]=0,"否","是")</f>
        <v>是</v>
      </c>
    </row>
    <row r="337" spans="1:15" hidden="1">
      <c r="A337" t="s">
        <v>75</v>
      </c>
      <c r="B337" t="s">
        <v>39</v>
      </c>
      <c r="C337">
        <v>0</v>
      </c>
      <c r="D337">
        <v>0</v>
      </c>
      <c r="E337" s="27">
        <v>0</v>
      </c>
      <c r="F337">
        <v>9.3800000000000008</v>
      </c>
      <c r="G337">
        <v>0.63</v>
      </c>
      <c r="H337">
        <v>10.01</v>
      </c>
      <c r="I337">
        <v>93.71</v>
      </c>
      <c r="J337">
        <v>0</v>
      </c>
      <c r="K337" s="9">
        <v>45299</v>
      </c>
      <c r="L337">
        <f xml:space="preserve"> (交易處理資料__3[[#This Row],[售出工時]] * 60) / 5</f>
        <v>0</v>
      </c>
      <c r="M337" t="str">
        <f>VLOOKUP(交易處理資料__3[[#This Row],[人員代號]],團隊分組!$B$1:$C$52,2,FALSE)</f>
        <v>查修團隊A</v>
      </c>
      <c r="N337">
        <f>IF(交易處理資料__3[[#This Row],[上班時間]]=0,0,交易處理資料__3[[#This Row],[售出工時]]/交易處理資料__3[[#This Row],[上班時間]])</f>
        <v>0</v>
      </c>
      <c r="O337" s="31" t="str">
        <f>IF(交易處理資料__3[[#This Row],[上班時間]]=0,"否","是")</f>
        <v>是</v>
      </c>
    </row>
    <row r="338" spans="1:15" hidden="1">
      <c r="A338" t="s">
        <v>75</v>
      </c>
      <c r="B338" t="s">
        <v>40</v>
      </c>
      <c r="C338">
        <v>0.57999999999999996</v>
      </c>
      <c r="D338">
        <v>1.88</v>
      </c>
      <c r="E338" s="27">
        <v>31.02</v>
      </c>
      <c r="F338">
        <v>7.75</v>
      </c>
      <c r="G338">
        <v>0.55000000000000004</v>
      </c>
      <c r="H338">
        <v>8.3000000000000007</v>
      </c>
      <c r="I338">
        <v>93.37</v>
      </c>
      <c r="J338">
        <v>7.03</v>
      </c>
      <c r="K338" s="9">
        <v>45299</v>
      </c>
      <c r="L338">
        <f xml:space="preserve"> (交易處理資料__3[[#This Row],[售出工時]] * 60) / 5</f>
        <v>6.9599999999999991</v>
      </c>
      <c r="M338" t="str">
        <f>VLOOKUP(交易處理資料__3[[#This Row],[人員代號]],團隊分組!$B$1:$C$52,2,FALSE)</f>
        <v>查修團隊A</v>
      </c>
      <c r="N338">
        <f>IF(交易處理資料__3[[#This Row],[上班時間]]=0,0,交易處理資料__3[[#This Row],[售出工時]]/交易處理資料__3[[#This Row],[上班時間]])</f>
        <v>6.9879518072289148E-2</v>
      </c>
      <c r="O338" s="31" t="str">
        <f>IF(交易處理資料__3[[#This Row],[上班時間]]=0,"否","是")</f>
        <v>是</v>
      </c>
    </row>
    <row r="339" spans="1:15" hidden="1">
      <c r="A339" t="s">
        <v>75</v>
      </c>
      <c r="B339" t="s">
        <v>42</v>
      </c>
      <c r="C339">
        <v>5.58</v>
      </c>
      <c r="D339">
        <v>5.54</v>
      </c>
      <c r="E339" s="27">
        <v>100.78</v>
      </c>
      <c r="F339">
        <v>4.91</v>
      </c>
      <c r="G339">
        <v>3.94</v>
      </c>
      <c r="H339">
        <v>8.85</v>
      </c>
      <c r="I339">
        <v>55.48</v>
      </c>
      <c r="J339">
        <v>63.09</v>
      </c>
      <c r="K339" s="9">
        <v>45299</v>
      </c>
      <c r="L339">
        <f xml:space="preserve"> (交易處理資料__3[[#This Row],[售出工時]] * 60) / 5</f>
        <v>66.960000000000008</v>
      </c>
      <c r="M339" t="str">
        <f>VLOOKUP(交易處理資料__3[[#This Row],[人員代號]],團隊分組!$B$1:$C$52,2,FALSE)</f>
        <v>快速保養團隊A</v>
      </c>
      <c r="N339">
        <f>IF(交易處理資料__3[[#This Row],[上班時間]]=0,0,交易處理資料__3[[#This Row],[售出工時]]/交易處理資料__3[[#This Row],[上班時間]])</f>
        <v>0.63050847457627124</v>
      </c>
      <c r="O339" s="31" t="str">
        <f>IF(交易處理資料__3[[#This Row],[上班時間]]=0,"否","是")</f>
        <v>是</v>
      </c>
    </row>
    <row r="340" spans="1:15" hidden="1">
      <c r="A340" t="s">
        <v>75</v>
      </c>
      <c r="B340" t="s">
        <v>43</v>
      </c>
      <c r="C340">
        <v>0</v>
      </c>
      <c r="D340">
        <v>0</v>
      </c>
      <c r="E340" s="27">
        <v>0</v>
      </c>
      <c r="F340">
        <v>7.74</v>
      </c>
      <c r="G340">
        <v>0.49</v>
      </c>
      <c r="H340">
        <v>8.23</v>
      </c>
      <c r="I340">
        <v>94.05</v>
      </c>
      <c r="J340">
        <v>0</v>
      </c>
      <c r="K340" s="9">
        <v>45299</v>
      </c>
      <c r="L340">
        <f xml:space="preserve"> (交易處理資料__3[[#This Row],[售出工時]] * 60) / 5</f>
        <v>0</v>
      </c>
      <c r="M340" t="str">
        <f>VLOOKUP(交易處理資料__3[[#This Row],[人員代號]],團隊分組!$B$1:$C$52,2,FALSE)</f>
        <v>查修團隊B</v>
      </c>
      <c r="N340">
        <f>IF(交易處理資料__3[[#This Row],[上班時間]]=0,0,交易處理資料__3[[#This Row],[售出工時]]/交易處理資料__3[[#This Row],[上班時間]])</f>
        <v>0</v>
      </c>
      <c r="O340" s="31" t="str">
        <f>IF(交易處理資料__3[[#This Row],[上班時間]]=0,"否","是")</f>
        <v>是</v>
      </c>
    </row>
    <row r="341" spans="1:15" hidden="1">
      <c r="A341" t="s">
        <v>75</v>
      </c>
      <c r="B341" t="s">
        <v>44</v>
      </c>
      <c r="C341">
        <v>3.91</v>
      </c>
      <c r="D341">
        <v>7</v>
      </c>
      <c r="E341" s="27">
        <v>55.95</v>
      </c>
      <c r="F341">
        <v>9.6300000000000008</v>
      </c>
      <c r="G341">
        <v>1</v>
      </c>
      <c r="H341">
        <v>10.63</v>
      </c>
      <c r="I341">
        <v>90.59</v>
      </c>
      <c r="J341">
        <v>36.85</v>
      </c>
      <c r="K341" s="9">
        <v>45299</v>
      </c>
      <c r="L341">
        <f xml:space="preserve"> (交易處理資料__3[[#This Row],[售出工時]] * 60) / 5</f>
        <v>46.92</v>
      </c>
      <c r="M341" t="str">
        <f>VLOOKUP(交易處理資料__3[[#This Row],[人員代號]],團隊分組!$B$1:$C$52,2,FALSE)</f>
        <v>快速保養團隊B</v>
      </c>
      <c r="N341">
        <f>IF(交易處理資料__3[[#This Row],[上班時間]]=0,0,交易處理資料__3[[#This Row],[售出工時]]/交易處理資料__3[[#This Row],[上班時間]])</f>
        <v>0.36782690498588899</v>
      </c>
      <c r="O341" s="31" t="str">
        <f>IF(交易處理資料__3[[#This Row],[上班時間]]=0,"否","是")</f>
        <v>是</v>
      </c>
    </row>
    <row r="342" spans="1:15" hidden="1">
      <c r="A342" t="s">
        <v>75</v>
      </c>
      <c r="B342" t="s">
        <v>45</v>
      </c>
      <c r="C342">
        <v>7.91</v>
      </c>
      <c r="D342">
        <v>4.8600000000000003</v>
      </c>
      <c r="E342" s="27">
        <v>162.88999999999999</v>
      </c>
      <c r="F342">
        <v>8.4</v>
      </c>
      <c r="G342">
        <v>0.55000000000000004</v>
      </c>
      <c r="H342">
        <v>8.9499999999999993</v>
      </c>
      <c r="I342">
        <v>93.85</v>
      </c>
      <c r="J342">
        <v>88.45</v>
      </c>
      <c r="K342" s="9">
        <v>45299</v>
      </c>
      <c r="L342">
        <f xml:space="preserve"> (交易處理資料__3[[#This Row],[售出工時]] * 60) / 5</f>
        <v>94.92</v>
      </c>
      <c r="M342" t="str">
        <f>VLOOKUP(交易處理資料__3[[#This Row],[人員代號]],團隊分組!$B$1:$C$52,2,FALSE)</f>
        <v>快速保養團隊A</v>
      </c>
      <c r="N342">
        <f>IF(交易處理資料__3[[#This Row],[上班時間]]=0,0,交易處理資料__3[[#This Row],[售出工時]]/交易處理資料__3[[#This Row],[上班時間]])</f>
        <v>0.88379888268156437</v>
      </c>
      <c r="O342" s="31" t="str">
        <f>IF(交易處理資料__3[[#This Row],[上班時間]]=0,"否","是")</f>
        <v>是</v>
      </c>
    </row>
    <row r="343" spans="1:15" hidden="1">
      <c r="A343" t="s">
        <v>75</v>
      </c>
      <c r="B343" t="s">
        <v>46</v>
      </c>
      <c r="C343">
        <v>1</v>
      </c>
      <c r="D343">
        <v>0.65</v>
      </c>
      <c r="E343" s="27">
        <v>153.84</v>
      </c>
      <c r="F343">
        <v>7.25</v>
      </c>
      <c r="G343">
        <v>0.9</v>
      </c>
      <c r="H343">
        <v>8.15</v>
      </c>
      <c r="I343">
        <v>88.96</v>
      </c>
      <c r="J343">
        <v>12.27</v>
      </c>
      <c r="K343" s="9">
        <v>45299</v>
      </c>
      <c r="L343">
        <f xml:space="preserve"> (交易處理資料__3[[#This Row],[售出工時]] * 60) / 5</f>
        <v>12</v>
      </c>
      <c r="M343" t="str">
        <f>VLOOKUP(交易處理資料__3[[#This Row],[人員代號]],團隊分組!$B$1:$C$52,2,FALSE)</f>
        <v>查修團隊B</v>
      </c>
      <c r="N343">
        <f>IF(交易處理資料__3[[#This Row],[上班時間]]=0,0,交易處理資料__3[[#This Row],[售出工時]]/交易處理資料__3[[#This Row],[上班時間]])</f>
        <v>0.12269938650306748</v>
      </c>
      <c r="O343" s="31" t="str">
        <f>IF(交易處理資料__3[[#This Row],[上班時間]]=0,"否","是")</f>
        <v>是</v>
      </c>
    </row>
    <row r="344" spans="1:15" hidden="1">
      <c r="A344" t="s">
        <v>75</v>
      </c>
      <c r="B344" t="s">
        <v>47</v>
      </c>
      <c r="C344">
        <v>0</v>
      </c>
      <c r="D344">
        <v>0</v>
      </c>
      <c r="E344" s="27">
        <v>0</v>
      </c>
      <c r="F344">
        <v>5.04</v>
      </c>
      <c r="G344">
        <v>3.02</v>
      </c>
      <c r="H344">
        <v>8.06</v>
      </c>
      <c r="I344">
        <v>62.53</v>
      </c>
      <c r="J344">
        <v>0</v>
      </c>
      <c r="K344" s="9">
        <v>45299</v>
      </c>
      <c r="L344">
        <f xml:space="preserve"> (交易處理資料__3[[#This Row],[售出工時]] * 60) / 5</f>
        <v>0</v>
      </c>
      <c r="M344" t="str">
        <f>VLOOKUP(交易處理資料__3[[#This Row],[人員代號]],團隊分組!$B$1:$C$52,2,FALSE)</f>
        <v>查修團隊B</v>
      </c>
      <c r="N344">
        <f>IF(交易處理資料__3[[#This Row],[上班時間]]=0,0,交易處理資料__3[[#This Row],[售出工時]]/交易處理資料__3[[#This Row],[上班時間]])</f>
        <v>0</v>
      </c>
      <c r="O344" s="31" t="str">
        <f>IF(交易處理資料__3[[#This Row],[上班時間]]=0,"否","是")</f>
        <v>是</v>
      </c>
    </row>
    <row r="345" spans="1:15" hidden="1">
      <c r="A345" t="s">
        <v>75</v>
      </c>
      <c r="B345" t="s">
        <v>48</v>
      </c>
      <c r="C345">
        <v>0</v>
      </c>
      <c r="D345">
        <v>0</v>
      </c>
      <c r="E345" s="27">
        <v>0</v>
      </c>
      <c r="F345">
        <v>4.16</v>
      </c>
      <c r="G345">
        <v>4.12</v>
      </c>
      <c r="H345">
        <v>8.2799999999999994</v>
      </c>
      <c r="I345">
        <v>50.24</v>
      </c>
      <c r="J345">
        <v>0</v>
      </c>
      <c r="K345" s="9">
        <v>45299</v>
      </c>
      <c r="L345">
        <f xml:space="preserve"> (交易處理資料__3[[#This Row],[售出工時]] * 60) / 5</f>
        <v>0</v>
      </c>
      <c r="M345" t="str">
        <f>VLOOKUP(交易處理資料__3[[#This Row],[人員代號]],團隊分組!$B$1:$C$52,2,FALSE)</f>
        <v>查修團隊A</v>
      </c>
      <c r="N345">
        <f>IF(交易處理資料__3[[#This Row],[上班時間]]=0,0,交易處理資料__3[[#This Row],[售出工時]]/交易處理資料__3[[#This Row],[上班時間]])</f>
        <v>0</v>
      </c>
      <c r="O345" s="31" t="str">
        <f>IF(交易處理資料__3[[#This Row],[上班時間]]=0,"否","是")</f>
        <v>是</v>
      </c>
    </row>
    <row r="346" spans="1:15" hidden="1">
      <c r="A346" t="s">
        <v>75</v>
      </c>
      <c r="B346" t="s">
        <v>49</v>
      </c>
      <c r="C346">
        <v>7.38</v>
      </c>
      <c r="D346">
        <v>6.4</v>
      </c>
      <c r="E346" s="27">
        <v>115.31</v>
      </c>
      <c r="F346">
        <v>9.67</v>
      </c>
      <c r="G346">
        <v>0.37</v>
      </c>
      <c r="H346">
        <v>10.039999999999999</v>
      </c>
      <c r="I346">
        <v>96.31</v>
      </c>
      <c r="J346">
        <v>73.510000000000005</v>
      </c>
      <c r="K346" s="9">
        <v>45299</v>
      </c>
      <c r="L346">
        <f xml:space="preserve"> (交易處理資料__3[[#This Row],[售出工時]] * 60) / 5</f>
        <v>88.56</v>
      </c>
      <c r="M346" t="str">
        <f>VLOOKUP(交易處理資料__3[[#This Row],[人員代號]],團隊分組!$B$1:$C$52,2,FALSE)</f>
        <v>查修團隊A</v>
      </c>
      <c r="N346">
        <f>IF(交易處理資料__3[[#This Row],[上班時間]]=0,0,交易處理資料__3[[#This Row],[售出工時]]/交易處理資料__3[[#This Row],[上班時間]])</f>
        <v>0.73505976095617531</v>
      </c>
      <c r="O346" s="31" t="str">
        <f>IF(交易處理資料__3[[#This Row],[上班時間]]=0,"否","是")</f>
        <v>是</v>
      </c>
    </row>
    <row r="347" spans="1:15" hidden="1">
      <c r="A347" t="s">
        <v>75</v>
      </c>
      <c r="B347" t="s">
        <v>50</v>
      </c>
      <c r="C347">
        <v>2.4300000000000002</v>
      </c>
      <c r="D347">
        <v>4.08</v>
      </c>
      <c r="E347" s="27">
        <v>59.55</v>
      </c>
      <c r="F347">
        <v>7.4</v>
      </c>
      <c r="G347">
        <v>0.67</v>
      </c>
      <c r="H347">
        <v>8.07</v>
      </c>
      <c r="I347">
        <v>91.7</v>
      </c>
      <c r="J347">
        <v>30.11</v>
      </c>
      <c r="K347" s="9">
        <v>45299</v>
      </c>
      <c r="L347">
        <f xml:space="preserve"> (交易處理資料__3[[#This Row],[售出工時]] * 60) / 5</f>
        <v>29.160000000000004</v>
      </c>
      <c r="M347" t="str">
        <f>VLOOKUP(交易處理資料__3[[#This Row],[人員代號]],團隊分組!$B$1:$C$52,2,FALSE)</f>
        <v>快速保養團隊B</v>
      </c>
      <c r="N347">
        <f>IF(交易處理資料__3[[#This Row],[上班時間]]=0,0,交易處理資料__3[[#This Row],[售出工時]]/交易處理資料__3[[#This Row],[上班時間]])</f>
        <v>0.30111524163568776</v>
      </c>
      <c r="O347" s="31" t="str">
        <f>IF(交易處理資料__3[[#This Row],[上班時間]]=0,"否","是")</f>
        <v>是</v>
      </c>
    </row>
    <row r="348" spans="1:15" hidden="1">
      <c r="A348" t="s">
        <v>75</v>
      </c>
      <c r="B348" t="s">
        <v>51</v>
      </c>
      <c r="C348">
        <v>0</v>
      </c>
      <c r="D348">
        <v>0</v>
      </c>
      <c r="E348" s="27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 s="9">
        <v>45299</v>
      </c>
      <c r="L348">
        <f xml:space="preserve"> (交易處理資料__3[[#This Row],[售出工時]] * 60) / 5</f>
        <v>0</v>
      </c>
      <c r="M348" t="str">
        <f>VLOOKUP(交易處理資料__3[[#This Row],[人員代號]],團隊分組!$B$1:$C$52,2,FALSE)</f>
        <v>無效數據</v>
      </c>
      <c r="N348">
        <f>IF(交易處理資料__3[[#This Row],[上班時間]]=0,0,交易處理資料__3[[#This Row],[售出工時]]/交易處理資料__3[[#This Row],[上班時間]])</f>
        <v>0</v>
      </c>
      <c r="O348" s="31" t="str">
        <f>IF(交易處理資料__3[[#This Row],[上班時間]]=0,"否","是")</f>
        <v>否</v>
      </c>
    </row>
    <row r="349" spans="1:15" hidden="1">
      <c r="A349" t="s">
        <v>75</v>
      </c>
      <c r="B349" t="s">
        <v>52</v>
      </c>
      <c r="C349">
        <v>1.33</v>
      </c>
      <c r="D349">
        <v>1.7</v>
      </c>
      <c r="E349" s="27">
        <v>78.430000000000007</v>
      </c>
      <c r="F349">
        <v>7.59</v>
      </c>
      <c r="G349">
        <v>0.49</v>
      </c>
      <c r="H349">
        <v>8.08</v>
      </c>
      <c r="I349">
        <v>93.94</v>
      </c>
      <c r="J349">
        <v>16.5</v>
      </c>
      <c r="K349" s="9">
        <v>45299</v>
      </c>
      <c r="L349">
        <f xml:space="preserve"> (交易處理資料__3[[#This Row],[售出工時]] * 60) / 5</f>
        <v>15.960000000000003</v>
      </c>
      <c r="M349" t="str">
        <f>VLOOKUP(交易處理資料__3[[#This Row],[人員代號]],團隊分組!$B$1:$C$52,2,FALSE)</f>
        <v>查修團隊B</v>
      </c>
      <c r="N349">
        <f>IF(交易處理資料__3[[#This Row],[上班時間]]=0,0,交易處理資料__3[[#This Row],[售出工時]]/交易處理資料__3[[#This Row],[上班時間]])</f>
        <v>0.16460396039603961</v>
      </c>
      <c r="O349" s="31" t="str">
        <f>IF(交易處理資料__3[[#This Row],[上班時間]]=0,"否","是")</f>
        <v>是</v>
      </c>
    </row>
    <row r="350" spans="1:15" hidden="1">
      <c r="A350" t="s">
        <v>75</v>
      </c>
      <c r="B350" t="s">
        <v>53</v>
      </c>
      <c r="C350">
        <v>2.16</v>
      </c>
      <c r="D350">
        <v>5.67</v>
      </c>
      <c r="E350" s="27">
        <v>38.21</v>
      </c>
      <c r="F350">
        <v>9.26</v>
      </c>
      <c r="G350">
        <v>0.7</v>
      </c>
      <c r="H350">
        <v>9.9600000000000009</v>
      </c>
      <c r="I350">
        <v>92.97</v>
      </c>
      <c r="J350">
        <v>21.75</v>
      </c>
      <c r="K350" s="9">
        <v>45299</v>
      </c>
      <c r="L350">
        <f xml:space="preserve"> (交易處理資料__3[[#This Row],[售出工時]] * 60) / 5</f>
        <v>25.920000000000005</v>
      </c>
      <c r="M350" t="str">
        <f>VLOOKUP(交易處理資料__3[[#This Row],[人員代號]],團隊分組!$B$1:$C$52,2,FALSE)</f>
        <v>查修團隊A</v>
      </c>
      <c r="N350">
        <f>IF(交易處理資料__3[[#This Row],[上班時間]]=0,0,交易處理資料__3[[#This Row],[售出工時]]/交易處理資料__3[[#This Row],[上班時間]])</f>
        <v>0.21686746987951808</v>
      </c>
      <c r="O350" s="31" t="str">
        <f>IF(交易處理資料__3[[#This Row],[上班時間]]=0,"否","是")</f>
        <v>是</v>
      </c>
    </row>
    <row r="351" spans="1:15" hidden="1">
      <c r="A351" s="10" t="s">
        <v>73</v>
      </c>
      <c r="B351" t="s">
        <v>1</v>
      </c>
      <c r="C351">
        <v>0</v>
      </c>
      <c r="D351">
        <v>0</v>
      </c>
      <c r="E351" s="27">
        <v>0</v>
      </c>
      <c r="F351">
        <v>7.12</v>
      </c>
      <c r="G351">
        <v>1.01</v>
      </c>
      <c r="H351">
        <v>8.1300000000000008</v>
      </c>
      <c r="I351">
        <v>87.58</v>
      </c>
      <c r="J351">
        <v>0</v>
      </c>
      <c r="K351" s="9">
        <v>45300</v>
      </c>
      <c r="L351">
        <f xml:space="preserve"> (交易處理資料__3[[#This Row],[售出工時]] * 60) / 5</f>
        <v>0</v>
      </c>
      <c r="M351" t="str">
        <f>VLOOKUP(交易處理資料__3[[#This Row],[人員代號]],團隊分組!$B$1:$C$52,2,FALSE)</f>
        <v>噴漆維修組</v>
      </c>
      <c r="N351">
        <f>IF(交易處理資料__3[[#This Row],[上班時間]]=0,0,交易處理資料__3[[#This Row],[售出工時]]/交易處理資料__3[[#This Row],[上班時間]])</f>
        <v>0</v>
      </c>
      <c r="O351" s="31" t="str">
        <f>IF(交易處理資料__3[[#This Row],[上班時間]]=0,"否","是")</f>
        <v>是</v>
      </c>
    </row>
    <row r="352" spans="1:15" hidden="1">
      <c r="A352" s="10" t="s">
        <v>73</v>
      </c>
      <c r="B352" t="s">
        <v>2</v>
      </c>
      <c r="C352">
        <v>0.16</v>
      </c>
      <c r="D352">
        <v>6.57</v>
      </c>
      <c r="E352" s="27">
        <v>2.4300000000000002</v>
      </c>
      <c r="F352">
        <v>10.36</v>
      </c>
      <c r="G352">
        <v>0.26</v>
      </c>
      <c r="H352">
        <v>10.62</v>
      </c>
      <c r="I352">
        <v>97.55</v>
      </c>
      <c r="J352">
        <v>1.51</v>
      </c>
      <c r="K352" s="9">
        <v>45300</v>
      </c>
      <c r="L352">
        <f xml:space="preserve"> (交易處理資料__3[[#This Row],[售出工時]] * 60) / 5</f>
        <v>1.92</v>
      </c>
      <c r="M352" t="str">
        <f>VLOOKUP(交易處理資料__3[[#This Row],[人員代號]],團隊分組!$B$1:$C$52,2,FALSE)</f>
        <v>噴漆維修組</v>
      </c>
      <c r="N352">
        <f>IF(交易處理資料__3[[#This Row],[上班時間]]=0,0,交易處理資料__3[[#This Row],[售出工時]]/交易處理資料__3[[#This Row],[上班時間]])</f>
        <v>1.5065913370998118E-2</v>
      </c>
      <c r="O352" s="31" t="str">
        <f>IF(交易處理資料__3[[#This Row],[上班時間]]=0,"否","是")</f>
        <v>是</v>
      </c>
    </row>
    <row r="353" spans="1:15" hidden="1">
      <c r="A353" s="10" t="s">
        <v>73</v>
      </c>
      <c r="B353" t="s">
        <v>3</v>
      </c>
      <c r="C353">
        <v>0.16</v>
      </c>
      <c r="D353">
        <v>6.57</v>
      </c>
      <c r="E353" s="27">
        <v>2.4300000000000002</v>
      </c>
      <c r="F353">
        <v>10.36</v>
      </c>
      <c r="G353">
        <v>0.25</v>
      </c>
      <c r="H353">
        <v>10.61</v>
      </c>
      <c r="I353">
        <v>97.64</v>
      </c>
      <c r="J353">
        <v>1.51</v>
      </c>
      <c r="K353" s="9">
        <v>45300</v>
      </c>
      <c r="L353">
        <f xml:space="preserve"> (交易處理資料__3[[#This Row],[售出工時]] * 60) / 5</f>
        <v>1.92</v>
      </c>
      <c r="M353" t="str">
        <f>VLOOKUP(交易處理資料__3[[#This Row],[人員代號]],團隊分組!$B$1:$C$52,2,FALSE)</f>
        <v>噴漆維修組</v>
      </c>
      <c r="N353">
        <f>IF(交易處理資料__3[[#This Row],[上班時間]]=0,0,交易處理資料__3[[#This Row],[售出工時]]/交易處理資料__3[[#This Row],[上班時間]])</f>
        <v>1.5080113100848258E-2</v>
      </c>
      <c r="O353" s="31" t="str">
        <f>IF(交易處理資料__3[[#This Row],[上班時間]]=0,"否","是")</f>
        <v>是</v>
      </c>
    </row>
    <row r="354" spans="1:15" hidden="1">
      <c r="A354" s="10" t="s">
        <v>73</v>
      </c>
      <c r="B354" t="s">
        <v>4</v>
      </c>
      <c r="C354">
        <v>1.04</v>
      </c>
      <c r="D354">
        <v>7.66</v>
      </c>
      <c r="E354" s="27">
        <v>13.57</v>
      </c>
      <c r="F354">
        <v>8.9600000000000009</v>
      </c>
      <c r="G354">
        <v>1.1299999999999999</v>
      </c>
      <c r="H354">
        <v>10.09</v>
      </c>
      <c r="I354">
        <v>88.8</v>
      </c>
      <c r="J354">
        <v>10.31</v>
      </c>
      <c r="K354" s="9">
        <v>45300</v>
      </c>
      <c r="L354">
        <f xml:space="preserve"> (交易處理資料__3[[#This Row],[售出工時]] * 60) / 5</f>
        <v>12.48</v>
      </c>
      <c r="M354" t="str">
        <f>VLOOKUP(交易處理資料__3[[#This Row],[人員代號]],團隊分組!$B$1:$C$52,2,FALSE)</f>
        <v>噴漆維修組</v>
      </c>
      <c r="N354">
        <f>IF(交易處理資料__3[[#This Row],[上班時間]]=0,0,交易處理資料__3[[#This Row],[售出工時]]/交易處理資料__3[[#This Row],[上班時間]])</f>
        <v>0.10307234886025769</v>
      </c>
      <c r="O354" s="31" t="str">
        <f>IF(交易處理資料__3[[#This Row],[上班時間]]=0,"否","是")</f>
        <v>是</v>
      </c>
    </row>
    <row r="355" spans="1:15" hidden="1">
      <c r="A355" s="10" t="s">
        <v>73</v>
      </c>
      <c r="B355" t="s">
        <v>5</v>
      </c>
      <c r="C355">
        <v>3.21</v>
      </c>
      <c r="D355">
        <v>6.48</v>
      </c>
      <c r="E355" s="27">
        <v>49.53</v>
      </c>
      <c r="F355">
        <v>10.43</v>
      </c>
      <c r="G355">
        <v>0.2</v>
      </c>
      <c r="H355">
        <v>10.63</v>
      </c>
      <c r="I355">
        <v>98.12</v>
      </c>
      <c r="J355">
        <v>30.2</v>
      </c>
      <c r="K355" s="9">
        <v>45300</v>
      </c>
      <c r="L355">
        <f xml:space="preserve"> (交易處理資料__3[[#This Row],[售出工時]] * 60) / 5</f>
        <v>38.519999999999996</v>
      </c>
      <c r="M355" t="str">
        <f>VLOOKUP(交易處理資料__3[[#This Row],[人員代號]],團隊分組!$B$1:$C$52,2,FALSE)</f>
        <v>噴漆維修組</v>
      </c>
      <c r="N355">
        <f>IF(交易處理資料__3[[#This Row],[上班時間]]=0,0,交易處理資料__3[[#This Row],[售出工時]]/交易處理資料__3[[#This Row],[上班時間]])</f>
        <v>0.30197554092191908</v>
      </c>
      <c r="O355" s="31" t="str">
        <f>IF(交易處理資料__3[[#This Row],[上班時間]]=0,"否","是")</f>
        <v>是</v>
      </c>
    </row>
    <row r="356" spans="1:15" hidden="1">
      <c r="A356" s="10" t="s">
        <v>73</v>
      </c>
      <c r="B356" t="s">
        <v>6</v>
      </c>
      <c r="C356">
        <v>0.16</v>
      </c>
      <c r="D356">
        <v>6.57</v>
      </c>
      <c r="E356" s="27">
        <v>2.4300000000000002</v>
      </c>
      <c r="F356">
        <v>10.38</v>
      </c>
      <c r="G356">
        <v>0.25</v>
      </c>
      <c r="H356">
        <v>10.63</v>
      </c>
      <c r="I356">
        <v>97.65</v>
      </c>
      <c r="J356">
        <v>1.51</v>
      </c>
      <c r="K356" s="9">
        <v>45300</v>
      </c>
      <c r="L356">
        <f xml:space="preserve"> (交易處理資料__3[[#This Row],[售出工時]] * 60) / 5</f>
        <v>1.92</v>
      </c>
      <c r="M356" t="str">
        <f>VLOOKUP(交易處理資料__3[[#This Row],[人員代號]],團隊分組!$B$1:$C$52,2,FALSE)</f>
        <v>噴漆維修組</v>
      </c>
      <c r="N356">
        <f>IF(交易處理資料__3[[#This Row],[上班時間]]=0,0,交易處理資料__3[[#This Row],[售出工時]]/交易處理資料__3[[#This Row],[上班時間]])</f>
        <v>1.5051740357478832E-2</v>
      </c>
      <c r="O356" s="31" t="str">
        <f>IF(交易處理資料__3[[#This Row],[上班時間]]=0,"否","是")</f>
        <v>是</v>
      </c>
    </row>
    <row r="357" spans="1:15" hidden="1">
      <c r="A357" s="10" t="s">
        <v>73</v>
      </c>
      <c r="B357" t="s">
        <v>7</v>
      </c>
      <c r="C357">
        <v>3.21</v>
      </c>
      <c r="D357">
        <v>6.48</v>
      </c>
      <c r="E357" s="27">
        <v>49.53</v>
      </c>
      <c r="F357">
        <v>10.43</v>
      </c>
      <c r="G357">
        <v>0.2</v>
      </c>
      <c r="H357">
        <v>10.63</v>
      </c>
      <c r="I357">
        <v>98.12</v>
      </c>
      <c r="J357">
        <v>30.2</v>
      </c>
      <c r="K357" s="9">
        <v>45300</v>
      </c>
      <c r="L357">
        <f xml:space="preserve"> (交易處理資料__3[[#This Row],[售出工時]] * 60) / 5</f>
        <v>38.519999999999996</v>
      </c>
      <c r="M357" t="str">
        <f>VLOOKUP(交易處理資料__3[[#This Row],[人員代號]],團隊分組!$B$1:$C$52,2,FALSE)</f>
        <v>噴漆維修組</v>
      </c>
      <c r="N357">
        <f>IF(交易處理資料__3[[#This Row],[上班時間]]=0,0,交易處理資料__3[[#This Row],[售出工時]]/交易處理資料__3[[#This Row],[上班時間]])</f>
        <v>0.30197554092191908</v>
      </c>
      <c r="O357" s="31" t="str">
        <f>IF(交易處理資料__3[[#This Row],[上班時間]]=0,"否","是")</f>
        <v>是</v>
      </c>
    </row>
    <row r="358" spans="1:15" hidden="1">
      <c r="A358" s="10" t="s">
        <v>73</v>
      </c>
      <c r="B358" t="s">
        <v>8</v>
      </c>
      <c r="C358">
        <v>1.04</v>
      </c>
      <c r="D358">
        <v>7.66</v>
      </c>
      <c r="E358" s="27">
        <v>13.57</v>
      </c>
      <c r="F358">
        <v>9.5500000000000007</v>
      </c>
      <c r="G358">
        <v>1.01</v>
      </c>
      <c r="H358">
        <v>10.56</v>
      </c>
      <c r="I358">
        <v>90.44</v>
      </c>
      <c r="J358">
        <v>9.85</v>
      </c>
      <c r="K358" s="9">
        <v>45300</v>
      </c>
      <c r="L358">
        <f xml:space="preserve"> (交易處理資料__3[[#This Row],[售出工時]] * 60) / 5</f>
        <v>12.48</v>
      </c>
      <c r="M358" t="str">
        <f>VLOOKUP(交易處理資料__3[[#This Row],[人員代號]],團隊分組!$B$1:$C$52,2,FALSE)</f>
        <v>噴漆維修組</v>
      </c>
      <c r="N358">
        <f>IF(交易處理資料__3[[#This Row],[上班時間]]=0,0,交易處理資料__3[[#This Row],[售出工時]]/交易處理資料__3[[#This Row],[上班時間]])</f>
        <v>9.8484848484848481E-2</v>
      </c>
      <c r="O358" s="31" t="str">
        <f>IF(交易處理資料__3[[#This Row],[上班時間]]=0,"否","是")</f>
        <v>是</v>
      </c>
    </row>
    <row r="359" spans="1:15" hidden="1">
      <c r="A359" s="10" t="s">
        <v>73</v>
      </c>
      <c r="B359" t="s">
        <v>9</v>
      </c>
      <c r="C359">
        <v>0</v>
      </c>
      <c r="D359">
        <v>0</v>
      </c>
      <c r="E359" s="27">
        <v>0</v>
      </c>
      <c r="F359">
        <v>10.18</v>
      </c>
      <c r="G359">
        <v>0.44</v>
      </c>
      <c r="H359">
        <v>10.62</v>
      </c>
      <c r="I359">
        <v>95.86</v>
      </c>
      <c r="J359">
        <v>0</v>
      </c>
      <c r="K359" s="9">
        <v>45300</v>
      </c>
      <c r="L359">
        <f xml:space="preserve"> (交易處理資料__3[[#This Row],[售出工時]] * 60) / 5</f>
        <v>0</v>
      </c>
      <c r="M359" t="str">
        <f>VLOOKUP(交易處理資料__3[[#This Row],[人員代號]],團隊分組!$B$1:$C$52,2,FALSE)</f>
        <v>噴漆維修組</v>
      </c>
      <c r="N359">
        <f>IF(交易處理資料__3[[#This Row],[上班時間]]=0,0,交易處理資料__3[[#This Row],[售出工時]]/交易處理資料__3[[#This Row],[上班時間]])</f>
        <v>0</v>
      </c>
      <c r="O359" s="31" t="str">
        <f>IF(交易處理資料__3[[#This Row],[上班時間]]=0,"否","是")</f>
        <v>是</v>
      </c>
    </row>
    <row r="360" spans="1:15" hidden="1">
      <c r="A360" t="s">
        <v>74</v>
      </c>
      <c r="B360" t="s">
        <v>11</v>
      </c>
      <c r="C360">
        <v>0</v>
      </c>
      <c r="D360">
        <v>0</v>
      </c>
      <c r="E360" s="27">
        <v>0</v>
      </c>
      <c r="F360">
        <v>5.92</v>
      </c>
      <c r="G360">
        <v>2.11</v>
      </c>
      <c r="H360">
        <v>8.0299999999999994</v>
      </c>
      <c r="I360">
        <v>73.72</v>
      </c>
      <c r="J360">
        <v>0</v>
      </c>
      <c r="K360" s="9">
        <v>45300</v>
      </c>
      <c r="L360">
        <f xml:space="preserve"> (交易處理資料__3[[#This Row],[售出工時]] * 60) / 5</f>
        <v>0</v>
      </c>
      <c r="M360" t="str">
        <f>VLOOKUP(交易處理資料__3[[#This Row],[人員代號]],團隊分組!$B$1:$C$52,2,FALSE)</f>
        <v>鈑金維修組</v>
      </c>
      <c r="N360">
        <f>IF(交易處理資料__3[[#This Row],[上班時間]]=0,0,交易處理資料__3[[#This Row],[售出工時]]/交易處理資料__3[[#This Row],[上班時間]])</f>
        <v>0</v>
      </c>
      <c r="O360" s="31" t="str">
        <f>IF(交易處理資料__3[[#This Row],[上班時間]]=0,"否","是")</f>
        <v>是</v>
      </c>
    </row>
    <row r="361" spans="1:15" hidden="1">
      <c r="A361" t="s">
        <v>74</v>
      </c>
      <c r="B361" t="s">
        <v>12</v>
      </c>
      <c r="C361">
        <v>12</v>
      </c>
      <c r="D361">
        <v>7.78</v>
      </c>
      <c r="E361" s="27">
        <v>154.24</v>
      </c>
      <c r="F361">
        <v>7.05</v>
      </c>
      <c r="G361">
        <v>1.03</v>
      </c>
      <c r="H361">
        <v>8.08</v>
      </c>
      <c r="I361">
        <v>87.25</v>
      </c>
      <c r="J361">
        <v>148.51</v>
      </c>
      <c r="K361" s="9">
        <v>45300</v>
      </c>
      <c r="L361">
        <f xml:space="preserve"> (交易處理資料__3[[#This Row],[售出工時]] * 60) / 5</f>
        <v>144</v>
      </c>
      <c r="M361" t="str">
        <f>VLOOKUP(交易處理資料__3[[#This Row],[人員代號]],團隊分組!$B$1:$C$52,2,FALSE)</f>
        <v>鈑金維修組</v>
      </c>
      <c r="N361">
        <f>IF(交易處理資料__3[[#This Row],[上班時間]]=0,0,交易處理資料__3[[#This Row],[售出工時]]/交易處理資料__3[[#This Row],[上班時間]])</f>
        <v>1.4851485148514851</v>
      </c>
      <c r="O361" s="31" t="str">
        <f>IF(交易處理資料__3[[#This Row],[上班時間]]=0,"否","是")</f>
        <v>是</v>
      </c>
    </row>
    <row r="362" spans="1:15" hidden="1">
      <c r="A362" t="s">
        <v>74</v>
      </c>
      <c r="B362" t="s">
        <v>14</v>
      </c>
      <c r="C362">
        <v>0.04</v>
      </c>
      <c r="D362">
        <v>0.35</v>
      </c>
      <c r="E362" s="27">
        <v>11.42</v>
      </c>
      <c r="F362">
        <v>4.03</v>
      </c>
      <c r="G362">
        <v>4.05</v>
      </c>
      <c r="H362">
        <v>8.08</v>
      </c>
      <c r="I362">
        <v>49.88</v>
      </c>
      <c r="J362">
        <v>0.5</v>
      </c>
      <c r="K362" s="9">
        <v>45300</v>
      </c>
      <c r="L362">
        <f xml:space="preserve"> (交易處理資料__3[[#This Row],[售出工時]] * 60) / 5</f>
        <v>0.48</v>
      </c>
      <c r="M362" t="str">
        <f>VLOOKUP(交易處理資料__3[[#This Row],[人員代號]],團隊分組!$B$1:$C$52,2,FALSE)</f>
        <v>鈑金維修組</v>
      </c>
      <c r="N362">
        <f>IF(交易處理資料__3[[#This Row],[上班時間]]=0,0,交易處理資料__3[[#This Row],[售出工時]]/交易處理資料__3[[#This Row],[上班時間]])</f>
        <v>4.9504950495049506E-3</v>
      </c>
      <c r="O362" s="31" t="str">
        <f>IF(交易處理資料__3[[#This Row],[上班時間]]=0,"否","是")</f>
        <v>是</v>
      </c>
    </row>
    <row r="363" spans="1:15" hidden="1">
      <c r="A363" t="s">
        <v>74</v>
      </c>
      <c r="B363" t="s">
        <v>15</v>
      </c>
      <c r="C363">
        <v>0.05</v>
      </c>
      <c r="D363">
        <v>0.67</v>
      </c>
      <c r="E363" s="27">
        <v>7.46</v>
      </c>
      <c r="F363">
        <v>4.03</v>
      </c>
      <c r="G363">
        <v>4.0599999999999996</v>
      </c>
      <c r="H363">
        <v>8.09</v>
      </c>
      <c r="I363">
        <v>49.81</v>
      </c>
      <c r="J363">
        <v>0.62</v>
      </c>
      <c r="K363" s="9">
        <v>45300</v>
      </c>
      <c r="L363">
        <f xml:space="preserve"> (交易處理資料__3[[#This Row],[售出工時]] * 60) / 5</f>
        <v>0.6</v>
      </c>
      <c r="M363" t="str">
        <f>VLOOKUP(交易處理資料__3[[#This Row],[人員代號]],團隊分組!$B$1:$C$52,2,FALSE)</f>
        <v>鈑金維修組</v>
      </c>
      <c r="N363">
        <f>IF(交易處理資料__3[[#This Row],[上班時間]]=0,0,交易處理資料__3[[#This Row],[售出工時]]/交易處理資料__3[[#This Row],[上班時間]])</f>
        <v>6.1804697156983938E-3</v>
      </c>
      <c r="O363" s="31" t="str">
        <f>IF(交易處理資料__3[[#This Row],[上班時間]]=0,"否","是")</f>
        <v>是</v>
      </c>
    </row>
    <row r="364" spans="1:15" hidden="1">
      <c r="A364" t="s">
        <v>75</v>
      </c>
      <c r="B364" t="s">
        <v>17</v>
      </c>
      <c r="C364">
        <v>5.5</v>
      </c>
      <c r="D364">
        <v>3.68</v>
      </c>
      <c r="E364" s="27">
        <v>149.44999999999999</v>
      </c>
      <c r="F364">
        <v>7.43</v>
      </c>
      <c r="G364">
        <v>0.43</v>
      </c>
      <c r="H364">
        <v>7.86</v>
      </c>
      <c r="I364">
        <v>94.53</v>
      </c>
      <c r="J364">
        <v>69.97</v>
      </c>
      <c r="K364" s="9">
        <v>45300</v>
      </c>
      <c r="L364">
        <f xml:space="preserve"> (交易處理資料__3[[#This Row],[售出工時]] * 60) / 5</f>
        <v>66</v>
      </c>
      <c r="M364" t="str">
        <f>VLOOKUP(交易處理資料__3[[#This Row],[人員代號]],團隊分組!$B$1:$C$52,2,FALSE)</f>
        <v>快速保養團隊A</v>
      </c>
      <c r="N364">
        <f>IF(交易處理資料__3[[#This Row],[上班時間]]=0,0,交易處理資料__3[[#This Row],[售出工時]]/交易處理資料__3[[#This Row],[上班時間]])</f>
        <v>0.69974554707379133</v>
      </c>
      <c r="O364" s="31" t="str">
        <f>IF(交易處理資料__3[[#This Row],[上班時間]]=0,"否","是")</f>
        <v>是</v>
      </c>
    </row>
    <row r="365" spans="1:15" hidden="1">
      <c r="A365" t="s">
        <v>75</v>
      </c>
      <c r="B365" t="s">
        <v>19</v>
      </c>
      <c r="C365">
        <v>1</v>
      </c>
      <c r="D365">
        <v>1.82</v>
      </c>
      <c r="E365" s="27">
        <v>54.94</v>
      </c>
      <c r="F365">
        <v>7.05</v>
      </c>
      <c r="G365">
        <v>0.94</v>
      </c>
      <c r="H365">
        <v>7.99</v>
      </c>
      <c r="I365">
        <v>88.24</v>
      </c>
      <c r="J365">
        <v>12.52</v>
      </c>
      <c r="K365" s="9">
        <v>45300</v>
      </c>
      <c r="L365">
        <f xml:space="preserve"> (交易處理資料__3[[#This Row],[售出工時]] * 60) / 5</f>
        <v>12</v>
      </c>
      <c r="M365" t="str">
        <f>VLOOKUP(交易處理資料__3[[#This Row],[人員代號]],團隊分組!$B$1:$C$52,2,FALSE)</f>
        <v>查修團隊A</v>
      </c>
      <c r="N365">
        <f>IF(交易處理資料__3[[#This Row],[上班時間]]=0,0,交易處理資料__3[[#This Row],[售出工時]]/交易處理資料__3[[#This Row],[上班時間]])</f>
        <v>0.12515644555694619</v>
      </c>
      <c r="O365" s="31" t="str">
        <f>IF(交易處理資料__3[[#This Row],[上班時間]]=0,"否","是")</f>
        <v>是</v>
      </c>
    </row>
    <row r="366" spans="1:15" hidden="1">
      <c r="A366" t="s">
        <v>75</v>
      </c>
      <c r="B366" t="s">
        <v>20</v>
      </c>
      <c r="C366">
        <v>0</v>
      </c>
      <c r="D366">
        <v>0</v>
      </c>
      <c r="E366" s="27">
        <v>0</v>
      </c>
      <c r="F366">
        <v>3.52</v>
      </c>
      <c r="G366">
        <v>0.9</v>
      </c>
      <c r="H366">
        <v>4.42</v>
      </c>
      <c r="I366">
        <v>79.64</v>
      </c>
      <c r="J366">
        <v>0</v>
      </c>
      <c r="K366" s="9">
        <v>45300</v>
      </c>
      <c r="L366">
        <f xml:space="preserve"> (交易處理資料__3[[#This Row],[售出工時]] * 60) / 5</f>
        <v>0</v>
      </c>
      <c r="M366" t="str">
        <f>VLOOKUP(交易處理資料__3[[#This Row],[人員代號]],團隊分組!$B$1:$C$52,2,FALSE)</f>
        <v>查修團隊B</v>
      </c>
      <c r="N366">
        <f>IF(交易處理資料__3[[#This Row],[上班時間]]=0,0,交易處理資料__3[[#This Row],[售出工時]]/交易處理資料__3[[#This Row],[上班時間]])</f>
        <v>0</v>
      </c>
      <c r="O366" s="31" t="str">
        <f>IF(交易處理資料__3[[#This Row],[上班時間]]=0,"否","是")</f>
        <v>是</v>
      </c>
    </row>
    <row r="367" spans="1:15" hidden="1">
      <c r="A367" t="s">
        <v>75</v>
      </c>
      <c r="B367" t="s">
        <v>22</v>
      </c>
      <c r="C367">
        <v>0</v>
      </c>
      <c r="D367">
        <v>0</v>
      </c>
      <c r="E367" s="2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 s="9">
        <v>45300</v>
      </c>
      <c r="L367">
        <f xml:space="preserve"> (交易處理資料__3[[#This Row],[售出工時]] * 60) / 5</f>
        <v>0</v>
      </c>
      <c r="M367" t="str">
        <f>VLOOKUP(交易處理資料__3[[#This Row],[人員代號]],團隊分組!$B$1:$C$52,2,FALSE)</f>
        <v>快速保養團隊A</v>
      </c>
      <c r="N367">
        <f>IF(交易處理資料__3[[#This Row],[上班時間]]=0,0,交易處理資料__3[[#This Row],[售出工時]]/交易處理資料__3[[#This Row],[上班時間]])</f>
        <v>0</v>
      </c>
      <c r="O367" s="31" t="str">
        <f>IF(交易處理資料__3[[#This Row],[上班時間]]=0,"否","是")</f>
        <v>否</v>
      </c>
    </row>
    <row r="368" spans="1:15" hidden="1">
      <c r="A368" t="s">
        <v>75</v>
      </c>
      <c r="B368" t="s">
        <v>23</v>
      </c>
      <c r="C368">
        <v>8.32</v>
      </c>
      <c r="D368">
        <v>5.4</v>
      </c>
      <c r="E368" s="27">
        <v>154.13</v>
      </c>
      <c r="F368">
        <v>7.33</v>
      </c>
      <c r="G368">
        <v>1.68</v>
      </c>
      <c r="H368">
        <v>9.01</v>
      </c>
      <c r="I368">
        <v>81.349999999999994</v>
      </c>
      <c r="J368">
        <v>92.38</v>
      </c>
      <c r="K368" s="9">
        <v>45300</v>
      </c>
      <c r="L368">
        <f xml:space="preserve"> (交易處理資料__3[[#This Row],[售出工時]] * 60) / 5</f>
        <v>99.84</v>
      </c>
      <c r="M368" t="str">
        <f>VLOOKUP(交易處理資料__3[[#This Row],[人員代號]],團隊分組!$B$1:$C$52,2,FALSE)</f>
        <v>快速保養團隊B</v>
      </c>
      <c r="N368">
        <f>IF(交易處理資料__3[[#This Row],[上班時間]]=0,0,交易處理資料__3[[#This Row],[售出工時]]/交易處理資料__3[[#This Row],[上班時間]])</f>
        <v>0.92341842397336293</v>
      </c>
      <c r="O368" s="31" t="str">
        <f>IF(交易處理資料__3[[#This Row],[上班時間]]=0,"否","是")</f>
        <v>是</v>
      </c>
    </row>
    <row r="369" spans="1:15" hidden="1">
      <c r="A369" t="s">
        <v>75</v>
      </c>
      <c r="B369" t="s">
        <v>26</v>
      </c>
      <c r="C369">
        <v>1.08</v>
      </c>
      <c r="D369">
        <v>0.6</v>
      </c>
      <c r="E369" s="27">
        <v>180</v>
      </c>
      <c r="F369">
        <v>2.58</v>
      </c>
      <c r="G369">
        <v>5.93</v>
      </c>
      <c r="H369">
        <v>8.51</v>
      </c>
      <c r="I369">
        <v>30.32</v>
      </c>
      <c r="J369">
        <v>12.69</v>
      </c>
      <c r="K369" s="9">
        <v>45300</v>
      </c>
      <c r="L369">
        <f xml:space="preserve"> (交易處理資料__3[[#This Row],[售出工時]] * 60) / 5</f>
        <v>12.960000000000003</v>
      </c>
      <c r="M369" t="str">
        <f>VLOOKUP(交易處理資料__3[[#This Row],[人員代號]],團隊分組!$B$1:$C$52,2,FALSE)</f>
        <v>查修團隊B</v>
      </c>
      <c r="N369">
        <f>IF(交易處理資料__3[[#This Row],[上班時間]]=0,0,交易處理資料__3[[#This Row],[售出工時]]/交易處理資料__3[[#This Row],[上班時間]])</f>
        <v>0.12690951821386606</v>
      </c>
      <c r="O369" s="31" t="str">
        <f>IF(交易處理資料__3[[#This Row],[上班時間]]=0,"否","是")</f>
        <v>是</v>
      </c>
    </row>
    <row r="370" spans="1:15" hidden="1">
      <c r="A370" t="s">
        <v>75</v>
      </c>
      <c r="B370" t="s">
        <v>27</v>
      </c>
      <c r="C370">
        <v>0</v>
      </c>
      <c r="D370">
        <v>0</v>
      </c>
      <c r="E370" s="27">
        <v>0</v>
      </c>
      <c r="F370">
        <v>10.4</v>
      </c>
      <c r="G370">
        <v>0.08</v>
      </c>
      <c r="H370">
        <v>10.48</v>
      </c>
      <c r="I370">
        <v>99.24</v>
      </c>
      <c r="J370">
        <v>0</v>
      </c>
      <c r="K370" s="9">
        <v>45300</v>
      </c>
      <c r="L370">
        <f xml:space="preserve"> (交易處理資料__3[[#This Row],[售出工時]] * 60) / 5</f>
        <v>0</v>
      </c>
      <c r="M370" t="str">
        <f>VLOOKUP(交易處理資料__3[[#This Row],[人員代號]],團隊分組!$B$1:$C$52,2,FALSE)</f>
        <v>快速保養團隊B</v>
      </c>
      <c r="N370">
        <f>IF(交易處理資料__3[[#This Row],[上班時間]]=0,0,交易處理資料__3[[#This Row],[售出工時]]/交易處理資料__3[[#This Row],[上班時間]])</f>
        <v>0</v>
      </c>
      <c r="O370" s="31" t="str">
        <f>IF(交易處理資料__3[[#This Row],[上班時間]]=0,"否","是")</f>
        <v>是</v>
      </c>
    </row>
    <row r="371" spans="1:15" hidden="1">
      <c r="A371" t="s">
        <v>75</v>
      </c>
      <c r="B371" t="s">
        <v>28</v>
      </c>
      <c r="C371">
        <v>12.16</v>
      </c>
      <c r="D371">
        <v>7.37</v>
      </c>
      <c r="E371" s="27">
        <v>165.08</v>
      </c>
      <c r="F371">
        <v>7.37</v>
      </c>
      <c r="G371">
        <v>1.01</v>
      </c>
      <c r="H371">
        <v>8.3800000000000008</v>
      </c>
      <c r="I371">
        <v>87.95</v>
      </c>
      <c r="J371">
        <v>145.19</v>
      </c>
      <c r="K371" s="9">
        <v>45300</v>
      </c>
      <c r="L371">
        <f xml:space="preserve"> (交易處理資料__3[[#This Row],[售出工時]] * 60) / 5</f>
        <v>145.92000000000002</v>
      </c>
      <c r="M371" t="str">
        <f>VLOOKUP(交易處理資料__3[[#This Row],[人員代號]],團隊分組!$B$1:$C$52,2,FALSE)</f>
        <v>快速保養團隊A</v>
      </c>
      <c r="N371">
        <f>IF(交易處理資料__3[[#This Row],[上班時間]]=0,0,交易處理資料__3[[#This Row],[售出工時]]/交易處理資料__3[[#This Row],[上班時間]])</f>
        <v>1.4510739856801909</v>
      </c>
      <c r="O371" s="31" t="str">
        <f>IF(交易處理資料__3[[#This Row],[上班時間]]=0,"否","是")</f>
        <v>是</v>
      </c>
    </row>
    <row r="372" spans="1:15" hidden="1">
      <c r="A372" t="s">
        <v>75</v>
      </c>
      <c r="B372" t="s">
        <v>29</v>
      </c>
      <c r="C372">
        <v>1</v>
      </c>
      <c r="D372">
        <v>0.87</v>
      </c>
      <c r="E372" s="27">
        <v>114.94</v>
      </c>
      <c r="F372">
        <v>3.2</v>
      </c>
      <c r="G372">
        <v>5.03</v>
      </c>
      <c r="H372">
        <v>8.23</v>
      </c>
      <c r="I372">
        <v>38.880000000000003</v>
      </c>
      <c r="J372">
        <v>12.15</v>
      </c>
      <c r="K372" s="9">
        <v>45300</v>
      </c>
      <c r="L372">
        <f xml:space="preserve"> (交易處理資料__3[[#This Row],[售出工時]] * 60) / 5</f>
        <v>12</v>
      </c>
      <c r="M372" t="str">
        <f>VLOOKUP(交易處理資料__3[[#This Row],[人員代號]],團隊分組!$B$1:$C$52,2,FALSE)</f>
        <v>查修團隊B</v>
      </c>
      <c r="N372">
        <f>IF(交易處理資料__3[[#This Row],[上班時間]]=0,0,交易處理資料__3[[#This Row],[售出工時]]/交易處理資料__3[[#This Row],[上班時間]])</f>
        <v>0.12150668286755771</v>
      </c>
      <c r="O372" s="31" t="str">
        <f>IF(交易處理資料__3[[#This Row],[上班時間]]=0,"否","是")</f>
        <v>是</v>
      </c>
    </row>
    <row r="373" spans="1:15" hidden="1">
      <c r="A373" t="s">
        <v>75</v>
      </c>
      <c r="B373" t="s">
        <v>30</v>
      </c>
      <c r="C373">
        <v>2.29</v>
      </c>
      <c r="D373">
        <v>2.02</v>
      </c>
      <c r="E373" s="27">
        <v>113.4</v>
      </c>
      <c r="F373">
        <v>10.45</v>
      </c>
      <c r="G373">
        <v>0.06</v>
      </c>
      <c r="H373">
        <v>10.51</v>
      </c>
      <c r="I373">
        <v>99.43</v>
      </c>
      <c r="J373">
        <v>21.8</v>
      </c>
      <c r="K373" s="9">
        <v>45300</v>
      </c>
      <c r="L373">
        <f xml:space="preserve"> (交易處理資料__3[[#This Row],[售出工時]] * 60) / 5</f>
        <v>27.48</v>
      </c>
      <c r="M373" t="str">
        <f>VLOOKUP(交易處理資料__3[[#This Row],[人員代號]],團隊分組!$B$1:$C$52,2,FALSE)</f>
        <v>快速保養團隊B</v>
      </c>
      <c r="N373">
        <f>IF(交易處理資料__3[[#This Row],[上班時間]]=0,0,交易處理資料__3[[#This Row],[售出工時]]/交易處理資料__3[[#This Row],[上班時間]])</f>
        <v>0.21788772597526165</v>
      </c>
      <c r="O373" s="31" t="str">
        <f>IF(交易處理資料__3[[#This Row],[上班時間]]=0,"否","是")</f>
        <v>是</v>
      </c>
    </row>
    <row r="374" spans="1:15" hidden="1">
      <c r="A374" t="s">
        <v>75</v>
      </c>
      <c r="B374" t="s">
        <v>31</v>
      </c>
      <c r="C374">
        <v>0</v>
      </c>
      <c r="D374">
        <v>0</v>
      </c>
      <c r="E374" s="27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 s="9">
        <v>45300</v>
      </c>
      <c r="L374">
        <f xml:space="preserve"> (交易處理資料__3[[#This Row],[售出工時]] * 60) / 5</f>
        <v>0</v>
      </c>
      <c r="M374" t="str">
        <f>VLOOKUP(交易處理資料__3[[#This Row],[人員代號]],團隊分組!$B$1:$C$52,2,FALSE)</f>
        <v>快速保養團隊A</v>
      </c>
      <c r="N374">
        <f>IF(交易處理資料__3[[#This Row],[上班時間]]=0,0,交易處理資料__3[[#This Row],[售出工時]]/交易處理資料__3[[#This Row],[上班時間]])</f>
        <v>0</v>
      </c>
      <c r="O374" s="31" t="str">
        <f>IF(交易處理資料__3[[#This Row],[上班時間]]=0,"否","是")</f>
        <v>否</v>
      </c>
    </row>
    <row r="375" spans="1:15" hidden="1">
      <c r="A375" t="s">
        <v>75</v>
      </c>
      <c r="B375" t="s">
        <v>32</v>
      </c>
      <c r="C375">
        <v>0</v>
      </c>
      <c r="D375">
        <v>0</v>
      </c>
      <c r="E375" s="27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 s="9">
        <v>45300</v>
      </c>
      <c r="L375">
        <f xml:space="preserve"> (交易處理資料__3[[#This Row],[售出工時]] * 60) / 5</f>
        <v>0</v>
      </c>
      <c r="M375" t="str">
        <f>VLOOKUP(交易處理資料__3[[#This Row],[人員代號]],團隊分組!$B$1:$C$52,2,FALSE)</f>
        <v>快速保養團隊B</v>
      </c>
      <c r="N375">
        <f>IF(交易處理資料__3[[#This Row],[上班時間]]=0,0,交易處理資料__3[[#This Row],[售出工時]]/交易處理資料__3[[#This Row],[上班時間]])</f>
        <v>0</v>
      </c>
      <c r="O375" s="31" t="str">
        <f>IF(交易處理資料__3[[#This Row],[上班時間]]=0,"否","是")</f>
        <v>否</v>
      </c>
    </row>
    <row r="376" spans="1:15">
      <c r="A376" t="s">
        <v>75</v>
      </c>
      <c r="B376" t="s">
        <v>33</v>
      </c>
      <c r="C376">
        <v>0</v>
      </c>
      <c r="D376">
        <v>0</v>
      </c>
      <c r="E376" s="27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 s="9">
        <v>45300</v>
      </c>
      <c r="L376">
        <f xml:space="preserve"> (交易處理資料__3[[#This Row],[售出工時]] * 60) / 5</f>
        <v>0</v>
      </c>
      <c r="M376" t="str">
        <f>VLOOKUP(交易處理資料__3[[#This Row],[人員代號]],團隊分組!$B$1:$C$52,2,FALSE)</f>
        <v>快速保養團隊B</v>
      </c>
      <c r="N376">
        <f>IF(交易處理資料__3[[#This Row],[上班時間]]=0,0,交易處理資料__3[[#This Row],[售出工時]]/交易處理資料__3[[#This Row],[上班時間]])</f>
        <v>0</v>
      </c>
      <c r="O376" s="31" t="str">
        <f>IF(交易處理資料__3[[#This Row],[上班時間]]=0,"否","是")</f>
        <v>否</v>
      </c>
    </row>
    <row r="377" spans="1:15" hidden="1">
      <c r="A377" t="s">
        <v>75</v>
      </c>
      <c r="B377" t="s">
        <v>34</v>
      </c>
      <c r="C377">
        <v>8.41</v>
      </c>
      <c r="D377">
        <v>5.86</v>
      </c>
      <c r="E377" s="27">
        <v>143.62</v>
      </c>
      <c r="F377">
        <v>8.07</v>
      </c>
      <c r="G377">
        <v>0.53</v>
      </c>
      <c r="H377">
        <v>8.6</v>
      </c>
      <c r="I377">
        <v>93.84</v>
      </c>
      <c r="J377">
        <v>97.87</v>
      </c>
      <c r="K377" s="9">
        <v>45300</v>
      </c>
      <c r="L377">
        <f xml:space="preserve"> (交易處理資料__3[[#This Row],[售出工時]] * 60) / 5</f>
        <v>100.92</v>
      </c>
      <c r="M377" t="str">
        <f>VLOOKUP(交易處理資料__3[[#This Row],[人員代號]],團隊分組!$B$1:$C$52,2,FALSE)</f>
        <v>快速保養團隊A</v>
      </c>
      <c r="N377">
        <f>IF(交易處理資料__3[[#This Row],[上班時間]]=0,0,交易處理資料__3[[#This Row],[售出工時]]/交易處理資料__3[[#This Row],[上班時間]])</f>
        <v>0.97790697674418614</v>
      </c>
      <c r="O377" s="31" t="str">
        <f>IF(交易處理資料__3[[#This Row],[上班時間]]=0,"否","是")</f>
        <v>是</v>
      </c>
    </row>
    <row r="378" spans="1:15" hidden="1">
      <c r="A378" t="s">
        <v>75</v>
      </c>
      <c r="B378" t="s">
        <v>35</v>
      </c>
      <c r="C378">
        <v>1.95</v>
      </c>
      <c r="D378">
        <v>7.42</v>
      </c>
      <c r="E378" s="27">
        <v>26.28</v>
      </c>
      <c r="F378">
        <v>3.77</v>
      </c>
      <c r="G378">
        <v>4.76</v>
      </c>
      <c r="H378">
        <v>8.5299999999999994</v>
      </c>
      <c r="I378">
        <v>44.2</v>
      </c>
      <c r="J378">
        <v>22.86</v>
      </c>
      <c r="K378" s="9">
        <v>45300</v>
      </c>
      <c r="L378">
        <f xml:space="preserve"> (交易處理資料__3[[#This Row],[售出工時]] * 60) / 5</f>
        <v>23.4</v>
      </c>
      <c r="M378" t="str">
        <f>VLOOKUP(交易處理資料__3[[#This Row],[人員代號]],團隊分組!$B$1:$C$52,2,FALSE)</f>
        <v>查修團隊B</v>
      </c>
      <c r="N378">
        <f>IF(交易處理資料__3[[#This Row],[上班時間]]=0,0,交易處理資料__3[[#This Row],[售出工時]]/交易處理資料__3[[#This Row],[上班時間]])</f>
        <v>0.22860492379835876</v>
      </c>
      <c r="O378" s="31" t="str">
        <f>IF(交易處理資料__3[[#This Row],[上班時間]]=0,"否","是")</f>
        <v>是</v>
      </c>
    </row>
    <row r="379" spans="1:15" hidden="1">
      <c r="A379" t="s">
        <v>75</v>
      </c>
      <c r="B379" t="s">
        <v>36</v>
      </c>
      <c r="C379">
        <v>0</v>
      </c>
      <c r="D379">
        <v>0</v>
      </c>
      <c r="E379" s="27">
        <v>0</v>
      </c>
      <c r="F379">
        <v>7.87</v>
      </c>
      <c r="G379">
        <v>0.35</v>
      </c>
      <c r="H379">
        <v>8.2200000000000006</v>
      </c>
      <c r="I379">
        <v>95.74</v>
      </c>
      <c r="J379">
        <v>0</v>
      </c>
      <c r="K379" s="9">
        <v>45300</v>
      </c>
      <c r="L379">
        <f xml:space="preserve"> (交易處理資料__3[[#This Row],[售出工時]] * 60) / 5</f>
        <v>0</v>
      </c>
      <c r="M379" t="str">
        <f>VLOOKUP(交易處理資料__3[[#This Row],[人員代號]],團隊分組!$B$1:$C$52,2,FALSE)</f>
        <v>查修團隊B</v>
      </c>
      <c r="N379">
        <f>IF(交易處理資料__3[[#This Row],[上班時間]]=0,0,交易處理資料__3[[#This Row],[售出工時]]/交易處理資料__3[[#This Row],[上班時間]])</f>
        <v>0</v>
      </c>
      <c r="O379" s="31" t="str">
        <f>IF(交易處理資料__3[[#This Row],[上班時間]]=0,"否","是")</f>
        <v>是</v>
      </c>
    </row>
    <row r="380" spans="1:15" hidden="1">
      <c r="A380" t="s">
        <v>75</v>
      </c>
      <c r="B380" t="s">
        <v>37</v>
      </c>
      <c r="C380">
        <v>1.66</v>
      </c>
      <c r="D380">
        <v>1.57</v>
      </c>
      <c r="E380" s="27">
        <v>106.15</v>
      </c>
      <c r="F380">
        <v>7.4</v>
      </c>
      <c r="G380">
        <v>2.52</v>
      </c>
      <c r="H380">
        <v>9.92</v>
      </c>
      <c r="I380">
        <v>74.599999999999994</v>
      </c>
      <c r="J380">
        <v>16.8</v>
      </c>
      <c r="K380" s="9">
        <v>45300</v>
      </c>
      <c r="L380">
        <f xml:space="preserve"> (交易處理資料__3[[#This Row],[售出工時]] * 60) / 5</f>
        <v>19.919999999999998</v>
      </c>
      <c r="M380" t="str">
        <f>VLOOKUP(交易處理資料__3[[#This Row],[人員代號]],團隊分組!$B$1:$C$52,2,FALSE)</f>
        <v>查修團隊A</v>
      </c>
      <c r="N380">
        <f>IF(交易處理資料__3[[#This Row],[上班時間]]=0,0,交易處理資料__3[[#This Row],[售出工時]]/交易處理資料__3[[#This Row],[上班時間]])</f>
        <v>0.16733870967741934</v>
      </c>
      <c r="O380" s="31" t="str">
        <f>IF(交易處理資料__3[[#This Row],[上班時間]]=0,"否","是")</f>
        <v>是</v>
      </c>
    </row>
    <row r="381" spans="1:15" hidden="1">
      <c r="A381" t="s">
        <v>75</v>
      </c>
      <c r="B381" t="s">
        <v>38</v>
      </c>
      <c r="C381">
        <v>14.91</v>
      </c>
      <c r="D381">
        <v>6.49</v>
      </c>
      <c r="E381" s="27">
        <v>229.84</v>
      </c>
      <c r="F381">
        <v>11.03</v>
      </c>
      <c r="G381">
        <v>0.1</v>
      </c>
      <c r="H381">
        <v>11.13</v>
      </c>
      <c r="I381">
        <v>99.1</v>
      </c>
      <c r="J381">
        <v>134.02000000000001</v>
      </c>
      <c r="K381" s="9">
        <v>45300</v>
      </c>
      <c r="L381">
        <f xml:space="preserve"> (交易處理資料__3[[#This Row],[售出工時]] * 60) / 5</f>
        <v>178.92000000000002</v>
      </c>
      <c r="M381" t="str">
        <f>VLOOKUP(交易處理資料__3[[#This Row],[人員代號]],團隊分組!$B$1:$C$52,2,FALSE)</f>
        <v>快速保養團隊A</v>
      </c>
      <c r="N381">
        <f>IF(交易處理資料__3[[#This Row],[上班時間]]=0,0,交易處理資料__3[[#This Row],[售出工時]]/交易處理資料__3[[#This Row],[上班時間]])</f>
        <v>1.3396226415094339</v>
      </c>
      <c r="O381" s="31" t="str">
        <f>IF(交易處理資料__3[[#This Row],[上班時間]]=0,"否","是")</f>
        <v>是</v>
      </c>
    </row>
    <row r="382" spans="1:15" hidden="1">
      <c r="A382" t="s">
        <v>75</v>
      </c>
      <c r="B382" t="s">
        <v>39</v>
      </c>
      <c r="C382">
        <v>0</v>
      </c>
      <c r="D382">
        <v>0</v>
      </c>
      <c r="E382" s="27">
        <v>0</v>
      </c>
      <c r="F382">
        <v>7.38</v>
      </c>
      <c r="G382">
        <v>2.58</v>
      </c>
      <c r="H382">
        <v>9.9600000000000009</v>
      </c>
      <c r="I382">
        <v>74.099999999999994</v>
      </c>
      <c r="J382">
        <v>0</v>
      </c>
      <c r="K382" s="9">
        <v>45300</v>
      </c>
      <c r="L382">
        <f xml:space="preserve"> (交易處理資料__3[[#This Row],[售出工時]] * 60) / 5</f>
        <v>0</v>
      </c>
      <c r="M382" t="str">
        <f>VLOOKUP(交易處理資料__3[[#This Row],[人員代號]],團隊分組!$B$1:$C$52,2,FALSE)</f>
        <v>查修團隊A</v>
      </c>
      <c r="N382">
        <f>IF(交易處理資料__3[[#This Row],[上班時間]]=0,0,交易處理資料__3[[#This Row],[售出工時]]/交易處理資料__3[[#This Row],[上班時間]])</f>
        <v>0</v>
      </c>
      <c r="O382" s="31" t="str">
        <f>IF(交易處理資料__3[[#This Row],[上班時間]]=0,"否","是")</f>
        <v>是</v>
      </c>
    </row>
    <row r="383" spans="1:15" hidden="1">
      <c r="A383" t="s">
        <v>75</v>
      </c>
      <c r="B383" t="s">
        <v>40</v>
      </c>
      <c r="C383">
        <v>0.33</v>
      </c>
      <c r="D383">
        <v>0.45</v>
      </c>
      <c r="E383" s="27">
        <v>74.069999999999993</v>
      </c>
      <c r="F383">
        <v>6.09</v>
      </c>
      <c r="G383">
        <v>0.51</v>
      </c>
      <c r="H383">
        <v>6.6</v>
      </c>
      <c r="I383">
        <v>92.27</v>
      </c>
      <c r="J383">
        <v>5.05</v>
      </c>
      <c r="K383" s="9">
        <v>45300</v>
      </c>
      <c r="L383">
        <f xml:space="preserve"> (交易處理資料__3[[#This Row],[售出工時]] * 60) / 5</f>
        <v>3.96</v>
      </c>
      <c r="M383" t="str">
        <f>VLOOKUP(交易處理資料__3[[#This Row],[人員代號]],團隊分組!$B$1:$C$52,2,FALSE)</f>
        <v>查修團隊A</v>
      </c>
      <c r="N383">
        <f>IF(交易處理資料__3[[#This Row],[上班時間]]=0,0,交易處理資料__3[[#This Row],[售出工時]]/交易處理資料__3[[#This Row],[上班時間]])</f>
        <v>0.05</v>
      </c>
      <c r="O383" s="31" t="str">
        <f>IF(交易處理資料__3[[#This Row],[上班時間]]=0,"否","是")</f>
        <v>是</v>
      </c>
    </row>
    <row r="384" spans="1:15" hidden="1">
      <c r="A384" t="s">
        <v>75</v>
      </c>
      <c r="B384" t="s">
        <v>41</v>
      </c>
      <c r="C384">
        <v>13.41</v>
      </c>
      <c r="D384">
        <v>6.5</v>
      </c>
      <c r="E384" s="27">
        <v>206.41</v>
      </c>
      <c r="F384">
        <v>8.1</v>
      </c>
      <c r="G384">
        <v>0.13</v>
      </c>
      <c r="H384">
        <v>8.23</v>
      </c>
      <c r="I384">
        <v>98.42</v>
      </c>
      <c r="J384">
        <v>163.02000000000001</v>
      </c>
      <c r="K384" s="9">
        <v>45300</v>
      </c>
      <c r="L384">
        <f xml:space="preserve"> (交易處理資料__3[[#This Row],[售出工時]] * 60) / 5</f>
        <v>160.92000000000002</v>
      </c>
      <c r="M384" t="str">
        <f>VLOOKUP(交易處理資料__3[[#This Row],[人員代號]],團隊分組!$B$1:$C$52,2,FALSE)</f>
        <v>快速保養團隊A</v>
      </c>
      <c r="N384">
        <f>IF(交易處理資料__3[[#This Row],[上班時間]]=0,0,交易處理資料__3[[#This Row],[售出工時]]/交易處理資料__3[[#This Row],[上班時間]])</f>
        <v>1.6294046172539489</v>
      </c>
      <c r="O384" s="31" t="str">
        <f>IF(交易處理資料__3[[#This Row],[上班時間]]=0,"否","是")</f>
        <v>是</v>
      </c>
    </row>
    <row r="385" spans="1:15" hidden="1">
      <c r="A385" t="s">
        <v>75</v>
      </c>
      <c r="B385" t="s">
        <v>42</v>
      </c>
      <c r="C385">
        <v>0</v>
      </c>
      <c r="D385">
        <v>0</v>
      </c>
      <c r="E385" s="27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 s="9">
        <v>45300</v>
      </c>
      <c r="L385">
        <f xml:space="preserve"> (交易處理資料__3[[#This Row],[售出工時]] * 60) / 5</f>
        <v>0</v>
      </c>
      <c r="M385" t="str">
        <f>VLOOKUP(交易處理資料__3[[#This Row],[人員代號]],團隊分組!$B$1:$C$52,2,FALSE)</f>
        <v>快速保養團隊A</v>
      </c>
      <c r="N385">
        <f>IF(交易處理資料__3[[#This Row],[上班時間]]=0,0,交易處理資料__3[[#This Row],[售出工時]]/交易處理資料__3[[#This Row],[上班時間]])</f>
        <v>0</v>
      </c>
      <c r="O385" s="31" t="str">
        <f>IF(交易處理資料__3[[#This Row],[上班時間]]=0,"否","是")</f>
        <v>否</v>
      </c>
    </row>
    <row r="386" spans="1:15" hidden="1">
      <c r="A386" t="s">
        <v>75</v>
      </c>
      <c r="B386" t="s">
        <v>43</v>
      </c>
      <c r="C386">
        <v>0</v>
      </c>
      <c r="D386">
        <v>0</v>
      </c>
      <c r="E386" s="27">
        <v>0</v>
      </c>
      <c r="F386">
        <v>7.86</v>
      </c>
      <c r="G386">
        <v>0.34</v>
      </c>
      <c r="H386">
        <v>8.1999999999999993</v>
      </c>
      <c r="I386">
        <v>95.85</v>
      </c>
      <c r="J386">
        <v>0</v>
      </c>
      <c r="K386" s="9">
        <v>45300</v>
      </c>
      <c r="L386">
        <f xml:space="preserve"> (交易處理資料__3[[#This Row],[售出工時]] * 60) / 5</f>
        <v>0</v>
      </c>
      <c r="M386" t="str">
        <f>VLOOKUP(交易處理資料__3[[#This Row],[人員代號]],團隊分組!$B$1:$C$52,2,FALSE)</f>
        <v>查修團隊B</v>
      </c>
      <c r="N386">
        <f>IF(交易處理資料__3[[#This Row],[上班時間]]=0,0,交易處理資料__3[[#This Row],[售出工時]]/交易處理資料__3[[#This Row],[上班時間]])</f>
        <v>0</v>
      </c>
      <c r="O386" s="31" t="str">
        <f>IF(交易處理資料__3[[#This Row],[上班時間]]=0,"否","是")</f>
        <v>是</v>
      </c>
    </row>
    <row r="387" spans="1:15" hidden="1">
      <c r="A387" t="s">
        <v>75</v>
      </c>
      <c r="B387" t="s">
        <v>44</v>
      </c>
      <c r="C387">
        <v>9.52</v>
      </c>
      <c r="D387">
        <v>11.38</v>
      </c>
      <c r="E387" s="27">
        <v>83.65</v>
      </c>
      <c r="F387">
        <v>8.4600000000000009</v>
      </c>
      <c r="G387">
        <v>3.12</v>
      </c>
      <c r="H387">
        <v>11.58</v>
      </c>
      <c r="I387">
        <v>73.06</v>
      </c>
      <c r="J387">
        <v>82.21</v>
      </c>
      <c r="K387" s="9">
        <v>45300</v>
      </c>
      <c r="L387">
        <f xml:space="preserve"> (交易處理資料__3[[#This Row],[售出工時]] * 60) / 5</f>
        <v>114.23999999999998</v>
      </c>
      <c r="M387" t="str">
        <f>VLOOKUP(交易處理資料__3[[#This Row],[人員代號]],團隊分組!$B$1:$C$52,2,FALSE)</f>
        <v>快速保養團隊B</v>
      </c>
      <c r="N387">
        <f>IF(交易處理資料__3[[#This Row],[上班時間]]=0,0,交易處理資料__3[[#This Row],[售出工時]]/交易處理資料__3[[#This Row],[上班時間]])</f>
        <v>0.82210708117443865</v>
      </c>
      <c r="O387" s="31" t="str">
        <f>IF(交易處理資料__3[[#This Row],[上班時間]]=0,"否","是")</f>
        <v>是</v>
      </c>
    </row>
    <row r="388" spans="1:15" hidden="1">
      <c r="A388" t="s">
        <v>75</v>
      </c>
      <c r="B388" t="s">
        <v>47</v>
      </c>
      <c r="C388">
        <v>0</v>
      </c>
      <c r="D388">
        <v>0</v>
      </c>
      <c r="E388" s="27">
        <v>0</v>
      </c>
      <c r="F388">
        <v>6.83</v>
      </c>
      <c r="G388">
        <v>1.51</v>
      </c>
      <c r="H388">
        <v>8.34</v>
      </c>
      <c r="I388">
        <v>81.89</v>
      </c>
      <c r="J388">
        <v>0</v>
      </c>
      <c r="K388" s="9">
        <v>45300</v>
      </c>
      <c r="L388">
        <f xml:space="preserve"> (交易處理資料__3[[#This Row],[售出工時]] * 60) / 5</f>
        <v>0</v>
      </c>
      <c r="M388" t="str">
        <f>VLOOKUP(交易處理資料__3[[#This Row],[人員代號]],團隊分組!$B$1:$C$52,2,FALSE)</f>
        <v>查修團隊B</v>
      </c>
      <c r="N388">
        <f>IF(交易處理資料__3[[#This Row],[上班時間]]=0,0,交易處理資料__3[[#This Row],[售出工時]]/交易處理資料__3[[#This Row],[上班時間]])</f>
        <v>0</v>
      </c>
      <c r="O388" s="31" t="str">
        <f>IF(交易處理資料__3[[#This Row],[上班時間]]=0,"否","是")</f>
        <v>是</v>
      </c>
    </row>
    <row r="389" spans="1:15" hidden="1">
      <c r="A389" t="s">
        <v>75</v>
      </c>
      <c r="B389" t="s">
        <v>48</v>
      </c>
      <c r="C389">
        <v>1.91</v>
      </c>
      <c r="D389">
        <v>3.58</v>
      </c>
      <c r="E389" s="27">
        <v>53.53</v>
      </c>
      <c r="F389">
        <v>5.83</v>
      </c>
      <c r="G389">
        <v>2.5499999999999998</v>
      </c>
      <c r="H389">
        <v>8.3800000000000008</v>
      </c>
      <c r="I389">
        <v>69.569999999999993</v>
      </c>
      <c r="J389">
        <v>22.87</v>
      </c>
      <c r="K389" s="9">
        <v>45300</v>
      </c>
      <c r="L389">
        <f xml:space="preserve"> (交易處理資料__3[[#This Row],[售出工時]] * 60) / 5</f>
        <v>22.919999999999998</v>
      </c>
      <c r="M389" t="str">
        <f>VLOOKUP(交易處理資料__3[[#This Row],[人員代號]],團隊分組!$B$1:$C$52,2,FALSE)</f>
        <v>查修團隊A</v>
      </c>
      <c r="N389">
        <f>IF(交易處理資料__3[[#This Row],[上班時間]]=0,0,交易處理資料__3[[#This Row],[售出工時]]/交易處理資料__3[[#This Row],[上班時間]])</f>
        <v>0.22792362768496416</v>
      </c>
      <c r="O389" s="31" t="str">
        <f>IF(交易處理資料__3[[#This Row],[上班時間]]=0,"否","是")</f>
        <v>是</v>
      </c>
    </row>
    <row r="390" spans="1:15" hidden="1">
      <c r="A390" t="s">
        <v>75</v>
      </c>
      <c r="B390" t="s">
        <v>49</v>
      </c>
      <c r="C390">
        <v>1.83</v>
      </c>
      <c r="D390">
        <v>2.13</v>
      </c>
      <c r="E390" s="27">
        <v>86.07</v>
      </c>
      <c r="F390">
        <v>7.05</v>
      </c>
      <c r="G390">
        <v>0.94</v>
      </c>
      <c r="H390">
        <v>7.99</v>
      </c>
      <c r="I390">
        <v>88.24</v>
      </c>
      <c r="J390">
        <v>22.95</v>
      </c>
      <c r="K390" s="9">
        <v>45300</v>
      </c>
      <c r="L390">
        <f xml:space="preserve"> (交易處理資料__3[[#This Row],[售出工時]] * 60) / 5</f>
        <v>21.96</v>
      </c>
      <c r="M390" t="str">
        <f>VLOOKUP(交易處理資料__3[[#This Row],[人員代號]],團隊分組!$B$1:$C$52,2,FALSE)</f>
        <v>查修團隊A</v>
      </c>
      <c r="N390">
        <f>IF(交易處理資料__3[[#This Row],[上班時間]]=0,0,交易處理資料__3[[#This Row],[售出工時]]/交易處理資料__3[[#This Row],[上班時間]])</f>
        <v>0.22903629536921152</v>
      </c>
      <c r="O390" s="31" t="str">
        <f>IF(交易處理資料__3[[#This Row],[上班時間]]=0,"否","是")</f>
        <v>是</v>
      </c>
    </row>
    <row r="391" spans="1:15" hidden="1">
      <c r="A391" t="s">
        <v>75</v>
      </c>
      <c r="B391" t="s">
        <v>51</v>
      </c>
      <c r="C391">
        <v>0</v>
      </c>
      <c r="D391">
        <v>0</v>
      </c>
      <c r="E391" s="27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 s="9">
        <v>45300</v>
      </c>
      <c r="L391">
        <f xml:space="preserve"> (交易處理資料__3[[#This Row],[售出工時]] * 60) / 5</f>
        <v>0</v>
      </c>
      <c r="M391" t="str">
        <f>VLOOKUP(交易處理資料__3[[#This Row],[人員代號]],團隊分組!$B$1:$C$52,2,FALSE)</f>
        <v>無效數據</v>
      </c>
      <c r="N391">
        <f>IF(交易處理資料__3[[#This Row],[上班時間]]=0,0,交易處理資料__3[[#This Row],[售出工時]]/交易處理資料__3[[#This Row],[上班時間]])</f>
        <v>0</v>
      </c>
      <c r="O391" s="31" t="str">
        <f>IF(交易處理資料__3[[#This Row],[上班時間]]=0,"否","是")</f>
        <v>否</v>
      </c>
    </row>
    <row r="392" spans="1:15" hidden="1">
      <c r="A392" t="s">
        <v>75</v>
      </c>
      <c r="B392" t="s">
        <v>52</v>
      </c>
      <c r="C392">
        <v>6.42</v>
      </c>
      <c r="D392">
        <v>8.0399999999999991</v>
      </c>
      <c r="E392" s="27">
        <v>79.849999999999994</v>
      </c>
      <c r="F392">
        <v>7.82</v>
      </c>
      <c r="G392">
        <v>0.41</v>
      </c>
      <c r="H392">
        <v>8.23</v>
      </c>
      <c r="I392">
        <v>95.02</v>
      </c>
      <c r="J392">
        <v>78.010000000000005</v>
      </c>
      <c r="K392" s="9">
        <v>45300</v>
      </c>
      <c r="L392">
        <f xml:space="preserve"> (交易處理資料__3[[#This Row],[售出工時]] * 60) / 5</f>
        <v>77.039999999999992</v>
      </c>
      <c r="M392" t="str">
        <f>VLOOKUP(交易處理資料__3[[#This Row],[人員代號]],團隊分組!$B$1:$C$52,2,FALSE)</f>
        <v>查修團隊B</v>
      </c>
      <c r="N392">
        <f>IF(交易處理資料__3[[#This Row],[上班時間]]=0,0,交易處理資料__3[[#This Row],[售出工時]]/交易處理資料__3[[#This Row],[上班時間]])</f>
        <v>0.78007290400972051</v>
      </c>
      <c r="O392" s="31" t="str">
        <f>IF(交易處理資料__3[[#This Row],[上班時間]]=0,"否","是")</f>
        <v>是</v>
      </c>
    </row>
    <row r="393" spans="1:15" hidden="1">
      <c r="A393" t="s">
        <v>75</v>
      </c>
      <c r="B393" t="s">
        <v>53</v>
      </c>
      <c r="C393">
        <v>0</v>
      </c>
      <c r="D393">
        <v>0</v>
      </c>
      <c r="E393" s="27">
        <v>0</v>
      </c>
      <c r="F393">
        <v>8.75</v>
      </c>
      <c r="G393">
        <v>0.62</v>
      </c>
      <c r="H393">
        <v>9.3699999999999992</v>
      </c>
      <c r="I393">
        <v>93.38</v>
      </c>
      <c r="J393">
        <v>0</v>
      </c>
      <c r="K393" s="9">
        <v>45300</v>
      </c>
      <c r="L393">
        <f xml:space="preserve"> (交易處理資料__3[[#This Row],[售出工時]] * 60) / 5</f>
        <v>0</v>
      </c>
      <c r="M393" t="str">
        <f>VLOOKUP(交易處理資料__3[[#This Row],[人員代號]],團隊分組!$B$1:$C$52,2,FALSE)</f>
        <v>查修團隊A</v>
      </c>
      <c r="N393">
        <f>IF(交易處理資料__3[[#This Row],[上班時間]]=0,0,交易處理資料__3[[#This Row],[售出工時]]/交易處理資料__3[[#This Row],[上班時間]])</f>
        <v>0</v>
      </c>
      <c r="O393" s="31" t="str">
        <f>IF(交易處理資料__3[[#This Row],[上班時間]]=0,"否","是")</f>
        <v>是</v>
      </c>
    </row>
    <row r="394" spans="1:15" hidden="1">
      <c r="A394" s="10" t="s">
        <v>73</v>
      </c>
      <c r="B394" t="s">
        <v>8</v>
      </c>
      <c r="C394">
        <v>2.77</v>
      </c>
      <c r="D394">
        <v>7.48</v>
      </c>
      <c r="E394" s="27">
        <v>37.03</v>
      </c>
      <c r="F394">
        <v>6.8</v>
      </c>
      <c r="G394">
        <v>1.25</v>
      </c>
      <c r="H394">
        <v>8.0500000000000007</v>
      </c>
      <c r="I394">
        <v>84.47</v>
      </c>
      <c r="J394">
        <v>34.409999999999997</v>
      </c>
      <c r="K394" s="9">
        <v>45301</v>
      </c>
      <c r="L394">
        <f xml:space="preserve"> (交易處理資料__3[[#This Row],[售出工時]] * 60) / 5</f>
        <v>33.239999999999995</v>
      </c>
      <c r="M394" t="str">
        <f>VLOOKUP(交易處理資料__3[[#This Row],[人員代號]],團隊分組!$B$1:$C$52,2,FALSE)</f>
        <v>噴漆維修組</v>
      </c>
      <c r="N394">
        <f>IF(交易處理資料__3[[#This Row],[上班時間]]=0,0,交易處理資料__3[[#This Row],[售出工時]]/交易處理資料__3[[#This Row],[上班時間]])</f>
        <v>0.34409937888198755</v>
      </c>
      <c r="O394" s="31" t="str">
        <f>IF(交易處理資料__3[[#This Row],[上班時間]]=0,"否","是")</f>
        <v>是</v>
      </c>
    </row>
    <row r="395" spans="1:15" hidden="1">
      <c r="A395" t="s">
        <v>74</v>
      </c>
      <c r="B395" t="s">
        <v>13</v>
      </c>
      <c r="C395">
        <v>7.28</v>
      </c>
      <c r="D395">
        <v>4.3499999999999996</v>
      </c>
      <c r="E395" s="27">
        <v>167.35</v>
      </c>
      <c r="F395">
        <v>5.36</v>
      </c>
      <c r="G395">
        <v>2.69</v>
      </c>
      <c r="H395">
        <v>8.0500000000000007</v>
      </c>
      <c r="I395">
        <v>66.58</v>
      </c>
      <c r="J395">
        <v>90.43</v>
      </c>
      <c r="K395" s="9">
        <v>45301</v>
      </c>
      <c r="L395">
        <f xml:space="preserve"> (交易處理資料__3[[#This Row],[售出工時]] * 60) / 5</f>
        <v>87.36</v>
      </c>
      <c r="M395" t="str">
        <f>VLOOKUP(交易處理資料__3[[#This Row],[人員代號]],團隊分組!$B$1:$C$52,2,FALSE)</f>
        <v>鈑金維修組</v>
      </c>
      <c r="N395">
        <f>IF(交易處理資料__3[[#This Row],[上班時間]]=0,0,交易處理資料__3[[#This Row],[售出工時]]/交易處理資料__3[[#This Row],[上班時間]])</f>
        <v>0.90434782608695652</v>
      </c>
      <c r="O395" s="31" t="str">
        <f>IF(交易處理資料__3[[#This Row],[上班時間]]=0,"否","是")</f>
        <v>是</v>
      </c>
    </row>
    <row r="396" spans="1:15" hidden="1">
      <c r="A396" t="s">
        <v>75</v>
      </c>
      <c r="B396" t="s">
        <v>18</v>
      </c>
      <c r="C396">
        <v>6</v>
      </c>
      <c r="D396">
        <v>6.81</v>
      </c>
      <c r="E396" s="27">
        <v>88.1</v>
      </c>
      <c r="F396">
        <v>8.1999999999999993</v>
      </c>
      <c r="G396">
        <v>0.21</v>
      </c>
      <c r="H396">
        <v>8.41</v>
      </c>
      <c r="I396">
        <v>97.5</v>
      </c>
      <c r="J396">
        <v>71.34</v>
      </c>
      <c r="K396" s="9">
        <v>45301</v>
      </c>
      <c r="L396">
        <f xml:space="preserve"> (交易處理資料__3[[#This Row],[售出工時]] * 60) / 5</f>
        <v>72</v>
      </c>
      <c r="M396" t="str">
        <f>VLOOKUP(交易處理資料__3[[#This Row],[人員代號]],團隊分組!$B$1:$C$52,2,FALSE)</f>
        <v>查修團隊B</v>
      </c>
      <c r="N396">
        <f>IF(交易處理資料__3[[#This Row],[上班時間]]=0,0,交易處理資料__3[[#This Row],[售出工時]]/交易處理資料__3[[#This Row],[上班時間]])</f>
        <v>0.71343638525564801</v>
      </c>
      <c r="O396" s="31" t="str">
        <f>IF(交易處理資料__3[[#This Row],[上班時間]]=0,"否","是")</f>
        <v>是</v>
      </c>
    </row>
    <row r="397" spans="1:15" hidden="1">
      <c r="A397" t="s">
        <v>75</v>
      </c>
      <c r="B397" t="s">
        <v>19</v>
      </c>
      <c r="C397">
        <v>5.33</v>
      </c>
      <c r="D397">
        <v>5.55</v>
      </c>
      <c r="E397" s="27">
        <v>96.03</v>
      </c>
      <c r="F397">
        <v>6.85</v>
      </c>
      <c r="G397">
        <v>1.07</v>
      </c>
      <c r="H397">
        <v>7.92</v>
      </c>
      <c r="I397">
        <v>86.49</v>
      </c>
      <c r="J397">
        <v>67.3</v>
      </c>
      <c r="K397" s="9">
        <v>45301</v>
      </c>
      <c r="L397">
        <f xml:space="preserve"> (交易處理資料__3[[#This Row],[售出工時]] * 60) / 5</f>
        <v>63.96</v>
      </c>
      <c r="M397" t="str">
        <f>VLOOKUP(交易處理資料__3[[#This Row],[人員代號]],團隊分組!$B$1:$C$52,2,FALSE)</f>
        <v>查修團隊A</v>
      </c>
      <c r="N397">
        <f>IF(交易處理資料__3[[#This Row],[上班時間]]=0,0,交易處理資料__3[[#This Row],[售出工時]]/交易處理資料__3[[#This Row],[上班時間]])</f>
        <v>0.67297979797979801</v>
      </c>
      <c r="O397" s="31" t="str">
        <f>IF(交易處理資料__3[[#This Row],[上班時間]]=0,"否","是")</f>
        <v>是</v>
      </c>
    </row>
    <row r="398" spans="1:15" hidden="1">
      <c r="A398" t="s">
        <v>75</v>
      </c>
      <c r="B398" t="s">
        <v>20</v>
      </c>
      <c r="C398">
        <v>4.25</v>
      </c>
      <c r="D398">
        <v>9.2799999999999994</v>
      </c>
      <c r="E398" s="27">
        <v>45.79</v>
      </c>
      <c r="F398">
        <v>0</v>
      </c>
      <c r="G398">
        <v>10.08</v>
      </c>
      <c r="H398">
        <v>10.08</v>
      </c>
      <c r="I398">
        <v>0</v>
      </c>
      <c r="J398">
        <v>42.16</v>
      </c>
      <c r="K398" s="9">
        <v>45301</v>
      </c>
      <c r="L398">
        <f xml:space="preserve"> (交易處理資料__3[[#This Row],[售出工時]] * 60) / 5</f>
        <v>51</v>
      </c>
      <c r="M398" t="str">
        <f>VLOOKUP(交易處理資料__3[[#This Row],[人員代號]],團隊分組!$B$1:$C$52,2,FALSE)</f>
        <v>查修團隊B</v>
      </c>
      <c r="N398">
        <f>IF(交易處理資料__3[[#This Row],[上班時間]]=0,0,交易處理資料__3[[#This Row],[售出工時]]/交易處理資料__3[[#This Row],[上班時間]])</f>
        <v>0.42162698412698413</v>
      </c>
      <c r="O398" s="31" t="str">
        <f>IF(交易處理資料__3[[#This Row],[上班時間]]=0,"否","是")</f>
        <v>是</v>
      </c>
    </row>
    <row r="399" spans="1:15" hidden="1">
      <c r="A399" t="s">
        <v>75</v>
      </c>
      <c r="B399" t="s">
        <v>22</v>
      </c>
      <c r="C399">
        <v>0</v>
      </c>
      <c r="D399">
        <v>0</v>
      </c>
      <c r="E399" s="27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 s="9">
        <v>45301</v>
      </c>
      <c r="L399">
        <f xml:space="preserve"> (交易處理資料__3[[#This Row],[售出工時]] * 60) / 5</f>
        <v>0</v>
      </c>
      <c r="M399" t="str">
        <f>VLOOKUP(交易處理資料__3[[#This Row],[人員代號]],團隊分組!$B$1:$C$52,2,FALSE)</f>
        <v>快速保養團隊A</v>
      </c>
      <c r="N399">
        <f>IF(交易處理資料__3[[#This Row],[上班時間]]=0,0,交易處理資料__3[[#This Row],[售出工時]]/交易處理資料__3[[#This Row],[上班時間]])</f>
        <v>0</v>
      </c>
      <c r="O399" s="31" t="str">
        <f>IF(交易處理資料__3[[#This Row],[上班時間]]=0,"否","是")</f>
        <v>否</v>
      </c>
    </row>
    <row r="400" spans="1:15" hidden="1">
      <c r="A400" t="s">
        <v>75</v>
      </c>
      <c r="B400" t="s">
        <v>23</v>
      </c>
      <c r="C400">
        <v>17.989999999999998</v>
      </c>
      <c r="D400">
        <v>8.48</v>
      </c>
      <c r="E400" s="27">
        <v>212.14</v>
      </c>
      <c r="F400">
        <v>7.19</v>
      </c>
      <c r="G400">
        <v>1.66</v>
      </c>
      <c r="H400">
        <v>8.85</v>
      </c>
      <c r="I400">
        <v>81.239999999999995</v>
      </c>
      <c r="J400">
        <v>203.28</v>
      </c>
      <c r="K400" s="9">
        <v>45301</v>
      </c>
      <c r="L400">
        <f xml:space="preserve"> (交易處理資料__3[[#This Row],[售出工時]] * 60) / 5</f>
        <v>215.87999999999997</v>
      </c>
      <c r="M400" t="str">
        <f>VLOOKUP(交易處理資料__3[[#This Row],[人員代號]],團隊分組!$B$1:$C$52,2,FALSE)</f>
        <v>快速保養團隊B</v>
      </c>
      <c r="N400">
        <f>IF(交易處理資料__3[[#This Row],[上班時間]]=0,0,交易處理資料__3[[#This Row],[售出工時]]/交易處理資料__3[[#This Row],[上班時間]])</f>
        <v>2.0327683615819208</v>
      </c>
      <c r="O400" s="31" t="str">
        <f>IF(交易處理資料__3[[#This Row],[上班時間]]=0,"否","是")</f>
        <v>是</v>
      </c>
    </row>
    <row r="401" spans="1:15" hidden="1">
      <c r="A401" t="s">
        <v>75</v>
      </c>
      <c r="B401" t="s">
        <v>24</v>
      </c>
      <c r="C401">
        <v>10.08</v>
      </c>
      <c r="D401">
        <v>6.44</v>
      </c>
      <c r="E401" s="27">
        <v>156.57</v>
      </c>
      <c r="F401">
        <v>7.82</v>
      </c>
      <c r="G401">
        <v>0.38</v>
      </c>
      <c r="H401">
        <v>8.1999999999999993</v>
      </c>
      <c r="I401">
        <v>95.37</v>
      </c>
      <c r="J401">
        <v>122.97</v>
      </c>
      <c r="K401" s="9">
        <v>45301</v>
      </c>
      <c r="L401">
        <f xml:space="preserve"> (交易處理資料__3[[#This Row],[售出工時]] * 60) / 5</f>
        <v>120.96</v>
      </c>
      <c r="M401" t="str">
        <f>VLOOKUP(交易處理資料__3[[#This Row],[人員代號]],團隊分組!$B$1:$C$52,2,FALSE)</f>
        <v>快速保養團隊A</v>
      </c>
      <c r="N401">
        <f>IF(交易處理資料__3[[#This Row],[上班時間]]=0,0,交易處理資料__3[[#This Row],[售出工時]]/交易處理資料__3[[#This Row],[上班時間]])</f>
        <v>1.229268292682927</v>
      </c>
      <c r="O401" s="31" t="str">
        <f>IF(交易處理資料__3[[#This Row],[上班時間]]=0,"否","是")</f>
        <v>是</v>
      </c>
    </row>
    <row r="402" spans="1:15" hidden="1">
      <c r="A402" t="s">
        <v>75</v>
      </c>
      <c r="B402" t="s">
        <v>25</v>
      </c>
      <c r="C402">
        <v>3.83</v>
      </c>
      <c r="D402">
        <v>5.29</v>
      </c>
      <c r="E402" s="27">
        <v>72.459999999999994</v>
      </c>
      <c r="F402">
        <v>6.18</v>
      </c>
      <c r="G402">
        <v>1.81</v>
      </c>
      <c r="H402">
        <v>7.99</v>
      </c>
      <c r="I402">
        <v>77.349999999999994</v>
      </c>
      <c r="J402">
        <v>47.98</v>
      </c>
      <c r="K402" s="9">
        <v>45301</v>
      </c>
      <c r="L402">
        <f xml:space="preserve"> (交易處理資料__3[[#This Row],[售出工時]] * 60) / 5</f>
        <v>45.96</v>
      </c>
      <c r="M402" t="str">
        <f>VLOOKUP(交易處理資料__3[[#This Row],[人員代號]],團隊分組!$B$1:$C$52,2,FALSE)</f>
        <v>查修團隊A</v>
      </c>
      <c r="N402">
        <f>IF(交易處理資料__3[[#This Row],[上班時間]]=0,0,交易處理資料__3[[#This Row],[售出工時]]/交易處理資料__3[[#This Row],[上班時間]])</f>
        <v>0.47934918648310387</v>
      </c>
      <c r="O402" s="31" t="str">
        <f>IF(交易處理資料__3[[#This Row],[上班時間]]=0,"否","是")</f>
        <v>是</v>
      </c>
    </row>
    <row r="403" spans="1:15" hidden="1">
      <c r="A403" t="s">
        <v>75</v>
      </c>
      <c r="B403" t="s">
        <v>26</v>
      </c>
      <c r="C403">
        <v>0.92</v>
      </c>
      <c r="D403">
        <v>1.58</v>
      </c>
      <c r="E403" s="27">
        <v>58.22</v>
      </c>
      <c r="F403">
        <v>2.83</v>
      </c>
      <c r="G403">
        <v>7.26</v>
      </c>
      <c r="H403">
        <v>10.09</v>
      </c>
      <c r="I403">
        <v>28.05</v>
      </c>
      <c r="J403">
        <v>9.1199999999999992</v>
      </c>
      <c r="K403" s="9">
        <v>45301</v>
      </c>
      <c r="L403">
        <f xml:space="preserve"> (交易處理資料__3[[#This Row],[售出工時]] * 60) / 5</f>
        <v>11.040000000000001</v>
      </c>
      <c r="M403" t="str">
        <f>VLOOKUP(交易處理資料__3[[#This Row],[人員代號]],團隊分組!$B$1:$C$52,2,FALSE)</f>
        <v>查修團隊B</v>
      </c>
      <c r="N403">
        <f>IF(交易處理資料__3[[#This Row],[上班時間]]=0,0,交易處理資料__3[[#This Row],[售出工時]]/交易處理資料__3[[#This Row],[上班時間]])</f>
        <v>9.117938553022796E-2</v>
      </c>
      <c r="O403" s="31" t="str">
        <f>IF(交易處理資料__3[[#This Row],[上班時間]]=0,"否","是")</f>
        <v>是</v>
      </c>
    </row>
    <row r="404" spans="1:15" hidden="1">
      <c r="A404" t="s">
        <v>75</v>
      </c>
      <c r="B404" t="s">
        <v>28</v>
      </c>
      <c r="C404">
        <v>11.58</v>
      </c>
      <c r="D404">
        <v>8.2899999999999991</v>
      </c>
      <c r="E404" s="27">
        <v>139.72</v>
      </c>
      <c r="F404">
        <v>9.92</v>
      </c>
      <c r="G404">
        <v>0.47</v>
      </c>
      <c r="H404">
        <v>10.39</v>
      </c>
      <c r="I404">
        <v>95.48</v>
      </c>
      <c r="J404">
        <v>111.49</v>
      </c>
      <c r="K404" s="9">
        <v>45301</v>
      </c>
      <c r="L404">
        <f xml:space="preserve"> (交易處理資料__3[[#This Row],[售出工時]] * 60) / 5</f>
        <v>138.95999999999998</v>
      </c>
      <c r="M404" t="str">
        <f>VLOOKUP(交易處理資料__3[[#This Row],[人員代號]],團隊分組!$B$1:$C$52,2,FALSE)</f>
        <v>快速保養團隊A</v>
      </c>
      <c r="N404">
        <f>IF(交易處理資料__3[[#This Row],[上班時間]]=0,0,交易處理資料__3[[#This Row],[售出工時]]/交易處理資料__3[[#This Row],[上班時間]])</f>
        <v>1.1145332050048122</v>
      </c>
      <c r="O404" s="31" t="str">
        <f>IF(交易處理資料__3[[#This Row],[上班時間]]=0,"否","是")</f>
        <v>是</v>
      </c>
    </row>
    <row r="405" spans="1:15" hidden="1">
      <c r="A405" t="s">
        <v>75</v>
      </c>
      <c r="B405" t="s">
        <v>31</v>
      </c>
      <c r="C405">
        <v>0</v>
      </c>
      <c r="D405">
        <v>0</v>
      </c>
      <c r="E405" s="27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 s="9">
        <v>45301</v>
      </c>
      <c r="L405">
        <f xml:space="preserve"> (交易處理資料__3[[#This Row],[售出工時]] * 60) / 5</f>
        <v>0</v>
      </c>
      <c r="M405" t="str">
        <f>VLOOKUP(交易處理資料__3[[#This Row],[人員代號]],團隊分組!$B$1:$C$52,2,FALSE)</f>
        <v>快速保養團隊A</v>
      </c>
      <c r="N405">
        <f>IF(交易處理資料__3[[#This Row],[上班時間]]=0,0,交易處理資料__3[[#This Row],[售出工時]]/交易處理資料__3[[#This Row],[上班時間]])</f>
        <v>0</v>
      </c>
      <c r="O405" s="31" t="str">
        <f>IF(交易處理資料__3[[#This Row],[上班時間]]=0,"否","是")</f>
        <v>否</v>
      </c>
    </row>
    <row r="406" spans="1:15">
      <c r="A406" t="s">
        <v>75</v>
      </c>
      <c r="B406" t="s">
        <v>33</v>
      </c>
      <c r="C406">
        <v>0</v>
      </c>
      <c r="D406">
        <v>0</v>
      </c>
      <c r="E406" s="27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 s="9">
        <v>45301</v>
      </c>
      <c r="L406">
        <f xml:space="preserve"> (交易處理資料__3[[#This Row],[售出工時]] * 60) / 5</f>
        <v>0</v>
      </c>
      <c r="M406" t="str">
        <f>VLOOKUP(交易處理資料__3[[#This Row],[人員代號]],團隊分組!$B$1:$C$52,2,FALSE)</f>
        <v>快速保養團隊B</v>
      </c>
      <c r="N406">
        <f>IF(交易處理資料__3[[#This Row],[上班時間]]=0,0,交易處理資料__3[[#This Row],[售出工時]]/交易處理資料__3[[#This Row],[上班時間]])</f>
        <v>0</v>
      </c>
      <c r="O406" s="31" t="str">
        <f>IF(交易處理資料__3[[#This Row],[上班時間]]=0,"否","是")</f>
        <v>否</v>
      </c>
    </row>
    <row r="407" spans="1:15" hidden="1">
      <c r="A407" t="s">
        <v>75</v>
      </c>
      <c r="B407" t="s">
        <v>34</v>
      </c>
      <c r="C407">
        <v>4.99</v>
      </c>
      <c r="D407">
        <v>3.49</v>
      </c>
      <c r="E407" s="27">
        <v>143.07</v>
      </c>
      <c r="F407">
        <v>8.32</v>
      </c>
      <c r="G407">
        <v>0.46</v>
      </c>
      <c r="H407">
        <v>8.7799999999999994</v>
      </c>
      <c r="I407">
        <v>94.76</v>
      </c>
      <c r="J407">
        <v>56.87</v>
      </c>
      <c r="K407" s="9">
        <v>45301</v>
      </c>
      <c r="L407">
        <f xml:space="preserve"> (交易處理資料__3[[#This Row],[售出工時]] * 60) / 5</f>
        <v>59.88000000000001</v>
      </c>
      <c r="M407" t="str">
        <f>VLOOKUP(交易處理資料__3[[#This Row],[人員代號]],團隊分組!$B$1:$C$52,2,FALSE)</f>
        <v>快速保養團隊A</v>
      </c>
      <c r="N407">
        <f>IF(交易處理資料__3[[#This Row],[上班時間]]=0,0,交易處理資料__3[[#This Row],[售出工時]]/交易處理資料__3[[#This Row],[上班時間]])</f>
        <v>0.56833712984054674</v>
      </c>
      <c r="O407" s="31" t="str">
        <f>IF(交易處理資料__3[[#This Row],[上班時間]]=0,"否","是")</f>
        <v>是</v>
      </c>
    </row>
    <row r="408" spans="1:15" hidden="1">
      <c r="A408" t="s">
        <v>75</v>
      </c>
      <c r="B408" t="s">
        <v>35</v>
      </c>
      <c r="C408">
        <v>4.16</v>
      </c>
      <c r="D408">
        <v>5.38</v>
      </c>
      <c r="E408" s="27">
        <v>77.44</v>
      </c>
      <c r="F408">
        <v>4.8899999999999997</v>
      </c>
      <c r="G408">
        <v>5.21</v>
      </c>
      <c r="H408">
        <v>10.1</v>
      </c>
      <c r="I408">
        <v>48.42</v>
      </c>
      <c r="J408">
        <v>41.25</v>
      </c>
      <c r="K408" s="9">
        <v>45301</v>
      </c>
      <c r="L408">
        <f xml:space="preserve"> (交易處理資料__3[[#This Row],[售出工時]] * 60) / 5</f>
        <v>49.92</v>
      </c>
      <c r="M408" t="str">
        <f>VLOOKUP(交易處理資料__3[[#This Row],[人員代號]],團隊分組!$B$1:$C$52,2,FALSE)</f>
        <v>查修團隊B</v>
      </c>
      <c r="N408">
        <f>IF(交易處理資料__3[[#This Row],[上班時間]]=0,0,交易處理資料__3[[#This Row],[售出工時]]/交易處理資料__3[[#This Row],[上班時間]])</f>
        <v>0.41188118811881191</v>
      </c>
      <c r="O408" s="31" t="str">
        <f>IF(交易處理資料__3[[#This Row],[上班時間]]=0,"否","是")</f>
        <v>是</v>
      </c>
    </row>
    <row r="409" spans="1:15" hidden="1">
      <c r="A409" t="s">
        <v>75</v>
      </c>
      <c r="B409" t="s">
        <v>36</v>
      </c>
      <c r="C409">
        <v>6.82</v>
      </c>
      <c r="D409">
        <v>6.48</v>
      </c>
      <c r="E409" s="27">
        <v>105.24</v>
      </c>
      <c r="F409">
        <v>9.09</v>
      </c>
      <c r="G409">
        <v>1.04</v>
      </c>
      <c r="H409">
        <v>10.130000000000001</v>
      </c>
      <c r="I409">
        <v>89.73</v>
      </c>
      <c r="J409">
        <v>67.319999999999993</v>
      </c>
      <c r="K409" s="9">
        <v>45301</v>
      </c>
      <c r="L409">
        <f xml:space="preserve"> (交易處理資料__3[[#This Row],[售出工時]] * 60) / 5</f>
        <v>81.84</v>
      </c>
      <c r="M409" t="str">
        <f>VLOOKUP(交易處理資料__3[[#This Row],[人員代號]],團隊分組!$B$1:$C$52,2,FALSE)</f>
        <v>查修團隊B</v>
      </c>
      <c r="N409">
        <f>IF(交易處理資料__3[[#This Row],[上班時間]]=0,0,交易處理資料__3[[#This Row],[售出工時]]/交易處理資料__3[[#This Row],[上班時間]])</f>
        <v>0.67324777887462983</v>
      </c>
      <c r="O409" s="31" t="str">
        <f>IF(交易處理資料__3[[#This Row],[上班時間]]=0,"否","是")</f>
        <v>是</v>
      </c>
    </row>
    <row r="410" spans="1:15" hidden="1">
      <c r="A410" t="s">
        <v>75</v>
      </c>
      <c r="B410" t="s">
        <v>37</v>
      </c>
      <c r="C410">
        <v>2.2200000000000002</v>
      </c>
      <c r="D410">
        <v>1.66</v>
      </c>
      <c r="E410" s="27">
        <v>133.72999999999999</v>
      </c>
      <c r="F410">
        <v>8.2799999999999994</v>
      </c>
      <c r="G410">
        <v>1.03</v>
      </c>
      <c r="H410">
        <v>9.31</v>
      </c>
      <c r="I410">
        <v>88.94</v>
      </c>
      <c r="J410">
        <v>23.85</v>
      </c>
      <c r="K410" s="9">
        <v>45301</v>
      </c>
      <c r="L410">
        <f xml:space="preserve"> (交易處理資料__3[[#This Row],[售出工時]] * 60) / 5</f>
        <v>26.640000000000004</v>
      </c>
      <c r="M410" t="str">
        <f>VLOOKUP(交易處理資料__3[[#This Row],[人員代號]],團隊分組!$B$1:$C$52,2,FALSE)</f>
        <v>查修團隊A</v>
      </c>
      <c r="N410">
        <f>IF(交易處理資料__3[[#This Row],[上班時間]]=0,0,交易處理資料__3[[#This Row],[售出工時]]/交易處理資料__3[[#This Row],[上班時間]])</f>
        <v>0.23845327604726102</v>
      </c>
      <c r="O410" s="31" t="str">
        <f>IF(交易處理資料__3[[#This Row],[上班時間]]=0,"否","是")</f>
        <v>是</v>
      </c>
    </row>
    <row r="411" spans="1:15" hidden="1">
      <c r="A411" t="s">
        <v>75</v>
      </c>
      <c r="B411" t="s">
        <v>42</v>
      </c>
      <c r="C411">
        <v>0</v>
      </c>
      <c r="D411">
        <v>0</v>
      </c>
      <c r="E411" s="27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 s="9">
        <v>45301</v>
      </c>
      <c r="L411">
        <f xml:space="preserve"> (交易處理資料__3[[#This Row],[售出工時]] * 60) / 5</f>
        <v>0</v>
      </c>
      <c r="M411" t="str">
        <f>VLOOKUP(交易處理資料__3[[#This Row],[人員代號]],團隊分組!$B$1:$C$52,2,FALSE)</f>
        <v>快速保養團隊A</v>
      </c>
      <c r="N411">
        <f>IF(交易處理資料__3[[#This Row],[上班時間]]=0,0,交易處理資料__3[[#This Row],[售出工時]]/交易處理資料__3[[#This Row],[上班時間]])</f>
        <v>0</v>
      </c>
      <c r="O411" s="31" t="str">
        <f>IF(交易處理資料__3[[#This Row],[上班時間]]=0,"否","是")</f>
        <v>否</v>
      </c>
    </row>
    <row r="412" spans="1:15" hidden="1">
      <c r="A412" t="s">
        <v>75</v>
      </c>
      <c r="B412" t="s">
        <v>43</v>
      </c>
      <c r="C412">
        <v>2.76</v>
      </c>
      <c r="D412">
        <v>2.48</v>
      </c>
      <c r="E412" s="27">
        <v>111.29</v>
      </c>
      <c r="F412">
        <v>4.6500000000000004</v>
      </c>
      <c r="G412">
        <v>0.48</v>
      </c>
      <c r="H412">
        <v>5.13</v>
      </c>
      <c r="I412">
        <v>90.64</v>
      </c>
      <c r="J412">
        <v>53.8</v>
      </c>
      <c r="K412" s="9">
        <v>45301</v>
      </c>
      <c r="L412">
        <f xml:space="preserve"> (交易處理資料__3[[#This Row],[售出工時]] * 60) / 5</f>
        <v>33.119999999999997</v>
      </c>
      <c r="M412" t="str">
        <f>VLOOKUP(交易處理資料__3[[#This Row],[人員代號]],團隊分組!$B$1:$C$52,2,FALSE)</f>
        <v>查修團隊B</v>
      </c>
      <c r="N412">
        <f>IF(交易處理資料__3[[#This Row],[上班時間]]=0,0,交易處理資料__3[[#This Row],[售出工時]]/交易處理資料__3[[#This Row],[上班時間]])</f>
        <v>0.53801169590643272</v>
      </c>
      <c r="O412" s="31" t="str">
        <f>IF(交易處理資料__3[[#This Row],[上班時間]]=0,"否","是")</f>
        <v>是</v>
      </c>
    </row>
    <row r="413" spans="1:15" hidden="1">
      <c r="A413" t="s">
        <v>75</v>
      </c>
      <c r="B413" t="s">
        <v>44</v>
      </c>
      <c r="C413">
        <v>4.4800000000000004</v>
      </c>
      <c r="D413">
        <v>3.39</v>
      </c>
      <c r="E413" s="27">
        <v>132.25</v>
      </c>
      <c r="F413">
        <v>7.54</v>
      </c>
      <c r="G413">
        <v>0.61</v>
      </c>
      <c r="H413">
        <v>8.15</v>
      </c>
      <c r="I413">
        <v>92.52</v>
      </c>
      <c r="J413">
        <v>55.01</v>
      </c>
      <c r="K413" s="9">
        <v>45301</v>
      </c>
      <c r="L413">
        <f xml:space="preserve"> (交易處理資料__3[[#This Row],[售出工時]] * 60) / 5</f>
        <v>53.760000000000005</v>
      </c>
      <c r="M413" t="str">
        <f>VLOOKUP(交易處理資料__3[[#This Row],[人員代號]],團隊分組!$B$1:$C$52,2,FALSE)</f>
        <v>快速保養團隊B</v>
      </c>
      <c r="N413">
        <f>IF(交易處理資料__3[[#This Row],[上班時間]]=0,0,交易處理資料__3[[#This Row],[售出工時]]/交易處理資料__3[[#This Row],[上班時間]])</f>
        <v>0.54969325153374238</v>
      </c>
      <c r="O413" s="31" t="str">
        <f>IF(交易處理資料__3[[#This Row],[上班時間]]=0,"否","是")</f>
        <v>是</v>
      </c>
    </row>
    <row r="414" spans="1:15" hidden="1">
      <c r="A414" t="s">
        <v>75</v>
      </c>
      <c r="B414" t="s">
        <v>46</v>
      </c>
      <c r="C414">
        <v>1.41</v>
      </c>
      <c r="D414">
        <v>3.64</v>
      </c>
      <c r="E414" s="27">
        <v>38.909999999999997</v>
      </c>
      <c r="F414">
        <v>6.29</v>
      </c>
      <c r="G414">
        <v>1.94</v>
      </c>
      <c r="H414">
        <v>8.23</v>
      </c>
      <c r="I414">
        <v>76.430000000000007</v>
      </c>
      <c r="J414">
        <v>17.21</v>
      </c>
      <c r="K414" s="9">
        <v>45301</v>
      </c>
      <c r="L414">
        <f xml:space="preserve"> (交易處理資料__3[[#This Row],[售出工時]] * 60) / 5</f>
        <v>16.919999999999998</v>
      </c>
      <c r="M414" t="str">
        <f>VLOOKUP(交易處理資料__3[[#This Row],[人員代號]],團隊分組!$B$1:$C$52,2,FALSE)</f>
        <v>查修團隊B</v>
      </c>
      <c r="N414">
        <f>IF(交易處理資料__3[[#This Row],[上班時間]]=0,0,交易處理資料__3[[#This Row],[售出工時]]/交易處理資料__3[[#This Row],[上班時間]])</f>
        <v>0.17132442284325636</v>
      </c>
      <c r="O414" s="31" t="str">
        <f>IF(交易處理資料__3[[#This Row],[上班時間]]=0,"否","是")</f>
        <v>是</v>
      </c>
    </row>
    <row r="415" spans="1:15" hidden="1">
      <c r="A415" t="s">
        <v>75</v>
      </c>
      <c r="B415" t="s">
        <v>47</v>
      </c>
      <c r="C415">
        <v>1</v>
      </c>
      <c r="D415">
        <v>0.91</v>
      </c>
      <c r="E415" s="27">
        <v>109.89</v>
      </c>
      <c r="F415">
        <v>6.73</v>
      </c>
      <c r="G415">
        <v>1.42</v>
      </c>
      <c r="H415">
        <v>8.15</v>
      </c>
      <c r="I415">
        <v>82.58</v>
      </c>
      <c r="J415">
        <v>12.27</v>
      </c>
      <c r="K415" s="9">
        <v>45301</v>
      </c>
      <c r="L415">
        <f xml:space="preserve"> (交易處理資料__3[[#This Row],[售出工時]] * 60) / 5</f>
        <v>12</v>
      </c>
      <c r="M415" t="str">
        <f>VLOOKUP(交易處理資料__3[[#This Row],[人員代號]],團隊分組!$B$1:$C$52,2,FALSE)</f>
        <v>查修團隊B</v>
      </c>
      <c r="N415">
        <f>IF(交易處理資料__3[[#This Row],[上班時間]]=0,0,交易處理資料__3[[#This Row],[售出工時]]/交易處理資料__3[[#This Row],[上班時間]])</f>
        <v>0.12269938650306748</v>
      </c>
      <c r="O415" s="31" t="str">
        <f>IF(交易處理資料__3[[#This Row],[上班時間]]=0,"否","是")</f>
        <v>是</v>
      </c>
    </row>
    <row r="416" spans="1:15" hidden="1">
      <c r="A416" t="s">
        <v>75</v>
      </c>
      <c r="B416" t="s">
        <v>48</v>
      </c>
      <c r="C416">
        <v>0.5</v>
      </c>
      <c r="D416">
        <v>0.01</v>
      </c>
      <c r="E416" s="27">
        <v>5000</v>
      </c>
      <c r="F416">
        <v>7.45</v>
      </c>
      <c r="G416">
        <v>1.1200000000000001</v>
      </c>
      <c r="H416">
        <v>8.57</v>
      </c>
      <c r="I416">
        <v>86.93</v>
      </c>
      <c r="J416">
        <v>5.83</v>
      </c>
      <c r="K416" s="9">
        <v>45301</v>
      </c>
      <c r="L416">
        <f xml:space="preserve"> (交易處理資料__3[[#This Row],[售出工時]] * 60) / 5</f>
        <v>6</v>
      </c>
      <c r="M416" t="str">
        <f>VLOOKUP(交易處理資料__3[[#This Row],[人員代號]],團隊分組!$B$1:$C$52,2,FALSE)</f>
        <v>查修團隊A</v>
      </c>
      <c r="N416">
        <f>IF(交易處理資料__3[[#This Row],[上班時間]]=0,0,交易處理資料__3[[#This Row],[售出工時]]/交易處理資料__3[[#This Row],[上班時間]])</f>
        <v>5.8343057176196034E-2</v>
      </c>
      <c r="O416" s="31" t="str">
        <f>IF(交易處理資料__3[[#This Row],[上班時間]]=0,"否","是")</f>
        <v>是</v>
      </c>
    </row>
    <row r="417" spans="1:15" hidden="1">
      <c r="A417" t="s">
        <v>75</v>
      </c>
      <c r="B417" t="s">
        <v>50</v>
      </c>
      <c r="C417">
        <v>6.9</v>
      </c>
      <c r="D417">
        <v>3.05</v>
      </c>
      <c r="E417" s="27">
        <v>226.22</v>
      </c>
      <c r="F417">
        <v>7.63</v>
      </c>
      <c r="G417">
        <v>0.55000000000000004</v>
      </c>
      <c r="H417">
        <v>8.18</v>
      </c>
      <c r="I417">
        <v>93.28</v>
      </c>
      <c r="J417">
        <v>84.35</v>
      </c>
      <c r="K417" s="9">
        <v>45301</v>
      </c>
      <c r="L417">
        <f xml:space="preserve"> (交易處理資料__3[[#This Row],[售出工時]] * 60) / 5</f>
        <v>82.8</v>
      </c>
      <c r="M417" t="str">
        <f>VLOOKUP(交易處理資料__3[[#This Row],[人員代號]],團隊分組!$B$1:$C$52,2,FALSE)</f>
        <v>快速保養團隊B</v>
      </c>
      <c r="N417">
        <f>IF(交易處理資料__3[[#This Row],[上班時間]]=0,0,交易處理資料__3[[#This Row],[售出工時]]/交易處理資料__3[[#This Row],[上班時間]])</f>
        <v>0.84352078239608808</v>
      </c>
      <c r="O417" s="31" t="str">
        <f>IF(交易處理資料__3[[#This Row],[上班時間]]=0,"否","是")</f>
        <v>是</v>
      </c>
    </row>
    <row r="418" spans="1:15" hidden="1">
      <c r="A418" t="s">
        <v>75</v>
      </c>
      <c r="B418" t="s">
        <v>51</v>
      </c>
      <c r="C418">
        <v>0</v>
      </c>
      <c r="D418">
        <v>0</v>
      </c>
      <c r="E418" s="27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 s="9">
        <v>45301</v>
      </c>
      <c r="L418">
        <f xml:space="preserve"> (交易處理資料__3[[#This Row],[售出工時]] * 60) / 5</f>
        <v>0</v>
      </c>
      <c r="M418" t="str">
        <f>VLOOKUP(交易處理資料__3[[#This Row],[人員代號]],團隊分組!$B$1:$C$52,2,FALSE)</f>
        <v>無效數據</v>
      </c>
      <c r="N418">
        <f>IF(交易處理資料__3[[#This Row],[上班時間]]=0,0,交易處理資料__3[[#This Row],[售出工時]]/交易處理資料__3[[#This Row],[上班時間]])</f>
        <v>0</v>
      </c>
      <c r="O418" s="31" t="str">
        <f>IF(交易處理資料__3[[#This Row],[上班時間]]=0,"否","是")</f>
        <v>否</v>
      </c>
    </row>
    <row r="419" spans="1:15" hidden="1">
      <c r="A419" t="s">
        <v>75</v>
      </c>
      <c r="B419" t="s">
        <v>52</v>
      </c>
      <c r="C419">
        <v>5.91</v>
      </c>
      <c r="D419">
        <v>7.53</v>
      </c>
      <c r="E419" s="27">
        <v>78.569999999999993</v>
      </c>
      <c r="F419">
        <v>7.74</v>
      </c>
      <c r="G419">
        <v>0.39</v>
      </c>
      <c r="H419">
        <v>8.1300000000000008</v>
      </c>
      <c r="I419">
        <v>95.2</v>
      </c>
      <c r="J419">
        <v>72.78</v>
      </c>
      <c r="K419" s="9">
        <v>45301</v>
      </c>
      <c r="L419">
        <f xml:space="preserve"> (交易處理資料__3[[#This Row],[售出工時]] * 60) / 5</f>
        <v>70.92</v>
      </c>
      <c r="M419" t="str">
        <f>VLOOKUP(交易處理資料__3[[#This Row],[人員代號]],團隊分組!$B$1:$C$52,2,FALSE)</f>
        <v>查修團隊B</v>
      </c>
      <c r="N419">
        <f>IF(交易處理資料__3[[#This Row],[上班時間]]=0,0,交易處理資料__3[[#This Row],[售出工時]]/交易處理資料__3[[#This Row],[上班時間]])</f>
        <v>0.72693726937269365</v>
      </c>
      <c r="O419" s="31" t="str">
        <f>IF(交易處理資料__3[[#This Row],[上班時間]]=0,"否","是")</f>
        <v>是</v>
      </c>
    </row>
    <row r="420" spans="1:15" hidden="1">
      <c r="A420" t="s">
        <v>75</v>
      </c>
      <c r="B420" t="s">
        <v>53</v>
      </c>
      <c r="C420">
        <v>2.64</v>
      </c>
      <c r="D420">
        <v>3.15</v>
      </c>
      <c r="E420" s="27">
        <v>84.02</v>
      </c>
      <c r="F420">
        <v>8.39</v>
      </c>
      <c r="G420">
        <v>1.43</v>
      </c>
      <c r="H420">
        <v>9.82</v>
      </c>
      <c r="I420">
        <v>85.44</v>
      </c>
      <c r="J420">
        <v>26.95</v>
      </c>
      <c r="K420" s="9">
        <v>45301</v>
      </c>
      <c r="L420">
        <f xml:space="preserve"> (交易處理資料__3[[#This Row],[售出工時]] * 60) / 5</f>
        <v>31.68</v>
      </c>
      <c r="M420" t="str">
        <f>VLOOKUP(交易處理資料__3[[#This Row],[人員代號]],團隊分組!$B$1:$C$52,2,FALSE)</f>
        <v>查修團隊A</v>
      </c>
      <c r="N420">
        <f>IF(交易處理資料__3[[#This Row],[上班時間]]=0,0,交易處理資料__3[[#This Row],[售出工時]]/交易處理資料__3[[#This Row],[上班時間]])</f>
        <v>0.26883910386965376</v>
      </c>
      <c r="O420" s="31" t="str">
        <f>IF(交易處理資料__3[[#This Row],[上班時間]]=0,"否","是")</f>
        <v>是</v>
      </c>
    </row>
    <row r="421" spans="1:15" hidden="1">
      <c r="A421" s="10" t="s">
        <v>73</v>
      </c>
      <c r="B421" t="s">
        <v>1</v>
      </c>
      <c r="C421">
        <v>0</v>
      </c>
      <c r="D421">
        <v>0</v>
      </c>
      <c r="E421" s="27">
        <v>0</v>
      </c>
      <c r="F421">
        <v>6.83</v>
      </c>
      <c r="G421">
        <v>1.19</v>
      </c>
      <c r="H421">
        <v>8.02</v>
      </c>
      <c r="I421">
        <v>85.16</v>
      </c>
      <c r="J421">
        <v>0</v>
      </c>
      <c r="K421" s="9">
        <v>45302</v>
      </c>
      <c r="L421">
        <f xml:space="preserve"> (交易處理資料__3[[#This Row],[售出工時]] * 60) / 5</f>
        <v>0</v>
      </c>
      <c r="M421" t="str">
        <f>VLOOKUP(交易處理資料__3[[#This Row],[人員代號]],團隊分組!$B$1:$C$52,2,FALSE)</f>
        <v>噴漆維修組</v>
      </c>
      <c r="N421">
        <f>IF(交易處理資料__3[[#This Row],[上班時間]]=0,0,交易處理資料__3[[#This Row],[售出工時]]/交易處理資料__3[[#This Row],[上班時間]])</f>
        <v>0</v>
      </c>
      <c r="O421" s="31" t="str">
        <f>IF(交易處理資料__3[[#This Row],[上班時間]]=0,"否","是")</f>
        <v>是</v>
      </c>
    </row>
    <row r="422" spans="1:15" hidden="1">
      <c r="A422" s="10" t="s">
        <v>73</v>
      </c>
      <c r="B422" t="s">
        <v>4</v>
      </c>
      <c r="C422">
        <v>0</v>
      </c>
      <c r="D422">
        <v>0</v>
      </c>
      <c r="E422" s="27">
        <v>0</v>
      </c>
      <c r="F422">
        <v>1.8</v>
      </c>
      <c r="G422">
        <v>6.19</v>
      </c>
      <c r="H422">
        <v>7.99</v>
      </c>
      <c r="I422">
        <v>22.53</v>
      </c>
      <c r="J422">
        <v>0</v>
      </c>
      <c r="K422" s="9">
        <v>45302</v>
      </c>
      <c r="L422">
        <f xml:space="preserve"> (交易處理資料__3[[#This Row],[售出工時]] * 60) / 5</f>
        <v>0</v>
      </c>
      <c r="M422" t="str">
        <f>VLOOKUP(交易處理資料__3[[#This Row],[人員代號]],團隊分組!$B$1:$C$52,2,FALSE)</f>
        <v>噴漆維修組</v>
      </c>
      <c r="N422">
        <f>IF(交易處理資料__3[[#This Row],[上班時間]]=0,0,交易處理資料__3[[#This Row],[售出工時]]/交易處理資料__3[[#This Row],[上班時間]])</f>
        <v>0</v>
      </c>
      <c r="O422" s="31" t="str">
        <f>IF(交易處理資料__3[[#This Row],[上班時間]]=0,"否","是")</f>
        <v>是</v>
      </c>
    </row>
    <row r="423" spans="1:15" hidden="1">
      <c r="A423" s="10" t="s">
        <v>73</v>
      </c>
      <c r="B423" t="s">
        <v>5</v>
      </c>
      <c r="C423">
        <v>6.17</v>
      </c>
      <c r="D423">
        <v>9.42</v>
      </c>
      <c r="E423" s="27">
        <v>65.489999999999995</v>
      </c>
      <c r="F423">
        <v>10.33</v>
      </c>
      <c r="G423">
        <v>0.24</v>
      </c>
      <c r="H423">
        <v>10.57</v>
      </c>
      <c r="I423">
        <v>97.73</v>
      </c>
      <c r="J423">
        <v>58.37</v>
      </c>
      <c r="K423" s="9">
        <v>45302</v>
      </c>
      <c r="L423">
        <f xml:space="preserve"> (交易處理資料__3[[#This Row],[售出工時]] * 60) / 5</f>
        <v>74.039999999999992</v>
      </c>
      <c r="M423" t="str">
        <f>VLOOKUP(交易處理資料__3[[#This Row],[人員代號]],團隊分組!$B$1:$C$52,2,FALSE)</f>
        <v>噴漆維修組</v>
      </c>
      <c r="N423">
        <f>IF(交易處理資料__3[[#This Row],[上班時間]]=0,0,交易處理資料__3[[#This Row],[售出工時]]/交易處理資料__3[[#This Row],[上班時間]])</f>
        <v>0.58372753074739825</v>
      </c>
      <c r="O423" s="31" t="str">
        <f>IF(交易處理資料__3[[#This Row],[上班時間]]=0,"否","是")</f>
        <v>是</v>
      </c>
    </row>
    <row r="424" spans="1:15" hidden="1">
      <c r="A424" s="10" t="s">
        <v>73</v>
      </c>
      <c r="B424" t="s">
        <v>8</v>
      </c>
      <c r="C424">
        <v>0</v>
      </c>
      <c r="D424">
        <v>0</v>
      </c>
      <c r="E424" s="27">
        <v>0</v>
      </c>
      <c r="F424">
        <v>1.8</v>
      </c>
      <c r="G424">
        <v>6.19</v>
      </c>
      <c r="H424">
        <v>7.99</v>
      </c>
      <c r="I424">
        <v>22.53</v>
      </c>
      <c r="J424">
        <v>0</v>
      </c>
      <c r="K424" s="9">
        <v>45302</v>
      </c>
      <c r="L424">
        <f xml:space="preserve"> (交易處理資料__3[[#This Row],[售出工時]] * 60) / 5</f>
        <v>0</v>
      </c>
      <c r="M424" t="str">
        <f>VLOOKUP(交易處理資料__3[[#This Row],[人員代號]],團隊分組!$B$1:$C$52,2,FALSE)</f>
        <v>噴漆維修組</v>
      </c>
      <c r="N424">
        <f>IF(交易處理資料__3[[#This Row],[上班時間]]=0,0,交易處理資料__3[[#This Row],[售出工時]]/交易處理資料__3[[#This Row],[上班時間]])</f>
        <v>0</v>
      </c>
      <c r="O424" s="31" t="str">
        <f>IF(交易處理資料__3[[#This Row],[上班時間]]=0,"否","是")</f>
        <v>是</v>
      </c>
    </row>
    <row r="425" spans="1:15" hidden="1">
      <c r="A425" t="s">
        <v>74</v>
      </c>
      <c r="B425" t="s">
        <v>11</v>
      </c>
      <c r="C425">
        <v>1</v>
      </c>
      <c r="D425">
        <v>0.5</v>
      </c>
      <c r="E425" s="27">
        <v>200</v>
      </c>
      <c r="F425">
        <v>9.02</v>
      </c>
      <c r="G425">
        <v>1.63</v>
      </c>
      <c r="H425">
        <v>10.65</v>
      </c>
      <c r="I425">
        <v>84.69</v>
      </c>
      <c r="J425">
        <v>9.39</v>
      </c>
      <c r="K425" s="9">
        <v>45302</v>
      </c>
      <c r="L425">
        <f xml:space="preserve"> (交易處理資料__3[[#This Row],[售出工時]] * 60) / 5</f>
        <v>12</v>
      </c>
      <c r="M425" t="str">
        <f>VLOOKUP(交易處理資料__3[[#This Row],[人員代號]],團隊分組!$B$1:$C$52,2,FALSE)</f>
        <v>鈑金維修組</v>
      </c>
      <c r="N425">
        <f>IF(交易處理資料__3[[#This Row],[上班時間]]=0,0,交易處理資料__3[[#This Row],[售出工時]]/交易處理資料__3[[#This Row],[上班時間]])</f>
        <v>9.3896713615023469E-2</v>
      </c>
      <c r="O425" s="31" t="str">
        <f>IF(交易處理資料__3[[#This Row],[上班時間]]=0,"否","是")</f>
        <v>是</v>
      </c>
    </row>
    <row r="426" spans="1:15" hidden="1">
      <c r="A426" t="s">
        <v>74</v>
      </c>
      <c r="B426" t="s">
        <v>13</v>
      </c>
      <c r="C426">
        <v>0.63</v>
      </c>
      <c r="D426">
        <v>0.96</v>
      </c>
      <c r="E426" s="27">
        <v>65.62</v>
      </c>
      <c r="F426">
        <v>7.15</v>
      </c>
      <c r="G426">
        <v>0.92</v>
      </c>
      <c r="H426">
        <v>8.07</v>
      </c>
      <c r="I426">
        <v>88.6</v>
      </c>
      <c r="J426">
        <v>7.81</v>
      </c>
      <c r="K426" s="9">
        <v>45302</v>
      </c>
      <c r="L426">
        <f xml:space="preserve"> (交易處理資料__3[[#This Row],[售出工時]] * 60) / 5</f>
        <v>7.56</v>
      </c>
      <c r="M426" t="str">
        <f>VLOOKUP(交易處理資料__3[[#This Row],[人員代號]],團隊分組!$B$1:$C$52,2,FALSE)</f>
        <v>鈑金維修組</v>
      </c>
      <c r="N426">
        <f>IF(交易處理資料__3[[#This Row],[上班時間]]=0,0,交易處理資料__3[[#This Row],[售出工時]]/交易處理資料__3[[#This Row],[上班時間]])</f>
        <v>7.8066914498141265E-2</v>
      </c>
      <c r="O426" s="31" t="str">
        <f>IF(交易處理資料__3[[#This Row],[上班時間]]=0,"否","是")</f>
        <v>是</v>
      </c>
    </row>
    <row r="427" spans="1:15" hidden="1">
      <c r="A427" t="s">
        <v>75</v>
      </c>
      <c r="B427" t="s">
        <v>17</v>
      </c>
      <c r="C427">
        <v>11.35</v>
      </c>
      <c r="D427">
        <v>6.2</v>
      </c>
      <c r="E427" s="27">
        <v>183.11</v>
      </c>
      <c r="F427">
        <v>8.65</v>
      </c>
      <c r="G427">
        <v>0.42</v>
      </c>
      <c r="H427">
        <v>9.07</v>
      </c>
      <c r="I427">
        <v>95.37</v>
      </c>
      <c r="J427">
        <v>125.17</v>
      </c>
      <c r="K427" s="9">
        <v>45302</v>
      </c>
      <c r="L427">
        <f xml:space="preserve"> (交易處理資料__3[[#This Row],[售出工時]] * 60) / 5</f>
        <v>136.19999999999999</v>
      </c>
      <c r="M427" t="str">
        <f>VLOOKUP(交易處理資料__3[[#This Row],[人員代號]],團隊分組!$B$1:$C$52,2,FALSE)</f>
        <v>快速保養團隊A</v>
      </c>
      <c r="N427">
        <f>IF(交易處理資料__3[[#This Row],[上班時間]]=0,0,交易處理資料__3[[#This Row],[售出工時]]/交易處理資料__3[[#This Row],[上班時間]])</f>
        <v>1.2513781697905182</v>
      </c>
      <c r="O427" s="31" t="str">
        <f>IF(交易處理資料__3[[#This Row],[上班時間]]=0,"否","是")</f>
        <v>是</v>
      </c>
    </row>
    <row r="428" spans="1:15" hidden="1">
      <c r="A428" t="s">
        <v>75</v>
      </c>
      <c r="B428" t="s">
        <v>19</v>
      </c>
      <c r="C428">
        <v>4.33</v>
      </c>
      <c r="D428">
        <v>8.52</v>
      </c>
      <c r="E428" s="27">
        <v>50.89</v>
      </c>
      <c r="F428">
        <v>7.46</v>
      </c>
      <c r="G428">
        <v>1.3</v>
      </c>
      <c r="H428">
        <v>8.76</v>
      </c>
      <c r="I428">
        <v>85.16</v>
      </c>
      <c r="J428">
        <v>49.51</v>
      </c>
      <c r="K428" s="9">
        <v>45302</v>
      </c>
      <c r="L428">
        <f xml:space="preserve"> (交易處理資料__3[[#This Row],[售出工時]] * 60) / 5</f>
        <v>51.96</v>
      </c>
      <c r="M428" t="str">
        <f>VLOOKUP(交易處理資料__3[[#This Row],[人員代號]],團隊分組!$B$1:$C$52,2,FALSE)</f>
        <v>查修團隊A</v>
      </c>
      <c r="N428">
        <f>IF(交易處理資料__3[[#This Row],[上班時間]]=0,0,交易處理資料__3[[#This Row],[售出工時]]/交易處理資料__3[[#This Row],[上班時間]])</f>
        <v>0.49429223744292239</v>
      </c>
      <c r="O428" s="31" t="str">
        <f>IF(交易處理資料__3[[#This Row],[上班時間]]=0,"否","是")</f>
        <v>是</v>
      </c>
    </row>
    <row r="429" spans="1:15" hidden="1">
      <c r="A429" t="s">
        <v>75</v>
      </c>
      <c r="B429" t="s">
        <v>20</v>
      </c>
      <c r="C429">
        <v>1.61</v>
      </c>
      <c r="D429">
        <v>1.67</v>
      </c>
      <c r="E429" s="27">
        <v>96.6</v>
      </c>
      <c r="F429">
        <v>1.67</v>
      </c>
      <c r="G429">
        <v>6.63</v>
      </c>
      <c r="H429">
        <v>8.3000000000000007</v>
      </c>
      <c r="I429">
        <v>20.12</v>
      </c>
      <c r="J429">
        <v>19.440000000000001</v>
      </c>
      <c r="K429" s="9">
        <v>45302</v>
      </c>
      <c r="L429">
        <f xml:space="preserve"> (交易處理資料__3[[#This Row],[售出工時]] * 60) / 5</f>
        <v>19.32</v>
      </c>
      <c r="M429" t="str">
        <f>VLOOKUP(交易處理資料__3[[#This Row],[人員代號]],團隊分組!$B$1:$C$52,2,FALSE)</f>
        <v>查修團隊B</v>
      </c>
      <c r="N429">
        <f>IF(交易處理資料__3[[#This Row],[上班時間]]=0,0,交易處理資料__3[[#This Row],[售出工時]]/交易處理資料__3[[#This Row],[上班時間]])</f>
        <v>0.19397590361445782</v>
      </c>
      <c r="O429" s="31" t="str">
        <f>IF(交易處理資料__3[[#This Row],[上班時間]]=0,"否","是")</f>
        <v>是</v>
      </c>
    </row>
    <row r="430" spans="1:15" hidden="1">
      <c r="A430" t="s">
        <v>75</v>
      </c>
      <c r="B430" t="s">
        <v>21</v>
      </c>
      <c r="C430">
        <v>6.5</v>
      </c>
      <c r="D430">
        <v>7.86</v>
      </c>
      <c r="E430" s="27">
        <v>82.69</v>
      </c>
      <c r="F430">
        <v>6.57</v>
      </c>
      <c r="G430">
        <v>1.52</v>
      </c>
      <c r="H430">
        <v>8.09</v>
      </c>
      <c r="I430">
        <v>81.209999999999994</v>
      </c>
      <c r="J430">
        <v>80.349999999999994</v>
      </c>
      <c r="K430" s="9">
        <v>45302</v>
      </c>
      <c r="L430">
        <f xml:space="preserve"> (交易處理資料__3[[#This Row],[售出工時]] * 60) / 5</f>
        <v>78</v>
      </c>
      <c r="M430" t="str">
        <f>VLOOKUP(交易處理資料__3[[#This Row],[人員代號]],團隊分組!$B$1:$C$52,2,FALSE)</f>
        <v>查修團隊B</v>
      </c>
      <c r="N430">
        <f>IF(交易處理資料__3[[#This Row],[上班時間]]=0,0,交易處理資料__3[[#This Row],[售出工時]]/交易處理資料__3[[#This Row],[上班時間]])</f>
        <v>0.80346106304079112</v>
      </c>
      <c r="O430" s="31" t="str">
        <f>IF(交易處理資料__3[[#This Row],[上班時間]]=0,"否","是")</f>
        <v>是</v>
      </c>
    </row>
    <row r="431" spans="1:15" hidden="1">
      <c r="A431" t="s">
        <v>75</v>
      </c>
      <c r="B431" t="s">
        <v>22</v>
      </c>
      <c r="C431">
        <v>0</v>
      </c>
      <c r="D431">
        <v>0</v>
      </c>
      <c r="E431" s="27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 s="9">
        <v>45302</v>
      </c>
      <c r="L431">
        <f xml:space="preserve"> (交易處理資料__3[[#This Row],[售出工時]] * 60) / 5</f>
        <v>0</v>
      </c>
      <c r="M431" t="str">
        <f>VLOOKUP(交易處理資料__3[[#This Row],[人員代號]],團隊分組!$B$1:$C$52,2,FALSE)</f>
        <v>快速保養團隊A</v>
      </c>
      <c r="N431">
        <f>IF(交易處理資料__3[[#This Row],[上班時間]]=0,0,交易處理資料__3[[#This Row],[售出工時]]/交易處理資料__3[[#This Row],[上班時間]])</f>
        <v>0</v>
      </c>
      <c r="O431" s="31" t="str">
        <f>IF(交易處理資料__3[[#This Row],[上班時間]]=0,"否","是")</f>
        <v>否</v>
      </c>
    </row>
    <row r="432" spans="1:15" hidden="1">
      <c r="A432" t="s">
        <v>75</v>
      </c>
      <c r="B432" t="s">
        <v>23</v>
      </c>
      <c r="C432">
        <v>16.170000000000002</v>
      </c>
      <c r="D432">
        <v>10.39</v>
      </c>
      <c r="E432" s="27">
        <v>155.69</v>
      </c>
      <c r="F432">
        <v>9.4700000000000006</v>
      </c>
      <c r="G432">
        <v>1.05</v>
      </c>
      <c r="H432">
        <v>10.52</v>
      </c>
      <c r="I432">
        <v>90.02</v>
      </c>
      <c r="J432">
        <v>153.77000000000001</v>
      </c>
      <c r="K432" s="9">
        <v>45302</v>
      </c>
      <c r="L432">
        <f xml:space="preserve"> (交易處理資料__3[[#This Row],[售出工時]] * 60) / 5</f>
        <v>194.04000000000002</v>
      </c>
      <c r="M432" t="str">
        <f>VLOOKUP(交易處理資料__3[[#This Row],[人員代號]],團隊分組!$B$1:$C$52,2,FALSE)</f>
        <v>快速保養團隊B</v>
      </c>
      <c r="N432">
        <f>IF(交易處理資料__3[[#This Row],[上班時間]]=0,0,交易處理資料__3[[#This Row],[售出工時]]/交易處理資料__3[[#This Row],[上班時間]])</f>
        <v>1.5370722433460078</v>
      </c>
      <c r="O432" s="31" t="str">
        <f>IF(交易處理資料__3[[#This Row],[上班時間]]=0,"否","是")</f>
        <v>是</v>
      </c>
    </row>
    <row r="433" spans="1:15" hidden="1">
      <c r="A433" t="s">
        <v>75</v>
      </c>
      <c r="B433" t="s">
        <v>25</v>
      </c>
      <c r="C433">
        <v>6.08</v>
      </c>
      <c r="D433">
        <v>6.94</v>
      </c>
      <c r="E433" s="27">
        <v>87.65</v>
      </c>
      <c r="F433">
        <v>7.41</v>
      </c>
      <c r="G433">
        <v>1.02</v>
      </c>
      <c r="H433">
        <v>8.43</v>
      </c>
      <c r="I433">
        <v>87.9</v>
      </c>
      <c r="J433">
        <v>72.16</v>
      </c>
      <c r="K433" s="9">
        <v>45302</v>
      </c>
      <c r="L433">
        <f xml:space="preserve"> (交易處理資料__3[[#This Row],[售出工時]] * 60) / 5</f>
        <v>72.960000000000008</v>
      </c>
      <c r="M433" t="str">
        <f>VLOOKUP(交易處理資料__3[[#This Row],[人員代號]],團隊分組!$B$1:$C$52,2,FALSE)</f>
        <v>查修團隊A</v>
      </c>
      <c r="N433">
        <f>IF(交易處理資料__3[[#This Row],[上班時間]]=0,0,交易處理資料__3[[#This Row],[售出工時]]/交易處理資料__3[[#This Row],[上班時間]])</f>
        <v>0.72123368920521946</v>
      </c>
      <c r="O433" s="31" t="str">
        <f>IF(交易處理資料__3[[#This Row],[上班時間]]=0,"否","是")</f>
        <v>是</v>
      </c>
    </row>
    <row r="434" spans="1:15" hidden="1">
      <c r="A434" t="s">
        <v>75</v>
      </c>
      <c r="B434" t="s">
        <v>26</v>
      </c>
      <c r="C434">
        <v>1</v>
      </c>
      <c r="D434">
        <v>5.41</v>
      </c>
      <c r="E434" s="27">
        <v>18.48</v>
      </c>
      <c r="F434">
        <v>5.2</v>
      </c>
      <c r="G434">
        <v>3.13</v>
      </c>
      <c r="H434">
        <v>8.33</v>
      </c>
      <c r="I434">
        <v>62.42</v>
      </c>
      <c r="J434">
        <v>12</v>
      </c>
      <c r="K434" s="9">
        <v>45302</v>
      </c>
      <c r="L434">
        <f xml:space="preserve"> (交易處理資料__3[[#This Row],[售出工時]] * 60) / 5</f>
        <v>12</v>
      </c>
      <c r="M434" t="str">
        <f>VLOOKUP(交易處理資料__3[[#This Row],[人員代號]],團隊分組!$B$1:$C$52,2,FALSE)</f>
        <v>查修團隊B</v>
      </c>
      <c r="N434">
        <f>IF(交易處理資料__3[[#This Row],[上班時間]]=0,0,交易處理資料__3[[#This Row],[售出工時]]/交易處理資料__3[[#This Row],[上班時間]])</f>
        <v>0.12004801920768307</v>
      </c>
      <c r="O434" s="31" t="str">
        <f>IF(交易處理資料__3[[#This Row],[上班時間]]=0,"否","是")</f>
        <v>是</v>
      </c>
    </row>
    <row r="435" spans="1:15" hidden="1">
      <c r="A435" t="s">
        <v>75</v>
      </c>
      <c r="B435" t="s">
        <v>28</v>
      </c>
      <c r="C435">
        <v>3.16</v>
      </c>
      <c r="D435">
        <v>3.15</v>
      </c>
      <c r="E435" s="27">
        <v>100.52</v>
      </c>
      <c r="F435">
        <v>6.92</v>
      </c>
      <c r="G435">
        <v>1.45</v>
      </c>
      <c r="H435">
        <v>8.3699999999999992</v>
      </c>
      <c r="I435">
        <v>82.68</v>
      </c>
      <c r="J435">
        <v>37.83</v>
      </c>
      <c r="K435" s="9">
        <v>45302</v>
      </c>
      <c r="L435">
        <f xml:space="preserve"> (交易處理資料__3[[#This Row],[售出工時]] * 60) / 5</f>
        <v>37.92</v>
      </c>
      <c r="M435" t="str">
        <f>VLOOKUP(交易處理資料__3[[#This Row],[人員代號]],團隊分組!$B$1:$C$52,2,FALSE)</f>
        <v>快速保養團隊A</v>
      </c>
      <c r="N435">
        <f>IF(交易處理資料__3[[#This Row],[上班時間]]=0,0,交易處理資料__3[[#This Row],[售出工時]]/交易處理資料__3[[#This Row],[上班時間]])</f>
        <v>0.37753882915173242</v>
      </c>
      <c r="O435" s="31" t="str">
        <f>IF(交易處理資料__3[[#This Row],[上班時間]]=0,"否","是")</f>
        <v>是</v>
      </c>
    </row>
    <row r="436" spans="1:15" hidden="1">
      <c r="A436" t="s">
        <v>75</v>
      </c>
      <c r="B436" t="s">
        <v>29</v>
      </c>
      <c r="C436">
        <v>4.16</v>
      </c>
      <c r="D436">
        <v>5.84</v>
      </c>
      <c r="E436" s="27">
        <v>71.34</v>
      </c>
      <c r="F436">
        <v>6.19</v>
      </c>
      <c r="G436">
        <v>1.83</v>
      </c>
      <c r="H436">
        <v>8.02</v>
      </c>
      <c r="I436">
        <v>77.180000000000007</v>
      </c>
      <c r="J436">
        <v>51.95</v>
      </c>
      <c r="K436" s="9">
        <v>45302</v>
      </c>
      <c r="L436">
        <f xml:space="preserve"> (交易處理資料__3[[#This Row],[售出工時]] * 60) / 5</f>
        <v>49.92</v>
      </c>
      <c r="M436" t="str">
        <f>VLOOKUP(交易處理資料__3[[#This Row],[人員代號]],團隊分組!$B$1:$C$52,2,FALSE)</f>
        <v>查修團隊B</v>
      </c>
      <c r="N436">
        <f>IF(交易處理資料__3[[#This Row],[上班時間]]=0,0,交易處理資料__3[[#This Row],[售出工時]]/交易處理資料__3[[#This Row],[上班時間]])</f>
        <v>0.51870324189526185</v>
      </c>
      <c r="O436" s="31" t="str">
        <f>IF(交易處理資料__3[[#This Row],[上班時間]]=0,"否","是")</f>
        <v>是</v>
      </c>
    </row>
    <row r="437" spans="1:15" hidden="1">
      <c r="A437" t="s">
        <v>75</v>
      </c>
      <c r="B437" t="s">
        <v>30</v>
      </c>
      <c r="C437">
        <v>6.78</v>
      </c>
      <c r="D437">
        <v>7.62</v>
      </c>
      <c r="E437" s="27">
        <v>89.06</v>
      </c>
      <c r="F437">
        <v>10.07</v>
      </c>
      <c r="G437">
        <v>0.4</v>
      </c>
      <c r="H437">
        <v>10.47</v>
      </c>
      <c r="I437">
        <v>96.18</v>
      </c>
      <c r="J437">
        <v>64.819999999999993</v>
      </c>
      <c r="K437" s="9">
        <v>45302</v>
      </c>
      <c r="L437">
        <f xml:space="preserve"> (交易處理資料__3[[#This Row],[售出工時]] * 60) / 5</f>
        <v>81.36</v>
      </c>
      <c r="M437" t="str">
        <f>VLOOKUP(交易處理資料__3[[#This Row],[人員代號]],團隊分組!$B$1:$C$52,2,FALSE)</f>
        <v>快速保養團隊B</v>
      </c>
      <c r="N437">
        <f>IF(交易處理資料__3[[#This Row],[上班時間]]=0,0,交易處理資料__3[[#This Row],[售出工時]]/交易處理資料__3[[#This Row],[上班時間]])</f>
        <v>0.64756446991404015</v>
      </c>
      <c r="O437" s="31" t="str">
        <f>IF(交易處理資料__3[[#This Row],[上班時間]]=0,"否","是")</f>
        <v>是</v>
      </c>
    </row>
    <row r="438" spans="1:15" hidden="1">
      <c r="A438" t="s">
        <v>75</v>
      </c>
      <c r="B438" t="s">
        <v>31</v>
      </c>
      <c r="C438">
        <v>0</v>
      </c>
      <c r="D438">
        <v>0</v>
      </c>
      <c r="E438" s="27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 s="9">
        <v>45302</v>
      </c>
      <c r="L438">
        <f xml:space="preserve"> (交易處理資料__3[[#This Row],[售出工時]] * 60) / 5</f>
        <v>0</v>
      </c>
      <c r="M438" t="str">
        <f>VLOOKUP(交易處理資料__3[[#This Row],[人員代號]],團隊分組!$B$1:$C$52,2,FALSE)</f>
        <v>快速保養團隊A</v>
      </c>
      <c r="N438">
        <f>IF(交易處理資料__3[[#This Row],[上班時間]]=0,0,交易處理資料__3[[#This Row],[售出工時]]/交易處理資料__3[[#This Row],[上班時間]])</f>
        <v>0</v>
      </c>
      <c r="O438" s="31" t="str">
        <f>IF(交易處理資料__3[[#This Row],[上班時間]]=0,"否","是")</f>
        <v>否</v>
      </c>
    </row>
    <row r="439" spans="1:15" hidden="1">
      <c r="A439" t="s">
        <v>75</v>
      </c>
      <c r="B439" t="s">
        <v>32</v>
      </c>
      <c r="C439">
        <v>7.72</v>
      </c>
      <c r="D439">
        <v>6.12</v>
      </c>
      <c r="E439" s="27">
        <v>126.14</v>
      </c>
      <c r="F439">
        <v>9.73</v>
      </c>
      <c r="G439">
        <v>0.93</v>
      </c>
      <c r="H439">
        <v>10.66</v>
      </c>
      <c r="I439">
        <v>91.28</v>
      </c>
      <c r="J439">
        <v>72.42</v>
      </c>
      <c r="K439" s="9">
        <v>45302</v>
      </c>
      <c r="L439">
        <f xml:space="preserve"> (交易處理資料__3[[#This Row],[售出工時]] * 60) / 5</f>
        <v>92.64</v>
      </c>
      <c r="M439" t="str">
        <f>VLOOKUP(交易處理資料__3[[#This Row],[人員代號]],團隊分組!$B$1:$C$52,2,FALSE)</f>
        <v>快速保養團隊B</v>
      </c>
      <c r="N439">
        <f>IF(交易處理資料__3[[#This Row],[上班時間]]=0,0,交易處理資料__3[[#This Row],[售出工時]]/交易處理資料__3[[#This Row],[上班時間]])</f>
        <v>0.72420262664165103</v>
      </c>
      <c r="O439" s="31" t="str">
        <f>IF(交易處理資料__3[[#This Row],[上班時間]]=0,"否","是")</f>
        <v>是</v>
      </c>
    </row>
    <row r="440" spans="1:15">
      <c r="A440" t="s">
        <v>75</v>
      </c>
      <c r="B440" t="s">
        <v>33</v>
      </c>
      <c r="C440">
        <v>0</v>
      </c>
      <c r="D440">
        <v>0</v>
      </c>
      <c r="E440" s="27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 s="9">
        <v>45302</v>
      </c>
      <c r="L440">
        <f xml:space="preserve"> (交易處理資料__3[[#This Row],[售出工時]] * 60) / 5</f>
        <v>0</v>
      </c>
      <c r="M440" t="str">
        <f>VLOOKUP(交易處理資料__3[[#This Row],[人員代號]],團隊分組!$B$1:$C$52,2,FALSE)</f>
        <v>快速保養團隊B</v>
      </c>
      <c r="N440">
        <f>IF(交易處理資料__3[[#This Row],[上班時間]]=0,0,交易處理資料__3[[#This Row],[售出工時]]/交易處理資料__3[[#This Row],[上班時間]])</f>
        <v>0</v>
      </c>
      <c r="O440" s="31" t="str">
        <f>IF(交易處理資料__3[[#This Row],[上班時間]]=0,"否","是")</f>
        <v>否</v>
      </c>
    </row>
    <row r="441" spans="1:15" hidden="1">
      <c r="A441" t="s">
        <v>75</v>
      </c>
      <c r="B441" t="s">
        <v>34</v>
      </c>
      <c r="C441">
        <v>6.66</v>
      </c>
      <c r="D441">
        <v>6.1</v>
      </c>
      <c r="E441" s="27">
        <v>109.28</v>
      </c>
      <c r="F441">
        <v>7.59</v>
      </c>
      <c r="G441">
        <v>0.51</v>
      </c>
      <c r="H441">
        <v>8.1</v>
      </c>
      <c r="I441">
        <v>93.7</v>
      </c>
      <c r="J441">
        <v>82.3</v>
      </c>
      <c r="K441" s="9">
        <v>45302</v>
      </c>
      <c r="L441">
        <f xml:space="preserve"> (交易處理資料__3[[#This Row],[售出工時]] * 60) / 5</f>
        <v>79.92</v>
      </c>
      <c r="M441" t="str">
        <f>VLOOKUP(交易處理資料__3[[#This Row],[人員代號]],團隊分組!$B$1:$C$52,2,FALSE)</f>
        <v>快速保養團隊A</v>
      </c>
      <c r="N441">
        <f>IF(交易處理資料__3[[#This Row],[上班時間]]=0,0,交易處理資料__3[[#This Row],[售出工時]]/交易處理資料__3[[#This Row],[上班時間]])</f>
        <v>0.8222222222222223</v>
      </c>
      <c r="O441" s="31" t="str">
        <f>IF(交易處理資料__3[[#This Row],[上班時間]]=0,"否","是")</f>
        <v>是</v>
      </c>
    </row>
    <row r="442" spans="1:15" hidden="1">
      <c r="A442" t="s">
        <v>75</v>
      </c>
      <c r="B442" t="s">
        <v>35</v>
      </c>
      <c r="C442">
        <v>1.72</v>
      </c>
      <c r="D442">
        <v>5.85</v>
      </c>
      <c r="E442" s="27">
        <v>29.4</v>
      </c>
      <c r="F442">
        <v>4.2699999999999996</v>
      </c>
      <c r="G442">
        <v>4.05</v>
      </c>
      <c r="H442">
        <v>8.32</v>
      </c>
      <c r="I442">
        <v>51.32</v>
      </c>
      <c r="J442">
        <v>20.67</v>
      </c>
      <c r="K442" s="9">
        <v>45302</v>
      </c>
      <c r="L442">
        <f xml:space="preserve"> (交易處理資料__3[[#This Row],[售出工時]] * 60) / 5</f>
        <v>20.64</v>
      </c>
      <c r="M442" t="str">
        <f>VLOOKUP(交易處理資料__3[[#This Row],[人員代號]],團隊分組!$B$1:$C$52,2,FALSE)</f>
        <v>查修團隊B</v>
      </c>
      <c r="N442">
        <f>IF(交易處理資料__3[[#This Row],[上班時間]]=0,0,交易處理資料__3[[#This Row],[售出工時]]/交易處理資料__3[[#This Row],[上班時間]])</f>
        <v>0.20673076923076922</v>
      </c>
      <c r="O442" s="31" t="str">
        <f>IF(交易處理資料__3[[#This Row],[上班時間]]=0,"否","是")</f>
        <v>是</v>
      </c>
    </row>
    <row r="443" spans="1:15" hidden="1">
      <c r="A443" t="s">
        <v>75</v>
      </c>
      <c r="B443" t="s">
        <v>39</v>
      </c>
      <c r="C443">
        <v>8.08</v>
      </c>
      <c r="D443">
        <v>8.41</v>
      </c>
      <c r="E443" s="27">
        <v>96.11</v>
      </c>
      <c r="F443">
        <v>6.83</v>
      </c>
      <c r="G443">
        <v>3.11</v>
      </c>
      <c r="H443">
        <v>9.94</v>
      </c>
      <c r="I443">
        <v>68.709999999999994</v>
      </c>
      <c r="J443">
        <v>81.319999999999993</v>
      </c>
      <c r="K443" s="9">
        <v>45302</v>
      </c>
      <c r="L443">
        <f xml:space="preserve"> (交易處理資料__3[[#This Row],[售出工時]] * 60) / 5</f>
        <v>96.960000000000008</v>
      </c>
      <c r="M443" t="str">
        <f>VLOOKUP(交易處理資料__3[[#This Row],[人員代號]],團隊分組!$B$1:$C$52,2,FALSE)</f>
        <v>查修團隊A</v>
      </c>
      <c r="N443">
        <f>IF(交易處理資料__3[[#This Row],[上班時間]]=0,0,交易處理資料__3[[#This Row],[售出工時]]/交易處理資料__3[[#This Row],[上班時間]])</f>
        <v>0.81287726358148893</v>
      </c>
      <c r="O443" s="31" t="str">
        <f>IF(交易處理資料__3[[#This Row],[上班時間]]=0,"否","是")</f>
        <v>是</v>
      </c>
    </row>
    <row r="444" spans="1:15" hidden="1">
      <c r="A444" t="s">
        <v>75</v>
      </c>
      <c r="B444" t="s">
        <v>40</v>
      </c>
      <c r="C444">
        <v>3.5</v>
      </c>
      <c r="D444">
        <v>5.38</v>
      </c>
      <c r="E444" s="27">
        <v>65.05</v>
      </c>
      <c r="F444">
        <v>7.01</v>
      </c>
      <c r="G444">
        <v>1.19</v>
      </c>
      <c r="H444">
        <v>8.1999999999999993</v>
      </c>
      <c r="I444">
        <v>85.49</v>
      </c>
      <c r="J444">
        <v>42.68</v>
      </c>
      <c r="K444" s="9">
        <v>45302</v>
      </c>
      <c r="L444">
        <f xml:space="preserve"> (交易處理資料__3[[#This Row],[售出工時]] * 60) / 5</f>
        <v>42</v>
      </c>
      <c r="M444" t="str">
        <f>VLOOKUP(交易處理資料__3[[#This Row],[人員代號]],團隊分組!$B$1:$C$52,2,FALSE)</f>
        <v>查修團隊A</v>
      </c>
      <c r="N444">
        <f>IF(交易處理資料__3[[#This Row],[上班時間]]=0,0,交易處理資料__3[[#This Row],[售出工時]]/交易處理資料__3[[#This Row],[上班時間]])</f>
        <v>0.42682926829268297</v>
      </c>
      <c r="O444" s="31" t="str">
        <f>IF(交易處理資料__3[[#This Row],[上班時間]]=0,"否","是")</f>
        <v>是</v>
      </c>
    </row>
    <row r="445" spans="1:15" hidden="1">
      <c r="A445" t="s">
        <v>75</v>
      </c>
      <c r="B445" t="s">
        <v>41</v>
      </c>
      <c r="C445">
        <v>21.33</v>
      </c>
      <c r="D445">
        <v>4.32</v>
      </c>
      <c r="E445" s="27">
        <v>493.82</v>
      </c>
      <c r="F445">
        <v>7.65</v>
      </c>
      <c r="G445">
        <v>0.5</v>
      </c>
      <c r="H445">
        <v>8.15</v>
      </c>
      <c r="I445">
        <v>93.87</v>
      </c>
      <c r="J445">
        <v>261.76</v>
      </c>
      <c r="K445" s="9">
        <v>45302</v>
      </c>
      <c r="L445">
        <f xml:space="preserve"> (交易處理資料__3[[#This Row],[售出工時]] * 60) / 5</f>
        <v>255.95999999999998</v>
      </c>
      <c r="M445" t="str">
        <f>VLOOKUP(交易處理資料__3[[#This Row],[人員代號]],團隊分組!$B$1:$C$52,2,FALSE)</f>
        <v>快速保養團隊A</v>
      </c>
      <c r="N445">
        <f>IF(交易處理資料__3[[#This Row],[上班時間]]=0,0,交易處理資料__3[[#This Row],[售出工時]]/交易處理資料__3[[#This Row],[上班時間]])</f>
        <v>2.617177914110429</v>
      </c>
      <c r="O445" s="31" t="str">
        <f>IF(交易處理資料__3[[#This Row],[上班時間]]=0,"否","是")</f>
        <v>是</v>
      </c>
    </row>
    <row r="446" spans="1:15" hidden="1">
      <c r="A446" t="s">
        <v>75</v>
      </c>
      <c r="B446" t="s">
        <v>42</v>
      </c>
      <c r="C446">
        <v>0</v>
      </c>
      <c r="D446">
        <v>0</v>
      </c>
      <c r="E446" s="27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 s="9">
        <v>45302</v>
      </c>
      <c r="L446">
        <f xml:space="preserve"> (交易處理資料__3[[#This Row],[售出工時]] * 60) / 5</f>
        <v>0</v>
      </c>
      <c r="M446" t="str">
        <f>VLOOKUP(交易處理資料__3[[#This Row],[人員代號]],團隊分組!$B$1:$C$52,2,FALSE)</f>
        <v>快速保養團隊A</v>
      </c>
      <c r="N446">
        <f>IF(交易處理資料__3[[#This Row],[上班時間]]=0,0,交易處理資料__3[[#This Row],[售出工時]]/交易處理資料__3[[#This Row],[上班時間]])</f>
        <v>0</v>
      </c>
      <c r="O446" s="31" t="str">
        <f>IF(交易處理資料__3[[#This Row],[上班時間]]=0,"否","是")</f>
        <v>否</v>
      </c>
    </row>
    <row r="447" spans="1:15" hidden="1">
      <c r="A447" t="s">
        <v>75</v>
      </c>
      <c r="B447" t="s">
        <v>44</v>
      </c>
      <c r="C447">
        <v>5.47</v>
      </c>
      <c r="D447">
        <v>4.8600000000000003</v>
      </c>
      <c r="E447" s="27">
        <v>112.55</v>
      </c>
      <c r="F447">
        <v>8.93</v>
      </c>
      <c r="G447">
        <v>1.72</v>
      </c>
      <c r="H447">
        <v>10.65</v>
      </c>
      <c r="I447">
        <v>83.85</v>
      </c>
      <c r="J447">
        <v>51.36</v>
      </c>
      <c r="K447" s="9">
        <v>45302</v>
      </c>
      <c r="L447">
        <f xml:space="preserve"> (交易處理資料__3[[#This Row],[售出工時]] * 60) / 5</f>
        <v>65.64</v>
      </c>
      <c r="M447" t="str">
        <f>VLOOKUP(交易處理資料__3[[#This Row],[人員代號]],團隊分組!$B$1:$C$52,2,FALSE)</f>
        <v>快速保養團隊B</v>
      </c>
      <c r="N447">
        <f>IF(交易處理資料__3[[#This Row],[上班時間]]=0,0,交易處理資料__3[[#This Row],[售出工時]]/交易處理資料__3[[#This Row],[上班時間]])</f>
        <v>0.51361502347417831</v>
      </c>
      <c r="O447" s="31" t="str">
        <f>IF(交易處理資料__3[[#This Row],[上班時間]]=0,"否","是")</f>
        <v>是</v>
      </c>
    </row>
    <row r="448" spans="1:15" hidden="1">
      <c r="A448" t="s">
        <v>75</v>
      </c>
      <c r="B448" t="s">
        <v>46</v>
      </c>
      <c r="C448">
        <v>2.25</v>
      </c>
      <c r="D448">
        <v>4.3899999999999997</v>
      </c>
      <c r="E448" s="27">
        <v>51.25</v>
      </c>
      <c r="F448">
        <v>6.1</v>
      </c>
      <c r="G448">
        <v>1.89</v>
      </c>
      <c r="H448">
        <v>7.99</v>
      </c>
      <c r="I448">
        <v>76.349999999999994</v>
      </c>
      <c r="J448">
        <v>28.16</v>
      </c>
      <c r="K448" s="9">
        <v>45302</v>
      </c>
      <c r="L448">
        <f xml:space="preserve"> (交易處理資料__3[[#This Row],[售出工時]] * 60) / 5</f>
        <v>27</v>
      </c>
      <c r="M448" t="str">
        <f>VLOOKUP(交易處理資料__3[[#This Row],[人員代號]],團隊分組!$B$1:$C$52,2,FALSE)</f>
        <v>查修團隊B</v>
      </c>
      <c r="N448">
        <f>IF(交易處理資料__3[[#This Row],[上班時間]]=0,0,交易處理資料__3[[#This Row],[售出工時]]/交易處理資料__3[[#This Row],[上班時間]])</f>
        <v>0.28160200250312889</v>
      </c>
      <c r="O448" s="31" t="str">
        <f>IF(交易處理資料__3[[#This Row],[上班時間]]=0,"否","是")</f>
        <v>是</v>
      </c>
    </row>
    <row r="449" spans="1:15" hidden="1">
      <c r="A449" t="s">
        <v>75</v>
      </c>
      <c r="B449" t="s">
        <v>48</v>
      </c>
      <c r="C449">
        <v>5.41</v>
      </c>
      <c r="D449">
        <v>4.63</v>
      </c>
      <c r="E449" s="27">
        <v>116.99</v>
      </c>
      <c r="F449">
        <v>7.3</v>
      </c>
      <c r="G449">
        <v>2.58</v>
      </c>
      <c r="H449">
        <v>9.8800000000000008</v>
      </c>
      <c r="I449">
        <v>73.89</v>
      </c>
      <c r="J449">
        <v>54.82</v>
      </c>
      <c r="K449" s="9">
        <v>45302</v>
      </c>
      <c r="L449">
        <f xml:space="preserve"> (交易處理資料__3[[#This Row],[售出工時]] * 60) / 5</f>
        <v>64.92</v>
      </c>
      <c r="M449" t="str">
        <f>VLOOKUP(交易處理資料__3[[#This Row],[人員代號]],團隊分組!$B$1:$C$52,2,FALSE)</f>
        <v>查修團隊A</v>
      </c>
      <c r="N449">
        <f>IF(交易處理資料__3[[#This Row],[上班時間]]=0,0,交易處理資料__3[[#This Row],[售出工時]]/交易處理資料__3[[#This Row],[上班時間]])</f>
        <v>0.54757085020242913</v>
      </c>
      <c r="O449" s="31" t="str">
        <f>IF(交易處理資料__3[[#This Row],[上班時間]]=0,"否","是")</f>
        <v>是</v>
      </c>
    </row>
    <row r="450" spans="1:15" hidden="1">
      <c r="A450" t="s">
        <v>75</v>
      </c>
      <c r="B450" t="s">
        <v>51</v>
      </c>
      <c r="C450">
        <v>0</v>
      </c>
      <c r="D450">
        <v>0</v>
      </c>
      <c r="E450" s="27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 s="9">
        <v>45302</v>
      </c>
      <c r="L450">
        <f xml:space="preserve"> (交易處理資料__3[[#This Row],[售出工時]] * 60) / 5</f>
        <v>0</v>
      </c>
      <c r="M450" t="str">
        <f>VLOOKUP(交易處理資料__3[[#This Row],[人員代號]],團隊分組!$B$1:$C$52,2,FALSE)</f>
        <v>無效數據</v>
      </c>
      <c r="N450">
        <f>IF(交易處理資料__3[[#This Row],[上班時間]]=0,0,交易處理資料__3[[#This Row],[售出工時]]/交易處理資料__3[[#This Row],[上班時間]])</f>
        <v>0</v>
      </c>
      <c r="O450" s="31" t="str">
        <f>IF(交易處理資料__3[[#This Row],[上班時間]]=0,"否","是")</f>
        <v>否</v>
      </c>
    </row>
    <row r="451" spans="1:15" hidden="1">
      <c r="A451" t="s">
        <v>75</v>
      </c>
      <c r="B451" t="s">
        <v>52</v>
      </c>
      <c r="C451">
        <v>0</v>
      </c>
      <c r="D451">
        <v>0</v>
      </c>
      <c r="E451" s="27">
        <v>0</v>
      </c>
      <c r="F451">
        <v>7.89</v>
      </c>
      <c r="G451">
        <v>0.1</v>
      </c>
      <c r="H451">
        <v>7.99</v>
      </c>
      <c r="I451">
        <v>98.75</v>
      </c>
      <c r="J451">
        <v>0</v>
      </c>
      <c r="K451" s="9">
        <v>45302</v>
      </c>
      <c r="L451">
        <f xml:space="preserve"> (交易處理資料__3[[#This Row],[售出工時]] * 60) / 5</f>
        <v>0</v>
      </c>
      <c r="M451" t="str">
        <f>VLOOKUP(交易處理資料__3[[#This Row],[人員代號]],團隊分組!$B$1:$C$52,2,FALSE)</f>
        <v>查修團隊B</v>
      </c>
      <c r="N451">
        <f>IF(交易處理資料__3[[#This Row],[上班時間]]=0,0,交易處理資料__3[[#This Row],[售出工時]]/交易處理資料__3[[#This Row],[上班時間]])</f>
        <v>0</v>
      </c>
      <c r="O451" s="31" t="str">
        <f>IF(交易處理資料__3[[#This Row],[上班時間]]=0,"否","是")</f>
        <v>是</v>
      </c>
    </row>
    <row r="452" spans="1:15" hidden="1">
      <c r="A452" t="s">
        <v>75</v>
      </c>
      <c r="B452" t="s">
        <v>53</v>
      </c>
      <c r="C452">
        <v>2.58</v>
      </c>
      <c r="D452">
        <v>2.98</v>
      </c>
      <c r="E452" s="27">
        <v>86.68</v>
      </c>
      <c r="F452">
        <v>7.32</v>
      </c>
      <c r="G452">
        <v>2.31</v>
      </c>
      <c r="H452">
        <v>9.6300000000000008</v>
      </c>
      <c r="I452">
        <v>76.010000000000005</v>
      </c>
      <c r="J452">
        <v>26.83</v>
      </c>
      <c r="K452" s="9">
        <v>45302</v>
      </c>
      <c r="L452">
        <f xml:space="preserve"> (交易處理資料__3[[#This Row],[售出工時]] * 60) / 5</f>
        <v>30.96</v>
      </c>
      <c r="M452" t="str">
        <f>VLOOKUP(交易處理資料__3[[#This Row],[人員代號]],團隊分組!$B$1:$C$52,2,FALSE)</f>
        <v>查修團隊A</v>
      </c>
      <c r="N452">
        <f>IF(交易處理資料__3[[#This Row],[上班時間]]=0,0,交易處理資料__3[[#This Row],[售出工時]]/交易處理資料__3[[#This Row],[上班時間]])</f>
        <v>0.26791277258566976</v>
      </c>
      <c r="O452" s="31" t="str">
        <f>IF(交易處理資料__3[[#This Row],[上班時間]]=0,"否","是")</f>
        <v>是</v>
      </c>
    </row>
    <row r="453" spans="1:15" hidden="1">
      <c r="A453" s="10" t="s">
        <v>73</v>
      </c>
      <c r="B453" t="s">
        <v>5</v>
      </c>
      <c r="C453">
        <v>5.66</v>
      </c>
      <c r="D453">
        <v>5.33</v>
      </c>
      <c r="E453" s="27">
        <v>106.19</v>
      </c>
      <c r="F453">
        <v>7.75</v>
      </c>
      <c r="G453">
        <v>0.23</v>
      </c>
      <c r="H453">
        <v>7.98</v>
      </c>
      <c r="I453">
        <v>97.12</v>
      </c>
      <c r="J453">
        <v>70.930000000000007</v>
      </c>
      <c r="K453" s="9">
        <v>45303</v>
      </c>
      <c r="L453">
        <f xml:space="preserve"> (交易處理資料__3[[#This Row],[售出工時]] * 60) / 5</f>
        <v>67.92</v>
      </c>
      <c r="M453" t="str">
        <f>VLOOKUP(交易處理資料__3[[#This Row],[人員代號]],團隊分組!$B$1:$C$52,2,FALSE)</f>
        <v>噴漆維修組</v>
      </c>
      <c r="N453">
        <f>IF(交易處理資料__3[[#This Row],[上班時間]]=0,0,交易處理資料__3[[#This Row],[售出工時]]/交易處理資料__3[[#This Row],[上班時間]])</f>
        <v>0.7092731829573935</v>
      </c>
      <c r="O453" s="31" t="str">
        <f>IF(交易處理資料__3[[#This Row],[上班時間]]=0,"否","是")</f>
        <v>是</v>
      </c>
    </row>
    <row r="454" spans="1:15" hidden="1">
      <c r="A454" s="10" t="s">
        <v>73</v>
      </c>
      <c r="B454" t="s">
        <v>7</v>
      </c>
      <c r="C454">
        <v>5.68</v>
      </c>
      <c r="D454">
        <v>5.35</v>
      </c>
      <c r="E454" s="27">
        <v>106.16</v>
      </c>
      <c r="F454">
        <v>7.75</v>
      </c>
      <c r="G454">
        <v>0.23</v>
      </c>
      <c r="H454">
        <v>7.98</v>
      </c>
      <c r="I454">
        <v>97.12</v>
      </c>
      <c r="J454">
        <v>71.180000000000007</v>
      </c>
      <c r="K454" s="9">
        <v>45303</v>
      </c>
      <c r="L454">
        <f xml:space="preserve"> (交易處理資料__3[[#This Row],[售出工時]] * 60) / 5</f>
        <v>68.16</v>
      </c>
      <c r="M454" t="str">
        <f>VLOOKUP(交易處理資料__3[[#This Row],[人員代號]],團隊分組!$B$1:$C$52,2,FALSE)</f>
        <v>噴漆維修組</v>
      </c>
      <c r="N454">
        <f>IF(交易處理資料__3[[#This Row],[上班時間]]=0,0,交易處理資料__3[[#This Row],[售出工時]]/交易處理資料__3[[#This Row],[上班時間]])</f>
        <v>0.71177944862155385</v>
      </c>
      <c r="O454" s="31" t="str">
        <f>IF(交易處理資料__3[[#This Row],[上班時間]]=0,"否","是")</f>
        <v>是</v>
      </c>
    </row>
    <row r="455" spans="1:15" hidden="1">
      <c r="A455" t="s">
        <v>74</v>
      </c>
      <c r="B455" t="s">
        <v>14</v>
      </c>
      <c r="C455">
        <v>2.02</v>
      </c>
      <c r="D455">
        <v>0.9</v>
      </c>
      <c r="E455" s="27">
        <v>224.44</v>
      </c>
      <c r="F455">
        <v>3.07</v>
      </c>
      <c r="G455">
        <v>4.9800000000000004</v>
      </c>
      <c r="H455">
        <v>8.0500000000000007</v>
      </c>
      <c r="I455">
        <v>38.14</v>
      </c>
      <c r="J455">
        <v>25.09</v>
      </c>
      <c r="K455" s="9">
        <v>45303</v>
      </c>
      <c r="L455">
        <f xml:space="preserve"> (交易處理資料__3[[#This Row],[售出工時]] * 60) / 5</f>
        <v>24.240000000000002</v>
      </c>
      <c r="M455" t="str">
        <f>VLOOKUP(交易處理資料__3[[#This Row],[人員代號]],團隊分組!$B$1:$C$52,2,FALSE)</f>
        <v>鈑金維修組</v>
      </c>
      <c r="N455">
        <f>IF(交易處理資料__3[[#This Row],[上班時間]]=0,0,交易處理資料__3[[#This Row],[售出工時]]/交易處理資料__3[[#This Row],[上班時間]])</f>
        <v>0.2509316770186335</v>
      </c>
      <c r="O455" s="31" t="str">
        <f>IF(交易處理資料__3[[#This Row],[上班時間]]=0,"否","是")</f>
        <v>是</v>
      </c>
    </row>
    <row r="456" spans="1:15" hidden="1">
      <c r="A456" t="s">
        <v>74</v>
      </c>
      <c r="B456" t="s">
        <v>15</v>
      </c>
      <c r="C456">
        <v>0.71</v>
      </c>
      <c r="D456">
        <v>0.15</v>
      </c>
      <c r="E456" s="27">
        <v>473.33</v>
      </c>
      <c r="F456">
        <v>6.04</v>
      </c>
      <c r="G456">
        <v>2.0099999999999998</v>
      </c>
      <c r="H456">
        <v>8.0500000000000007</v>
      </c>
      <c r="I456">
        <v>75.03</v>
      </c>
      <c r="J456">
        <v>8.82</v>
      </c>
      <c r="K456" s="9">
        <v>45303</v>
      </c>
      <c r="L456">
        <f xml:space="preserve"> (交易處理資料__3[[#This Row],[售出工時]] * 60) / 5</f>
        <v>8.52</v>
      </c>
      <c r="M456" t="str">
        <f>VLOOKUP(交易處理資料__3[[#This Row],[人員代號]],團隊分組!$B$1:$C$52,2,FALSE)</f>
        <v>鈑金維修組</v>
      </c>
      <c r="N456">
        <f>IF(交易處理資料__3[[#This Row],[上班時間]]=0,0,交易處理資料__3[[#This Row],[售出工時]]/交易處理資料__3[[#This Row],[上班時間]])</f>
        <v>8.819875776397515E-2</v>
      </c>
      <c r="O456" s="31" t="str">
        <f>IF(交易處理資料__3[[#This Row],[上班時間]]=0,"否","是")</f>
        <v>是</v>
      </c>
    </row>
    <row r="457" spans="1:15" hidden="1">
      <c r="A457" t="s">
        <v>75</v>
      </c>
      <c r="B457" t="s">
        <v>18</v>
      </c>
      <c r="C457">
        <v>2.25</v>
      </c>
      <c r="D457">
        <v>4.28</v>
      </c>
      <c r="E457" s="27">
        <v>52.57</v>
      </c>
      <c r="F457">
        <v>6.28</v>
      </c>
      <c r="G457">
        <v>1.69</v>
      </c>
      <c r="H457">
        <v>7.97</v>
      </c>
      <c r="I457">
        <v>78.8</v>
      </c>
      <c r="J457">
        <v>28.23</v>
      </c>
      <c r="K457" s="9">
        <v>45303</v>
      </c>
      <c r="L457">
        <f xml:space="preserve"> (交易處理資料__3[[#This Row],[售出工時]] * 60) / 5</f>
        <v>27</v>
      </c>
      <c r="M457" t="str">
        <f>VLOOKUP(交易處理資料__3[[#This Row],[人員代號]],團隊分組!$B$1:$C$52,2,FALSE)</f>
        <v>查修團隊B</v>
      </c>
      <c r="N457">
        <f>IF(交易處理資料__3[[#This Row],[上班時間]]=0,0,交易處理資料__3[[#This Row],[售出工時]]/交易處理資料__3[[#This Row],[上班時間]])</f>
        <v>0.2823086574654956</v>
      </c>
      <c r="O457" s="31" t="str">
        <f>IF(交易處理資料__3[[#This Row],[上班時間]]=0,"否","是")</f>
        <v>是</v>
      </c>
    </row>
    <row r="458" spans="1:15" hidden="1">
      <c r="A458" t="s">
        <v>75</v>
      </c>
      <c r="B458" t="s">
        <v>19</v>
      </c>
      <c r="C458">
        <v>4.13</v>
      </c>
      <c r="D458">
        <v>4.55</v>
      </c>
      <c r="E458" s="27">
        <v>90.76</v>
      </c>
      <c r="F458">
        <v>5.48</v>
      </c>
      <c r="G458">
        <v>3.03</v>
      </c>
      <c r="H458">
        <v>8.51</v>
      </c>
      <c r="I458">
        <v>64.39</v>
      </c>
      <c r="J458">
        <v>48.53</v>
      </c>
      <c r="K458" s="9">
        <v>45303</v>
      </c>
      <c r="L458">
        <f xml:space="preserve"> (交易處理資料__3[[#This Row],[售出工時]] * 60) / 5</f>
        <v>49.559999999999995</v>
      </c>
      <c r="M458" t="str">
        <f>VLOOKUP(交易處理資料__3[[#This Row],[人員代號]],團隊分組!$B$1:$C$52,2,FALSE)</f>
        <v>查修團隊A</v>
      </c>
      <c r="N458">
        <f>IF(交易處理資料__3[[#This Row],[上班時間]]=0,0,交易處理資料__3[[#This Row],[售出工時]]/交易處理資料__3[[#This Row],[上班時間]])</f>
        <v>0.48531139835487663</v>
      </c>
      <c r="O458" s="31" t="str">
        <f>IF(交易處理資料__3[[#This Row],[上班時間]]=0,"否","是")</f>
        <v>是</v>
      </c>
    </row>
    <row r="459" spans="1:15" hidden="1">
      <c r="A459" t="s">
        <v>75</v>
      </c>
      <c r="B459" t="s">
        <v>20</v>
      </c>
      <c r="C459">
        <v>1.18</v>
      </c>
      <c r="D459">
        <v>0.6</v>
      </c>
      <c r="E459" s="27">
        <v>196.66</v>
      </c>
      <c r="F459">
        <v>0.6</v>
      </c>
      <c r="G459">
        <v>7.69</v>
      </c>
      <c r="H459">
        <v>8.2899999999999991</v>
      </c>
      <c r="I459">
        <v>7.24</v>
      </c>
      <c r="J459">
        <v>14.23</v>
      </c>
      <c r="K459" s="9">
        <v>45303</v>
      </c>
      <c r="L459">
        <f xml:space="preserve"> (交易處理資料__3[[#This Row],[售出工時]] * 60) / 5</f>
        <v>14.16</v>
      </c>
      <c r="M459" t="str">
        <f>VLOOKUP(交易處理資料__3[[#This Row],[人員代號]],團隊分組!$B$1:$C$52,2,FALSE)</f>
        <v>查修團隊B</v>
      </c>
      <c r="N459">
        <f>IF(交易處理資料__3[[#This Row],[上班時間]]=0,0,交易處理資料__3[[#This Row],[售出工時]]/交易處理資料__3[[#This Row],[上班時間]])</f>
        <v>0.14234016887816647</v>
      </c>
      <c r="O459" s="31" t="str">
        <f>IF(交易處理資料__3[[#This Row],[上班時間]]=0,"否","是")</f>
        <v>是</v>
      </c>
    </row>
    <row r="460" spans="1:15" hidden="1">
      <c r="A460" t="s">
        <v>75</v>
      </c>
      <c r="B460" t="s">
        <v>22</v>
      </c>
      <c r="C460">
        <v>0</v>
      </c>
      <c r="D460">
        <v>0</v>
      </c>
      <c r="E460" s="27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s="9">
        <v>45303</v>
      </c>
      <c r="L460">
        <f xml:space="preserve"> (交易處理資料__3[[#This Row],[售出工時]] * 60) / 5</f>
        <v>0</v>
      </c>
      <c r="M460" t="str">
        <f>VLOOKUP(交易處理資料__3[[#This Row],[人員代號]],團隊分組!$B$1:$C$52,2,FALSE)</f>
        <v>快速保養團隊A</v>
      </c>
      <c r="N460">
        <f>IF(交易處理資料__3[[#This Row],[上班時間]]=0,0,交易處理資料__3[[#This Row],[售出工時]]/交易處理資料__3[[#This Row],[上班時間]])</f>
        <v>0</v>
      </c>
      <c r="O460" s="31" t="str">
        <f>IF(交易處理資料__3[[#This Row],[上班時間]]=0,"否","是")</f>
        <v>否</v>
      </c>
    </row>
    <row r="461" spans="1:15" hidden="1">
      <c r="A461" t="s">
        <v>75</v>
      </c>
      <c r="B461" t="s">
        <v>24</v>
      </c>
      <c r="C461">
        <v>12.13</v>
      </c>
      <c r="D461">
        <v>6.93</v>
      </c>
      <c r="E461" s="27">
        <v>175.03</v>
      </c>
      <c r="F461">
        <v>9.85</v>
      </c>
      <c r="G461">
        <v>1.29</v>
      </c>
      <c r="H461">
        <v>11.14</v>
      </c>
      <c r="I461">
        <v>88.42</v>
      </c>
      <c r="J461">
        <v>108.89</v>
      </c>
      <c r="K461" s="9">
        <v>45303</v>
      </c>
      <c r="L461">
        <f xml:space="preserve"> (交易處理資料__3[[#This Row],[售出工時]] * 60) / 5</f>
        <v>145.56</v>
      </c>
      <c r="M461" t="str">
        <f>VLOOKUP(交易處理資料__3[[#This Row],[人員代號]],團隊分組!$B$1:$C$52,2,FALSE)</f>
        <v>快速保養團隊A</v>
      </c>
      <c r="N461">
        <f>IF(交易處理資料__3[[#This Row],[上班時間]]=0,0,交易處理資料__3[[#This Row],[售出工時]]/交易處理資料__3[[#This Row],[上班時間]])</f>
        <v>1.0888689407540395</v>
      </c>
      <c r="O461" s="31" t="str">
        <f>IF(交易處理資料__3[[#This Row],[上班時間]]=0,"否","是")</f>
        <v>是</v>
      </c>
    </row>
    <row r="462" spans="1:15" hidden="1">
      <c r="A462" t="s">
        <v>75</v>
      </c>
      <c r="B462" t="s">
        <v>25</v>
      </c>
      <c r="C462">
        <v>1.5</v>
      </c>
      <c r="D462">
        <v>0.77</v>
      </c>
      <c r="E462" s="27">
        <v>194.8</v>
      </c>
      <c r="F462">
        <v>5.59</v>
      </c>
      <c r="G462">
        <v>2.29</v>
      </c>
      <c r="H462">
        <v>7.88</v>
      </c>
      <c r="I462">
        <v>70.94</v>
      </c>
      <c r="J462">
        <v>19.04</v>
      </c>
      <c r="K462" s="9">
        <v>45303</v>
      </c>
      <c r="L462">
        <f xml:space="preserve"> (交易處理資料__3[[#This Row],[售出工時]] * 60) / 5</f>
        <v>18</v>
      </c>
      <c r="M462" t="str">
        <f>VLOOKUP(交易處理資料__3[[#This Row],[人員代號]],團隊分組!$B$1:$C$52,2,FALSE)</f>
        <v>查修團隊A</v>
      </c>
      <c r="N462">
        <f>IF(交易處理資料__3[[#This Row],[上班時間]]=0,0,交易處理資料__3[[#This Row],[售出工時]]/交易處理資料__3[[#This Row],[上班時間]])</f>
        <v>0.19035532994923859</v>
      </c>
      <c r="O462" s="31" t="str">
        <f>IF(交易處理資料__3[[#This Row],[上班時間]]=0,"否","是")</f>
        <v>是</v>
      </c>
    </row>
    <row r="463" spans="1:15" hidden="1">
      <c r="A463" t="s">
        <v>75</v>
      </c>
      <c r="B463" t="s">
        <v>26</v>
      </c>
      <c r="C463">
        <v>2.2200000000000002</v>
      </c>
      <c r="D463">
        <v>4.7699999999999996</v>
      </c>
      <c r="E463" s="27">
        <v>46.54</v>
      </c>
      <c r="F463">
        <v>2.15</v>
      </c>
      <c r="G463">
        <v>7.97</v>
      </c>
      <c r="H463">
        <v>10.119999999999999</v>
      </c>
      <c r="I463">
        <v>21.25</v>
      </c>
      <c r="J463">
        <v>21.94</v>
      </c>
      <c r="K463" s="9">
        <v>45303</v>
      </c>
      <c r="L463">
        <f xml:space="preserve"> (交易處理資料__3[[#This Row],[售出工時]] * 60) / 5</f>
        <v>26.640000000000004</v>
      </c>
      <c r="M463" t="str">
        <f>VLOOKUP(交易處理資料__3[[#This Row],[人員代號]],團隊分組!$B$1:$C$52,2,FALSE)</f>
        <v>查修團隊B</v>
      </c>
      <c r="N463">
        <f>IF(交易處理資料__3[[#This Row],[上班時間]]=0,0,交易處理資料__3[[#This Row],[售出工時]]/交易處理資料__3[[#This Row],[上班時間]])</f>
        <v>0.21936758893280636</v>
      </c>
      <c r="O463" s="31" t="str">
        <f>IF(交易處理資料__3[[#This Row],[上班時間]]=0,"否","是")</f>
        <v>是</v>
      </c>
    </row>
    <row r="464" spans="1:15" hidden="1">
      <c r="A464" t="s">
        <v>75</v>
      </c>
      <c r="B464" t="s">
        <v>28</v>
      </c>
      <c r="C464">
        <v>12</v>
      </c>
      <c r="D464">
        <v>8.7200000000000006</v>
      </c>
      <c r="E464" s="27">
        <v>137.61000000000001</v>
      </c>
      <c r="F464">
        <v>6.99</v>
      </c>
      <c r="G464">
        <v>2.54</v>
      </c>
      <c r="H464">
        <v>9.5299999999999994</v>
      </c>
      <c r="I464">
        <v>73.349999999999994</v>
      </c>
      <c r="J464">
        <v>125.92</v>
      </c>
      <c r="K464" s="9">
        <v>45303</v>
      </c>
      <c r="L464">
        <f xml:space="preserve"> (交易處理資料__3[[#This Row],[售出工時]] * 60) / 5</f>
        <v>144</v>
      </c>
      <c r="M464" t="str">
        <f>VLOOKUP(交易處理資料__3[[#This Row],[人員代號]],團隊分組!$B$1:$C$52,2,FALSE)</f>
        <v>快速保養團隊A</v>
      </c>
      <c r="N464">
        <f>IF(交易處理資料__3[[#This Row],[上班時間]]=0,0,交易處理資料__3[[#This Row],[售出工時]]/交易處理資料__3[[#This Row],[上班時間]])</f>
        <v>1.2591815320041972</v>
      </c>
      <c r="O464" s="31" t="str">
        <f>IF(交易處理資料__3[[#This Row],[上班時間]]=0,"否","是")</f>
        <v>是</v>
      </c>
    </row>
    <row r="465" spans="1:15" hidden="1">
      <c r="A465" t="s">
        <v>75</v>
      </c>
      <c r="B465" t="s">
        <v>31</v>
      </c>
      <c r="C465">
        <v>0</v>
      </c>
      <c r="D465">
        <v>0</v>
      </c>
      <c r="E465" s="27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s="9">
        <v>45303</v>
      </c>
      <c r="L465">
        <f xml:space="preserve"> (交易處理資料__3[[#This Row],[售出工時]] * 60) / 5</f>
        <v>0</v>
      </c>
      <c r="M465" t="str">
        <f>VLOOKUP(交易處理資料__3[[#This Row],[人員代號]],團隊分組!$B$1:$C$52,2,FALSE)</f>
        <v>快速保養團隊A</v>
      </c>
      <c r="N465">
        <f>IF(交易處理資料__3[[#This Row],[上班時間]]=0,0,交易處理資料__3[[#This Row],[售出工時]]/交易處理資料__3[[#This Row],[上班時間]])</f>
        <v>0</v>
      </c>
      <c r="O465" s="31" t="str">
        <f>IF(交易處理資料__3[[#This Row],[上班時間]]=0,"否","是")</f>
        <v>否</v>
      </c>
    </row>
    <row r="466" spans="1:15">
      <c r="A466" t="s">
        <v>75</v>
      </c>
      <c r="B466" t="s">
        <v>33</v>
      </c>
      <c r="C466">
        <v>0</v>
      </c>
      <c r="D466">
        <v>0</v>
      </c>
      <c r="E466" s="27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s="9">
        <v>45303</v>
      </c>
      <c r="L466">
        <f xml:space="preserve"> (交易處理資料__3[[#This Row],[售出工時]] * 60) / 5</f>
        <v>0</v>
      </c>
      <c r="M466" t="str">
        <f>VLOOKUP(交易處理資料__3[[#This Row],[人員代號]],團隊分組!$B$1:$C$52,2,FALSE)</f>
        <v>快速保養團隊B</v>
      </c>
      <c r="N466">
        <f>IF(交易處理資料__3[[#This Row],[上班時間]]=0,0,交易處理資料__3[[#This Row],[售出工時]]/交易處理資料__3[[#This Row],[上班時間]])</f>
        <v>0</v>
      </c>
      <c r="O466" s="31" t="str">
        <f>IF(交易處理資料__3[[#This Row],[上班時間]]=0,"否","是")</f>
        <v>否</v>
      </c>
    </row>
    <row r="467" spans="1:15" hidden="1">
      <c r="A467" t="s">
        <v>75</v>
      </c>
      <c r="B467" t="s">
        <v>35</v>
      </c>
      <c r="C467">
        <v>3.25</v>
      </c>
      <c r="D467">
        <v>6.61</v>
      </c>
      <c r="E467" s="27">
        <v>49.16</v>
      </c>
      <c r="F467">
        <v>6.11</v>
      </c>
      <c r="G467">
        <v>2.19</v>
      </c>
      <c r="H467">
        <v>8.3000000000000007</v>
      </c>
      <c r="I467">
        <v>73.61</v>
      </c>
      <c r="J467">
        <v>39.159999999999997</v>
      </c>
      <c r="K467" s="9">
        <v>45303</v>
      </c>
      <c r="L467">
        <f xml:space="preserve"> (交易處理資料__3[[#This Row],[售出工時]] * 60) / 5</f>
        <v>39</v>
      </c>
      <c r="M467" t="str">
        <f>VLOOKUP(交易處理資料__3[[#This Row],[人員代號]],團隊分組!$B$1:$C$52,2,FALSE)</f>
        <v>查修團隊B</v>
      </c>
      <c r="N467">
        <f>IF(交易處理資料__3[[#This Row],[上班時間]]=0,0,交易處理資料__3[[#This Row],[售出工時]]/交易處理資料__3[[#This Row],[上班時間]])</f>
        <v>0.39156626506024095</v>
      </c>
      <c r="O467" s="31" t="str">
        <f>IF(交易處理資料__3[[#This Row],[上班時間]]=0,"否","是")</f>
        <v>是</v>
      </c>
    </row>
    <row r="468" spans="1:15" hidden="1">
      <c r="A468" t="s">
        <v>75</v>
      </c>
      <c r="B468" t="s">
        <v>36</v>
      </c>
      <c r="C468">
        <v>0</v>
      </c>
      <c r="D468">
        <v>0</v>
      </c>
      <c r="E468" s="27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 s="9">
        <v>45303</v>
      </c>
      <c r="L468">
        <f xml:space="preserve"> (交易處理資料__3[[#This Row],[售出工時]] * 60) / 5</f>
        <v>0</v>
      </c>
      <c r="M468" t="str">
        <f>VLOOKUP(交易處理資料__3[[#This Row],[人員代號]],團隊分組!$B$1:$C$52,2,FALSE)</f>
        <v>查修團隊B</v>
      </c>
      <c r="N468">
        <f>IF(交易處理資料__3[[#This Row],[上班時間]]=0,0,交易處理資料__3[[#This Row],[售出工時]]/交易處理資料__3[[#This Row],[上班時間]])</f>
        <v>0</v>
      </c>
      <c r="O468" s="31" t="str">
        <f>IF(交易處理資料__3[[#This Row],[上班時間]]=0,"否","是")</f>
        <v>否</v>
      </c>
    </row>
    <row r="469" spans="1:15" hidden="1">
      <c r="A469" t="s">
        <v>75</v>
      </c>
      <c r="B469" t="s">
        <v>37</v>
      </c>
      <c r="C469">
        <v>5.41</v>
      </c>
      <c r="D469">
        <v>5.31</v>
      </c>
      <c r="E469" s="27">
        <v>102</v>
      </c>
      <c r="F469">
        <v>6.67</v>
      </c>
      <c r="G469">
        <v>1.17</v>
      </c>
      <c r="H469">
        <v>7.84</v>
      </c>
      <c r="I469">
        <v>85.08</v>
      </c>
      <c r="J469">
        <v>69.09</v>
      </c>
      <c r="K469" s="9">
        <v>45303</v>
      </c>
      <c r="L469">
        <f xml:space="preserve"> (交易處理資料__3[[#This Row],[售出工時]] * 60) / 5</f>
        <v>64.92</v>
      </c>
      <c r="M469" t="str">
        <f>VLOOKUP(交易處理資料__3[[#This Row],[人員代號]],團隊分組!$B$1:$C$52,2,FALSE)</f>
        <v>查修團隊A</v>
      </c>
      <c r="N469">
        <f>IF(交易處理資料__3[[#This Row],[上班時間]]=0,0,交易處理資料__3[[#This Row],[售出工時]]/交易處理資料__3[[#This Row],[上班時間]])</f>
        <v>0.69005102040816335</v>
      </c>
      <c r="O469" s="31" t="str">
        <f>IF(交易處理資料__3[[#This Row],[上班時間]]=0,"否","是")</f>
        <v>是</v>
      </c>
    </row>
    <row r="470" spans="1:15" hidden="1">
      <c r="A470" t="s">
        <v>75</v>
      </c>
      <c r="B470" t="s">
        <v>38</v>
      </c>
      <c r="C470">
        <v>0</v>
      </c>
      <c r="D470">
        <v>0</v>
      </c>
      <c r="E470" s="27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s="9">
        <v>45303</v>
      </c>
      <c r="L470">
        <f xml:space="preserve"> (交易處理資料__3[[#This Row],[售出工時]] * 60) / 5</f>
        <v>0</v>
      </c>
      <c r="M470" t="str">
        <f>VLOOKUP(交易處理資料__3[[#This Row],[人員代號]],團隊分組!$B$1:$C$52,2,FALSE)</f>
        <v>快速保養團隊A</v>
      </c>
      <c r="N470">
        <f>IF(交易處理資料__3[[#This Row],[上班時間]]=0,0,交易處理資料__3[[#This Row],[售出工時]]/交易處理資料__3[[#This Row],[上班時間]])</f>
        <v>0</v>
      </c>
      <c r="O470" s="31" t="str">
        <f>IF(交易處理資料__3[[#This Row],[上班時間]]=0,"否","是")</f>
        <v>否</v>
      </c>
    </row>
    <row r="471" spans="1:15" hidden="1">
      <c r="A471" t="s">
        <v>75</v>
      </c>
      <c r="B471" t="s">
        <v>39</v>
      </c>
      <c r="C471">
        <v>1.25</v>
      </c>
      <c r="D471">
        <v>1.75</v>
      </c>
      <c r="E471" s="27">
        <v>71.42</v>
      </c>
      <c r="F471">
        <v>5.65</v>
      </c>
      <c r="G471">
        <v>2.16</v>
      </c>
      <c r="H471">
        <v>7.81</v>
      </c>
      <c r="I471">
        <v>72.34</v>
      </c>
      <c r="J471">
        <v>16.010000000000002</v>
      </c>
      <c r="K471" s="9">
        <v>45303</v>
      </c>
      <c r="L471">
        <f xml:space="preserve"> (交易處理資料__3[[#This Row],[售出工時]] * 60) / 5</f>
        <v>15</v>
      </c>
      <c r="M471" t="str">
        <f>VLOOKUP(交易處理資料__3[[#This Row],[人員代號]],團隊分組!$B$1:$C$52,2,FALSE)</f>
        <v>查修團隊A</v>
      </c>
      <c r="N471">
        <f>IF(交易處理資料__3[[#This Row],[上班時間]]=0,0,交易處理資料__3[[#This Row],[售出工時]]/交易處理資料__3[[#This Row],[上班時間]])</f>
        <v>0.16005121638924458</v>
      </c>
      <c r="O471" s="31" t="str">
        <f>IF(交易處理資料__3[[#This Row],[上班時間]]=0,"否","是")</f>
        <v>是</v>
      </c>
    </row>
    <row r="472" spans="1:15" hidden="1">
      <c r="A472" t="s">
        <v>75</v>
      </c>
      <c r="B472" t="s">
        <v>40</v>
      </c>
      <c r="C472">
        <v>3.41</v>
      </c>
      <c r="D472">
        <v>7.5</v>
      </c>
      <c r="E472" s="27">
        <v>45.55</v>
      </c>
      <c r="F472">
        <v>6.49</v>
      </c>
      <c r="G472">
        <v>1.84</v>
      </c>
      <c r="H472">
        <v>8.33</v>
      </c>
      <c r="I472">
        <v>77.91</v>
      </c>
      <c r="J472">
        <v>41.02</v>
      </c>
      <c r="K472" s="9">
        <v>45303</v>
      </c>
      <c r="L472">
        <f xml:space="preserve"> (交易處理資料__3[[#This Row],[售出工時]] * 60) / 5</f>
        <v>40.92</v>
      </c>
      <c r="M472" t="str">
        <f>VLOOKUP(交易處理資料__3[[#This Row],[人員代號]],團隊分組!$B$1:$C$52,2,FALSE)</f>
        <v>查修團隊A</v>
      </c>
      <c r="N472">
        <f>IF(交易處理資料__3[[#This Row],[上班時間]]=0,0,交易處理資料__3[[#This Row],[售出工時]]/交易處理資料__3[[#This Row],[上班時間]])</f>
        <v>0.40936374549819932</v>
      </c>
      <c r="O472" s="31" t="str">
        <f>IF(交易處理資料__3[[#This Row],[上班時間]]=0,"否","是")</f>
        <v>是</v>
      </c>
    </row>
    <row r="473" spans="1:15" hidden="1">
      <c r="A473" t="s">
        <v>75</v>
      </c>
      <c r="B473" t="s">
        <v>41</v>
      </c>
      <c r="C473">
        <v>16.829999999999998</v>
      </c>
      <c r="D473">
        <v>6.03</v>
      </c>
      <c r="E473" s="27">
        <v>279.14999999999998</v>
      </c>
      <c r="F473">
        <v>7.41</v>
      </c>
      <c r="G473">
        <v>1.41</v>
      </c>
      <c r="H473">
        <v>8.82</v>
      </c>
      <c r="I473">
        <v>84.01</v>
      </c>
      <c r="J473">
        <v>190.85</v>
      </c>
      <c r="K473" s="9">
        <v>45303</v>
      </c>
      <c r="L473">
        <f xml:space="preserve"> (交易處理資料__3[[#This Row],[售出工時]] * 60) / 5</f>
        <v>201.95999999999998</v>
      </c>
      <c r="M473" t="str">
        <f>VLOOKUP(交易處理資料__3[[#This Row],[人員代號]],團隊分組!$B$1:$C$52,2,FALSE)</f>
        <v>快速保養團隊A</v>
      </c>
      <c r="N473">
        <f>IF(交易處理資料__3[[#This Row],[上班時間]]=0,0,交易處理資料__3[[#This Row],[售出工時]]/交易處理資料__3[[#This Row],[上班時間]])</f>
        <v>1.9081632653061222</v>
      </c>
      <c r="O473" s="31" t="str">
        <f>IF(交易處理資料__3[[#This Row],[上班時間]]=0,"否","是")</f>
        <v>是</v>
      </c>
    </row>
    <row r="474" spans="1:15" hidden="1">
      <c r="A474" t="s">
        <v>75</v>
      </c>
      <c r="B474" t="s">
        <v>42</v>
      </c>
      <c r="C474">
        <v>6.58</v>
      </c>
      <c r="D474">
        <v>5.2</v>
      </c>
      <c r="E474" s="27">
        <v>126.6</v>
      </c>
      <c r="F474">
        <v>7.1</v>
      </c>
      <c r="G474">
        <v>0.96</v>
      </c>
      <c r="H474">
        <v>8.06</v>
      </c>
      <c r="I474">
        <v>88.09</v>
      </c>
      <c r="J474">
        <v>81.680000000000007</v>
      </c>
      <c r="K474" s="9">
        <v>45303</v>
      </c>
      <c r="L474">
        <f xml:space="preserve"> (交易處理資料__3[[#This Row],[售出工時]] * 60) / 5</f>
        <v>78.960000000000008</v>
      </c>
      <c r="M474" t="str">
        <f>VLOOKUP(交易處理資料__3[[#This Row],[人員代號]],團隊分組!$B$1:$C$52,2,FALSE)</f>
        <v>快速保養團隊A</v>
      </c>
      <c r="N474">
        <f>IF(交易處理資料__3[[#This Row],[上班時間]]=0,0,交易處理資料__3[[#This Row],[售出工時]]/交易處理資料__3[[#This Row],[上班時間]])</f>
        <v>0.81637717121588083</v>
      </c>
      <c r="O474" s="31" t="str">
        <f>IF(交易處理資料__3[[#This Row],[上班時間]]=0,"否","是")</f>
        <v>是</v>
      </c>
    </row>
    <row r="475" spans="1:15" hidden="1">
      <c r="A475" t="s">
        <v>75</v>
      </c>
      <c r="B475" t="s">
        <v>43</v>
      </c>
      <c r="C475">
        <v>1.41</v>
      </c>
      <c r="D475">
        <v>1.36</v>
      </c>
      <c r="E475" s="27">
        <v>104.16</v>
      </c>
      <c r="F475">
        <v>8.0500000000000007</v>
      </c>
      <c r="G475">
        <v>0.28000000000000003</v>
      </c>
      <c r="H475">
        <v>8.33</v>
      </c>
      <c r="I475">
        <v>96.64</v>
      </c>
      <c r="J475">
        <v>17.010000000000002</v>
      </c>
      <c r="K475" s="9">
        <v>45303</v>
      </c>
      <c r="L475">
        <f xml:space="preserve"> (交易處理資料__3[[#This Row],[售出工時]] * 60) / 5</f>
        <v>16.919999999999998</v>
      </c>
      <c r="M475" t="str">
        <f>VLOOKUP(交易處理資料__3[[#This Row],[人員代號]],團隊分組!$B$1:$C$52,2,FALSE)</f>
        <v>查修團隊B</v>
      </c>
      <c r="N475">
        <f>IF(交易處理資料__3[[#This Row],[上班時間]]=0,0,交易處理資料__3[[#This Row],[售出工時]]/交易處理資料__3[[#This Row],[上班時間]])</f>
        <v>0.16926770708283312</v>
      </c>
      <c r="O475" s="31" t="str">
        <f>IF(交易處理資料__3[[#This Row],[上班時間]]=0,"否","是")</f>
        <v>是</v>
      </c>
    </row>
    <row r="476" spans="1:15" hidden="1">
      <c r="A476" t="s">
        <v>75</v>
      </c>
      <c r="B476" t="s">
        <v>46</v>
      </c>
      <c r="C476">
        <v>1</v>
      </c>
      <c r="D476">
        <v>0.77</v>
      </c>
      <c r="E476" s="27">
        <v>129.87</v>
      </c>
      <c r="F476">
        <v>7.41</v>
      </c>
      <c r="G476">
        <v>0.92</v>
      </c>
      <c r="H476">
        <v>8.33</v>
      </c>
      <c r="I476">
        <v>88.96</v>
      </c>
      <c r="J476">
        <v>12</v>
      </c>
      <c r="K476" s="9">
        <v>45303</v>
      </c>
      <c r="L476">
        <f xml:space="preserve"> (交易處理資料__3[[#This Row],[售出工時]] * 60) / 5</f>
        <v>12</v>
      </c>
      <c r="M476" t="str">
        <f>VLOOKUP(交易處理資料__3[[#This Row],[人員代號]],團隊分組!$B$1:$C$52,2,FALSE)</f>
        <v>查修團隊B</v>
      </c>
      <c r="N476">
        <f>IF(交易處理資料__3[[#This Row],[上班時間]]=0,0,交易處理資料__3[[#This Row],[售出工時]]/交易處理資料__3[[#This Row],[上班時間]])</f>
        <v>0.12004801920768307</v>
      </c>
      <c r="O476" s="31" t="str">
        <f>IF(交易處理資料__3[[#This Row],[上班時間]]=0,"否","是")</f>
        <v>是</v>
      </c>
    </row>
    <row r="477" spans="1:15" hidden="1">
      <c r="A477" t="s">
        <v>75</v>
      </c>
      <c r="B477" t="s">
        <v>47</v>
      </c>
      <c r="C477">
        <v>1</v>
      </c>
      <c r="D477">
        <v>1.58</v>
      </c>
      <c r="E477" s="27">
        <v>63.29</v>
      </c>
      <c r="F477">
        <v>6.35</v>
      </c>
      <c r="G477">
        <v>1.61</v>
      </c>
      <c r="H477">
        <v>7.96</v>
      </c>
      <c r="I477">
        <v>79.77</v>
      </c>
      <c r="J477">
        <v>12.56</v>
      </c>
      <c r="K477" s="9">
        <v>45303</v>
      </c>
      <c r="L477">
        <f xml:space="preserve"> (交易處理資料__3[[#This Row],[售出工時]] * 60) / 5</f>
        <v>12</v>
      </c>
      <c r="M477" t="str">
        <f>VLOOKUP(交易處理資料__3[[#This Row],[人員代號]],團隊分組!$B$1:$C$52,2,FALSE)</f>
        <v>查修團隊B</v>
      </c>
      <c r="N477">
        <f>IF(交易處理資料__3[[#This Row],[上班時間]]=0,0,交易處理資料__3[[#This Row],[售出工時]]/交易處理資料__3[[#This Row],[上班時間]])</f>
        <v>0.12562814070351758</v>
      </c>
      <c r="O477" s="31" t="str">
        <f>IF(交易處理資料__3[[#This Row],[上班時間]]=0,"否","是")</f>
        <v>是</v>
      </c>
    </row>
    <row r="478" spans="1:15" hidden="1">
      <c r="A478" t="s">
        <v>75</v>
      </c>
      <c r="B478" t="s">
        <v>48</v>
      </c>
      <c r="C478">
        <v>0</v>
      </c>
      <c r="D478">
        <v>0</v>
      </c>
      <c r="E478" s="27">
        <v>0</v>
      </c>
      <c r="F478">
        <v>6.97</v>
      </c>
      <c r="G478">
        <v>0.99</v>
      </c>
      <c r="H478">
        <v>7.96</v>
      </c>
      <c r="I478">
        <v>87.56</v>
      </c>
      <c r="J478">
        <v>0</v>
      </c>
      <c r="K478" s="9">
        <v>45303</v>
      </c>
      <c r="L478">
        <f xml:space="preserve"> (交易處理資料__3[[#This Row],[售出工時]] * 60) / 5</f>
        <v>0</v>
      </c>
      <c r="M478" t="str">
        <f>VLOOKUP(交易處理資料__3[[#This Row],[人員代號]],團隊分組!$B$1:$C$52,2,FALSE)</f>
        <v>查修團隊A</v>
      </c>
      <c r="N478">
        <f>IF(交易處理資料__3[[#This Row],[上班時間]]=0,0,交易處理資料__3[[#This Row],[售出工時]]/交易處理資料__3[[#This Row],[上班時間]])</f>
        <v>0</v>
      </c>
      <c r="O478" s="31" t="str">
        <f>IF(交易處理資料__3[[#This Row],[上班時間]]=0,"否","是")</f>
        <v>是</v>
      </c>
    </row>
    <row r="479" spans="1:15" hidden="1">
      <c r="A479" t="s">
        <v>75</v>
      </c>
      <c r="B479" t="s">
        <v>49</v>
      </c>
      <c r="C479">
        <v>0</v>
      </c>
      <c r="D479">
        <v>0</v>
      </c>
      <c r="E479" s="27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 s="9">
        <v>45303</v>
      </c>
      <c r="L479">
        <f xml:space="preserve"> (交易處理資料__3[[#This Row],[售出工時]] * 60) / 5</f>
        <v>0</v>
      </c>
      <c r="M479" t="str">
        <f>VLOOKUP(交易處理資料__3[[#This Row],[人員代號]],團隊分組!$B$1:$C$52,2,FALSE)</f>
        <v>查修團隊A</v>
      </c>
      <c r="N479">
        <f>IF(交易處理資料__3[[#This Row],[上班時間]]=0,0,交易處理資料__3[[#This Row],[售出工時]]/交易處理資料__3[[#This Row],[上班時間]])</f>
        <v>0</v>
      </c>
      <c r="O479" s="31" t="str">
        <f>IF(交易處理資料__3[[#This Row],[上班時間]]=0,"否","是")</f>
        <v>否</v>
      </c>
    </row>
    <row r="480" spans="1:15" hidden="1">
      <c r="A480" t="s">
        <v>75</v>
      </c>
      <c r="B480" t="s">
        <v>51</v>
      </c>
      <c r="C480">
        <v>0</v>
      </c>
      <c r="D480">
        <v>0</v>
      </c>
      <c r="E480" s="27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s="9">
        <v>45303</v>
      </c>
      <c r="L480">
        <f xml:space="preserve"> (交易處理資料__3[[#This Row],[售出工時]] * 60) / 5</f>
        <v>0</v>
      </c>
      <c r="M480" t="str">
        <f>VLOOKUP(交易處理資料__3[[#This Row],[人員代號]],團隊分組!$B$1:$C$52,2,FALSE)</f>
        <v>無效數據</v>
      </c>
      <c r="N480">
        <f>IF(交易處理資料__3[[#This Row],[上班時間]]=0,0,交易處理資料__3[[#This Row],[售出工時]]/交易處理資料__3[[#This Row],[上班時間]])</f>
        <v>0</v>
      </c>
      <c r="O480" s="31" t="str">
        <f>IF(交易處理資料__3[[#This Row],[上班時間]]=0,"否","是")</f>
        <v>否</v>
      </c>
    </row>
    <row r="481" spans="1:15" hidden="1">
      <c r="A481" t="s">
        <v>75</v>
      </c>
      <c r="B481" t="s">
        <v>53</v>
      </c>
      <c r="C481">
        <v>3.5</v>
      </c>
      <c r="D481">
        <v>3.97</v>
      </c>
      <c r="E481" s="27">
        <v>88.16</v>
      </c>
      <c r="F481">
        <v>7.24</v>
      </c>
      <c r="G481">
        <v>0.85</v>
      </c>
      <c r="H481">
        <v>8.09</v>
      </c>
      <c r="I481">
        <v>89.49</v>
      </c>
      <c r="J481">
        <v>43.26</v>
      </c>
      <c r="K481" s="9">
        <v>45303</v>
      </c>
      <c r="L481">
        <f xml:space="preserve"> (交易處理資料__3[[#This Row],[售出工時]] * 60) / 5</f>
        <v>42</v>
      </c>
      <c r="M481" t="str">
        <f>VLOOKUP(交易處理資料__3[[#This Row],[人員代號]],團隊分組!$B$1:$C$52,2,FALSE)</f>
        <v>查修團隊A</v>
      </c>
      <c r="N481">
        <f>IF(交易處理資料__3[[#This Row],[上班時間]]=0,0,交易處理資料__3[[#This Row],[售出工時]]/交易處理資料__3[[#This Row],[上班時間]])</f>
        <v>0.43263288009888751</v>
      </c>
      <c r="O481" s="31" t="str">
        <f>IF(交易處理資料__3[[#This Row],[上班時間]]=0,"否","是")</f>
        <v>是</v>
      </c>
    </row>
    <row r="482" spans="1:15" hidden="1">
      <c r="A482" s="10" t="s">
        <v>73</v>
      </c>
      <c r="B482" t="s">
        <v>1</v>
      </c>
      <c r="C482">
        <v>0</v>
      </c>
      <c r="D482">
        <v>0</v>
      </c>
      <c r="E482" s="27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s="9">
        <v>45304</v>
      </c>
      <c r="L482">
        <f xml:space="preserve"> (交易處理資料__3[[#This Row],[售出工時]] * 60) / 5</f>
        <v>0</v>
      </c>
      <c r="M482" t="str">
        <f>VLOOKUP(交易處理資料__3[[#This Row],[人員代號]],團隊分組!$B$1:$C$52,2,FALSE)</f>
        <v>噴漆維修組</v>
      </c>
      <c r="N482">
        <f>IF(交易處理資料__3[[#This Row],[上班時間]]=0,0,交易處理資料__3[[#This Row],[售出工時]]/交易處理資料__3[[#This Row],[上班時間]])</f>
        <v>0</v>
      </c>
      <c r="O482" s="31" t="str">
        <f>IF(交易處理資料__3[[#This Row],[上班時間]]=0,"否","是")</f>
        <v>否</v>
      </c>
    </row>
    <row r="483" spans="1:15" hidden="1">
      <c r="A483" s="10" t="s">
        <v>73</v>
      </c>
      <c r="B483" t="s">
        <v>2</v>
      </c>
      <c r="C483">
        <v>0</v>
      </c>
      <c r="D483">
        <v>0</v>
      </c>
      <c r="E483" s="27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s="9">
        <v>45304</v>
      </c>
      <c r="L483">
        <f xml:space="preserve"> (交易處理資料__3[[#This Row],[售出工時]] * 60) / 5</f>
        <v>0</v>
      </c>
      <c r="M483" t="str">
        <f>VLOOKUP(交易處理資料__3[[#This Row],[人員代號]],團隊分組!$B$1:$C$52,2,FALSE)</f>
        <v>噴漆維修組</v>
      </c>
      <c r="N483">
        <f>IF(交易處理資料__3[[#This Row],[上班時間]]=0,0,交易處理資料__3[[#This Row],[售出工時]]/交易處理資料__3[[#This Row],[上班時間]])</f>
        <v>0</v>
      </c>
      <c r="O483" s="31" t="str">
        <f>IF(交易處理資料__3[[#This Row],[上班時間]]=0,"否","是")</f>
        <v>否</v>
      </c>
    </row>
    <row r="484" spans="1:15" hidden="1">
      <c r="A484" s="10" t="s">
        <v>73</v>
      </c>
      <c r="B484" t="s">
        <v>3</v>
      </c>
      <c r="C484">
        <v>0</v>
      </c>
      <c r="D484">
        <v>0</v>
      </c>
      <c r="E484" s="27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s="9">
        <v>45304</v>
      </c>
      <c r="L484">
        <f xml:space="preserve"> (交易處理資料__3[[#This Row],[售出工時]] * 60) / 5</f>
        <v>0</v>
      </c>
      <c r="M484" t="str">
        <f>VLOOKUP(交易處理資料__3[[#This Row],[人員代號]],團隊分組!$B$1:$C$52,2,FALSE)</f>
        <v>噴漆維修組</v>
      </c>
      <c r="N484">
        <f>IF(交易處理資料__3[[#This Row],[上班時間]]=0,0,交易處理資料__3[[#This Row],[售出工時]]/交易處理資料__3[[#This Row],[上班時間]])</f>
        <v>0</v>
      </c>
      <c r="O484" s="31" t="str">
        <f>IF(交易處理資料__3[[#This Row],[上班時間]]=0,"否","是")</f>
        <v>否</v>
      </c>
    </row>
    <row r="485" spans="1:15" hidden="1">
      <c r="A485" s="10" t="s">
        <v>73</v>
      </c>
      <c r="B485" t="s">
        <v>5</v>
      </c>
      <c r="C485">
        <v>0</v>
      </c>
      <c r="D485">
        <v>0</v>
      </c>
      <c r="E485" s="27">
        <v>0</v>
      </c>
      <c r="F485">
        <v>5.65</v>
      </c>
      <c r="G485">
        <v>2.37</v>
      </c>
      <c r="H485">
        <v>8.02</v>
      </c>
      <c r="I485">
        <v>70.45</v>
      </c>
      <c r="J485">
        <v>0</v>
      </c>
      <c r="K485" s="9">
        <v>45304</v>
      </c>
      <c r="L485">
        <f xml:space="preserve"> (交易處理資料__3[[#This Row],[售出工時]] * 60) / 5</f>
        <v>0</v>
      </c>
      <c r="M485" t="str">
        <f>VLOOKUP(交易處理資料__3[[#This Row],[人員代號]],團隊分組!$B$1:$C$52,2,FALSE)</f>
        <v>噴漆維修組</v>
      </c>
      <c r="N485">
        <f>IF(交易處理資料__3[[#This Row],[上班時間]]=0,0,交易處理資料__3[[#This Row],[售出工時]]/交易處理資料__3[[#This Row],[上班時間]])</f>
        <v>0</v>
      </c>
      <c r="O485" s="31" t="str">
        <f>IF(交易處理資料__3[[#This Row],[上班時間]]=0,"否","是")</f>
        <v>是</v>
      </c>
    </row>
    <row r="486" spans="1:15" hidden="1">
      <c r="A486" s="10" t="s">
        <v>73</v>
      </c>
      <c r="B486" t="s">
        <v>6</v>
      </c>
      <c r="C486">
        <v>0</v>
      </c>
      <c r="D486">
        <v>0</v>
      </c>
      <c r="E486" s="27">
        <v>0</v>
      </c>
      <c r="F486">
        <v>5.72</v>
      </c>
      <c r="G486">
        <v>2.3199999999999998</v>
      </c>
      <c r="H486">
        <v>8.0399999999999991</v>
      </c>
      <c r="I486">
        <v>71.14</v>
      </c>
      <c r="J486">
        <v>0</v>
      </c>
      <c r="K486" s="9">
        <v>45304</v>
      </c>
      <c r="L486">
        <f xml:space="preserve"> (交易處理資料__3[[#This Row],[售出工時]] * 60) / 5</f>
        <v>0</v>
      </c>
      <c r="M486" t="str">
        <f>VLOOKUP(交易處理資料__3[[#This Row],[人員代號]],團隊分組!$B$1:$C$52,2,FALSE)</f>
        <v>噴漆維修組</v>
      </c>
      <c r="N486">
        <f>IF(交易處理資料__3[[#This Row],[上班時間]]=0,0,交易處理資料__3[[#This Row],[售出工時]]/交易處理資料__3[[#This Row],[上班時間]])</f>
        <v>0</v>
      </c>
      <c r="O486" s="31" t="str">
        <f>IF(交易處理資料__3[[#This Row],[上班時間]]=0,"否","是")</f>
        <v>是</v>
      </c>
    </row>
    <row r="487" spans="1:15" hidden="1">
      <c r="A487" s="10" t="s">
        <v>73</v>
      </c>
      <c r="B487" t="s">
        <v>7</v>
      </c>
      <c r="C487">
        <v>0</v>
      </c>
      <c r="D487">
        <v>0</v>
      </c>
      <c r="E487" s="27">
        <v>0</v>
      </c>
      <c r="F487">
        <v>5.67</v>
      </c>
      <c r="G487">
        <v>2.36</v>
      </c>
      <c r="H487">
        <v>8.0299999999999994</v>
      </c>
      <c r="I487">
        <v>70.61</v>
      </c>
      <c r="J487">
        <v>0</v>
      </c>
      <c r="K487" s="9">
        <v>45304</v>
      </c>
      <c r="L487">
        <f xml:space="preserve"> (交易處理資料__3[[#This Row],[售出工時]] * 60) / 5</f>
        <v>0</v>
      </c>
      <c r="M487" t="str">
        <f>VLOOKUP(交易處理資料__3[[#This Row],[人員代號]],團隊分組!$B$1:$C$52,2,FALSE)</f>
        <v>噴漆維修組</v>
      </c>
      <c r="N487">
        <f>IF(交易處理資料__3[[#This Row],[上班時間]]=0,0,交易處理資料__3[[#This Row],[售出工時]]/交易處理資料__3[[#This Row],[上班時間]])</f>
        <v>0</v>
      </c>
      <c r="O487" s="31" t="str">
        <f>IF(交易處理資料__3[[#This Row],[上班時間]]=0,"否","是")</f>
        <v>是</v>
      </c>
    </row>
    <row r="488" spans="1:15" hidden="1">
      <c r="A488" s="10" t="s">
        <v>73</v>
      </c>
      <c r="B488" t="s">
        <v>9</v>
      </c>
      <c r="C488">
        <v>0</v>
      </c>
      <c r="D488">
        <v>0</v>
      </c>
      <c r="E488" s="27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s="9">
        <v>45304</v>
      </c>
      <c r="L488">
        <f xml:space="preserve"> (交易處理資料__3[[#This Row],[售出工時]] * 60) / 5</f>
        <v>0</v>
      </c>
      <c r="M488" t="str">
        <f>VLOOKUP(交易處理資料__3[[#This Row],[人員代號]],團隊分組!$B$1:$C$52,2,FALSE)</f>
        <v>噴漆維修組</v>
      </c>
      <c r="N488">
        <f>IF(交易處理資料__3[[#This Row],[上班時間]]=0,0,交易處理資料__3[[#This Row],[售出工時]]/交易處理資料__3[[#This Row],[上班時間]])</f>
        <v>0</v>
      </c>
      <c r="O488" s="31" t="str">
        <f>IF(交易處理資料__3[[#This Row],[上班時間]]=0,"否","是")</f>
        <v>否</v>
      </c>
    </row>
    <row r="489" spans="1:15" hidden="1">
      <c r="A489" t="s">
        <v>74</v>
      </c>
      <c r="B489" t="s">
        <v>11</v>
      </c>
      <c r="C489">
        <v>0</v>
      </c>
      <c r="D489">
        <v>0</v>
      </c>
      <c r="E489" s="27">
        <v>0</v>
      </c>
      <c r="F489">
        <v>6.85</v>
      </c>
      <c r="G489">
        <v>1.18</v>
      </c>
      <c r="H489">
        <v>8.0299999999999994</v>
      </c>
      <c r="I489">
        <v>85.31</v>
      </c>
      <c r="J489">
        <v>0</v>
      </c>
      <c r="K489" s="9">
        <v>45304</v>
      </c>
      <c r="L489">
        <f xml:space="preserve"> (交易處理資料__3[[#This Row],[售出工時]] * 60) / 5</f>
        <v>0</v>
      </c>
      <c r="M489" t="str">
        <f>VLOOKUP(交易處理資料__3[[#This Row],[人員代號]],團隊分組!$B$1:$C$52,2,FALSE)</f>
        <v>鈑金維修組</v>
      </c>
      <c r="N489">
        <f>IF(交易處理資料__3[[#This Row],[上班時間]]=0,0,交易處理資料__3[[#This Row],[售出工時]]/交易處理資料__3[[#This Row],[上班時間]])</f>
        <v>0</v>
      </c>
      <c r="O489" s="31" t="str">
        <f>IF(交易處理資料__3[[#This Row],[上班時間]]=0,"否","是")</f>
        <v>是</v>
      </c>
    </row>
    <row r="490" spans="1:15" hidden="1">
      <c r="A490" t="s">
        <v>74</v>
      </c>
      <c r="B490" t="s">
        <v>12</v>
      </c>
      <c r="C490">
        <v>0</v>
      </c>
      <c r="D490">
        <v>0</v>
      </c>
      <c r="E490" s="27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s="9">
        <v>45304</v>
      </c>
      <c r="L490">
        <f xml:space="preserve"> (交易處理資料__3[[#This Row],[售出工時]] * 60) / 5</f>
        <v>0</v>
      </c>
      <c r="M490" t="str">
        <f>VLOOKUP(交易處理資料__3[[#This Row],[人員代號]],團隊分組!$B$1:$C$52,2,FALSE)</f>
        <v>鈑金維修組</v>
      </c>
      <c r="N490">
        <f>IF(交易處理資料__3[[#This Row],[上班時間]]=0,0,交易處理資料__3[[#This Row],[售出工時]]/交易處理資料__3[[#This Row],[上班時間]])</f>
        <v>0</v>
      </c>
      <c r="O490" s="31" t="str">
        <f>IF(交易處理資料__3[[#This Row],[上班時間]]=0,"否","是")</f>
        <v>否</v>
      </c>
    </row>
    <row r="491" spans="1:15" hidden="1">
      <c r="A491" t="s">
        <v>74</v>
      </c>
      <c r="B491" t="s">
        <v>13</v>
      </c>
      <c r="C491">
        <v>0</v>
      </c>
      <c r="D491">
        <v>0</v>
      </c>
      <c r="E491" s="27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 s="9">
        <v>45304</v>
      </c>
      <c r="L491">
        <f xml:space="preserve"> (交易處理資料__3[[#This Row],[售出工時]] * 60) / 5</f>
        <v>0</v>
      </c>
      <c r="M491" t="str">
        <f>VLOOKUP(交易處理資料__3[[#This Row],[人員代號]],團隊分組!$B$1:$C$52,2,FALSE)</f>
        <v>鈑金維修組</v>
      </c>
      <c r="N491">
        <f>IF(交易處理資料__3[[#This Row],[上班時間]]=0,0,交易處理資料__3[[#This Row],[售出工時]]/交易處理資料__3[[#This Row],[上班時間]])</f>
        <v>0</v>
      </c>
      <c r="O491" s="31" t="str">
        <f>IF(交易處理資料__3[[#This Row],[上班時間]]=0,"否","是")</f>
        <v>否</v>
      </c>
    </row>
    <row r="492" spans="1:15" hidden="1">
      <c r="A492" t="s">
        <v>74</v>
      </c>
      <c r="B492" t="s">
        <v>14</v>
      </c>
      <c r="C492">
        <v>0</v>
      </c>
      <c r="D492">
        <v>0</v>
      </c>
      <c r="E492" s="27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s="9">
        <v>45304</v>
      </c>
      <c r="L492">
        <f xml:space="preserve"> (交易處理資料__3[[#This Row],[售出工時]] * 60) / 5</f>
        <v>0</v>
      </c>
      <c r="M492" t="str">
        <f>VLOOKUP(交易處理資料__3[[#This Row],[人員代號]],團隊分組!$B$1:$C$52,2,FALSE)</f>
        <v>鈑金維修組</v>
      </c>
      <c r="N492">
        <f>IF(交易處理資料__3[[#This Row],[上班時間]]=0,0,交易處理資料__3[[#This Row],[售出工時]]/交易處理資料__3[[#This Row],[上班時間]])</f>
        <v>0</v>
      </c>
      <c r="O492" s="31" t="str">
        <f>IF(交易處理資料__3[[#This Row],[上班時間]]=0,"否","是")</f>
        <v>否</v>
      </c>
    </row>
    <row r="493" spans="1:15" hidden="1">
      <c r="A493" t="s">
        <v>74</v>
      </c>
      <c r="B493" t="s">
        <v>15</v>
      </c>
      <c r="C493">
        <v>0</v>
      </c>
      <c r="D493">
        <v>0</v>
      </c>
      <c r="E493" s="27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s="9">
        <v>45304</v>
      </c>
      <c r="L493">
        <f xml:space="preserve"> (交易處理資料__3[[#This Row],[售出工時]] * 60) / 5</f>
        <v>0</v>
      </c>
      <c r="M493" t="str">
        <f>VLOOKUP(交易處理資料__3[[#This Row],[人員代號]],團隊分組!$B$1:$C$52,2,FALSE)</f>
        <v>鈑金維修組</v>
      </c>
      <c r="N493">
        <f>IF(交易處理資料__3[[#This Row],[上班時間]]=0,0,交易處理資料__3[[#This Row],[售出工時]]/交易處理資料__3[[#This Row],[上班時間]])</f>
        <v>0</v>
      </c>
      <c r="O493" s="31" t="str">
        <f>IF(交易處理資料__3[[#This Row],[上班時間]]=0,"否","是")</f>
        <v>否</v>
      </c>
    </row>
    <row r="494" spans="1:15" hidden="1">
      <c r="A494" t="s">
        <v>75</v>
      </c>
      <c r="B494" t="s">
        <v>17</v>
      </c>
      <c r="C494">
        <v>2.08</v>
      </c>
      <c r="D494">
        <v>3.03</v>
      </c>
      <c r="E494" s="27">
        <v>68.75</v>
      </c>
      <c r="F494">
        <v>3.7</v>
      </c>
      <c r="G494">
        <v>3.77</v>
      </c>
      <c r="H494">
        <v>7.47</v>
      </c>
      <c r="I494">
        <v>49.53</v>
      </c>
      <c r="J494">
        <v>27.89</v>
      </c>
      <c r="K494" s="9">
        <v>45304</v>
      </c>
      <c r="L494">
        <f xml:space="preserve"> (交易處理資料__3[[#This Row],[售出工時]] * 60) / 5</f>
        <v>24.96</v>
      </c>
      <c r="M494" t="str">
        <f>VLOOKUP(交易處理資料__3[[#This Row],[人員代號]],團隊分組!$B$1:$C$52,2,FALSE)</f>
        <v>快速保養團隊A</v>
      </c>
      <c r="N494">
        <f>IF(交易處理資料__3[[#This Row],[上班時間]]=0,0,交易處理資料__3[[#This Row],[售出工時]]/交易處理資料__3[[#This Row],[上班時間]])</f>
        <v>0.27844712182061582</v>
      </c>
      <c r="O494" s="31" t="str">
        <f>IF(交易處理資料__3[[#This Row],[上班時間]]=0,"否","是")</f>
        <v>是</v>
      </c>
    </row>
    <row r="495" spans="1:15" hidden="1">
      <c r="A495" t="s">
        <v>75</v>
      </c>
      <c r="B495" t="s">
        <v>18</v>
      </c>
      <c r="C495">
        <v>3.95</v>
      </c>
      <c r="D495">
        <v>4.29</v>
      </c>
      <c r="E495" s="27">
        <v>92.22</v>
      </c>
      <c r="F495">
        <v>3.27</v>
      </c>
      <c r="G495">
        <v>2.29</v>
      </c>
      <c r="H495">
        <v>5.56</v>
      </c>
      <c r="I495">
        <v>58.81</v>
      </c>
      <c r="J495">
        <v>71.16</v>
      </c>
      <c r="K495" s="9">
        <v>45304</v>
      </c>
      <c r="L495">
        <f xml:space="preserve"> (交易處理資料__3[[#This Row],[售出工時]] * 60) / 5</f>
        <v>47.4</v>
      </c>
      <c r="M495" t="str">
        <f>VLOOKUP(交易處理資料__3[[#This Row],[人員代號]],團隊分組!$B$1:$C$52,2,FALSE)</f>
        <v>查修團隊B</v>
      </c>
      <c r="N495">
        <f>IF(交易處理資料__3[[#This Row],[上班時間]]=0,0,交易處理資料__3[[#This Row],[售出工時]]/交易處理資料__3[[#This Row],[上班時間]])</f>
        <v>0.71043165467625913</v>
      </c>
      <c r="O495" s="31" t="str">
        <f>IF(交易處理資料__3[[#This Row],[上班時間]]=0,"否","是")</f>
        <v>是</v>
      </c>
    </row>
    <row r="496" spans="1:15" hidden="1">
      <c r="A496" t="s">
        <v>75</v>
      </c>
      <c r="B496" t="s">
        <v>20</v>
      </c>
      <c r="C496">
        <v>1.08</v>
      </c>
      <c r="D496">
        <v>2.35</v>
      </c>
      <c r="E496" s="27">
        <v>46.09</v>
      </c>
      <c r="F496">
        <v>2.35</v>
      </c>
      <c r="G496">
        <v>1.07</v>
      </c>
      <c r="H496">
        <v>3.42</v>
      </c>
      <c r="I496">
        <v>68.709999999999994</v>
      </c>
      <c r="J496">
        <v>31.68</v>
      </c>
      <c r="K496" s="9">
        <v>45304</v>
      </c>
      <c r="L496">
        <f xml:space="preserve"> (交易處理資料__3[[#This Row],[售出工時]] * 60) / 5</f>
        <v>12.960000000000003</v>
      </c>
      <c r="M496" t="str">
        <f>VLOOKUP(交易處理資料__3[[#This Row],[人員代號]],團隊分組!$B$1:$C$52,2,FALSE)</f>
        <v>查修團隊B</v>
      </c>
      <c r="N496">
        <f>IF(交易處理資料__3[[#This Row],[上班時間]]=0,0,交易處理資料__3[[#This Row],[售出工時]]/交易處理資料__3[[#This Row],[上班時間]])</f>
        <v>0.31578947368421056</v>
      </c>
      <c r="O496" s="31" t="str">
        <f>IF(交易處理資料__3[[#This Row],[上班時間]]=0,"否","是")</f>
        <v>是</v>
      </c>
    </row>
    <row r="497" spans="1:15" hidden="1">
      <c r="A497" t="s">
        <v>75</v>
      </c>
      <c r="B497" t="s">
        <v>21</v>
      </c>
      <c r="C497">
        <v>0</v>
      </c>
      <c r="D497">
        <v>0</v>
      </c>
      <c r="E497" s="2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 s="9">
        <v>45304</v>
      </c>
      <c r="L497">
        <f xml:space="preserve"> (交易處理資料__3[[#This Row],[售出工時]] * 60) / 5</f>
        <v>0</v>
      </c>
      <c r="M497" t="str">
        <f>VLOOKUP(交易處理資料__3[[#This Row],[人員代號]],團隊分組!$B$1:$C$52,2,FALSE)</f>
        <v>查修團隊B</v>
      </c>
      <c r="N497">
        <f>IF(交易處理資料__3[[#This Row],[上班時間]]=0,0,交易處理資料__3[[#This Row],[售出工時]]/交易處理資料__3[[#This Row],[上班時間]])</f>
        <v>0</v>
      </c>
      <c r="O497" s="31" t="str">
        <f>IF(交易處理資料__3[[#This Row],[上班時間]]=0,"否","是")</f>
        <v>否</v>
      </c>
    </row>
    <row r="498" spans="1:15" hidden="1">
      <c r="A498" t="s">
        <v>75</v>
      </c>
      <c r="B498" t="s">
        <v>22</v>
      </c>
      <c r="C498">
        <v>0</v>
      </c>
      <c r="D498">
        <v>0</v>
      </c>
      <c r="E498" s="27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s="9">
        <v>45304</v>
      </c>
      <c r="L498">
        <f xml:space="preserve"> (交易處理資料__3[[#This Row],[售出工時]] * 60) / 5</f>
        <v>0</v>
      </c>
      <c r="M498" t="str">
        <f>VLOOKUP(交易處理資料__3[[#This Row],[人員代號]],團隊分組!$B$1:$C$52,2,FALSE)</f>
        <v>快速保養團隊A</v>
      </c>
      <c r="N498">
        <f>IF(交易處理資料__3[[#This Row],[上班時間]]=0,0,交易處理資料__3[[#This Row],[售出工時]]/交易處理資料__3[[#This Row],[上班時間]])</f>
        <v>0</v>
      </c>
      <c r="O498" s="31" t="str">
        <f>IF(交易處理資料__3[[#This Row],[上班時間]]=0,"否","是")</f>
        <v>否</v>
      </c>
    </row>
    <row r="499" spans="1:15" hidden="1">
      <c r="A499" t="s">
        <v>75</v>
      </c>
      <c r="B499" t="s">
        <v>25</v>
      </c>
      <c r="C499">
        <v>3.03</v>
      </c>
      <c r="D499">
        <v>2.2000000000000002</v>
      </c>
      <c r="E499" s="27">
        <v>137.72</v>
      </c>
      <c r="F499">
        <v>2.2000000000000002</v>
      </c>
      <c r="G499">
        <v>1.89</v>
      </c>
      <c r="H499">
        <v>4.09</v>
      </c>
      <c r="I499">
        <v>53.79</v>
      </c>
      <c r="J499">
        <v>74.08</v>
      </c>
      <c r="K499" s="9">
        <v>45304</v>
      </c>
      <c r="L499">
        <f xml:space="preserve"> (交易處理資料__3[[#This Row],[售出工時]] * 60) / 5</f>
        <v>36.36</v>
      </c>
      <c r="M499" t="str">
        <f>VLOOKUP(交易處理資料__3[[#This Row],[人員代號]],團隊分組!$B$1:$C$52,2,FALSE)</f>
        <v>查修團隊A</v>
      </c>
      <c r="N499">
        <f>IF(交易處理資料__3[[#This Row],[上班時間]]=0,0,交易處理資料__3[[#This Row],[售出工時]]/交易處理資料__3[[#This Row],[上班時間]])</f>
        <v>0.74083129584352081</v>
      </c>
      <c r="O499" s="31" t="str">
        <f>IF(交易處理資料__3[[#This Row],[上班時間]]=0,"否","是")</f>
        <v>是</v>
      </c>
    </row>
    <row r="500" spans="1:15" hidden="1">
      <c r="A500" t="s">
        <v>75</v>
      </c>
      <c r="B500" t="s">
        <v>26</v>
      </c>
      <c r="C500">
        <v>0</v>
      </c>
      <c r="D500">
        <v>0</v>
      </c>
      <c r="E500" s="27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s="9">
        <v>45304</v>
      </c>
      <c r="L500">
        <f xml:space="preserve"> (交易處理資料__3[[#This Row],[售出工時]] * 60) / 5</f>
        <v>0</v>
      </c>
      <c r="M500" t="str">
        <f>VLOOKUP(交易處理資料__3[[#This Row],[人員代號]],團隊分組!$B$1:$C$52,2,FALSE)</f>
        <v>查修團隊B</v>
      </c>
      <c r="N500">
        <f>IF(交易處理資料__3[[#This Row],[上班時間]]=0,0,交易處理資料__3[[#This Row],[售出工時]]/交易處理資料__3[[#This Row],[上班時間]])</f>
        <v>0</v>
      </c>
      <c r="O500" s="31" t="str">
        <f>IF(交易處理資料__3[[#This Row],[上班時間]]=0,"否","是")</f>
        <v>否</v>
      </c>
    </row>
    <row r="501" spans="1:15" hidden="1">
      <c r="A501" t="s">
        <v>75</v>
      </c>
      <c r="B501" t="s">
        <v>27</v>
      </c>
      <c r="C501">
        <v>0</v>
      </c>
      <c r="D501">
        <v>0</v>
      </c>
      <c r="E501" s="27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s="9">
        <v>45304</v>
      </c>
      <c r="L501">
        <f xml:space="preserve"> (交易處理資料__3[[#This Row],[售出工時]] * 60) / 5</f>
        <v>0</v>
      </c>
      <c r="M501" t="str">
        <f>VLOOKUP(交易處理資料__3[[#This Row],[人員代號]],團隊分組!$B$1:$C$52,2,FALSE)</f>
        <v>快速保養團隊B</v>
      </c>
      <c r="N501">
        <f>IF(交易處理資料__3[[#This Row],[上班時間]]=0,0,交易處理資料__3[[#This Row],[售出工時]]/交易處理資料__3[[#This Row],[上班時間]])</f>
        <v>0</v>
      </c>
      <c r="O501" s="31" t="str">
        <f>IF(交易處理資料__3[[#This Row],[上班時間]]=0,"否","是")</f>
        <v>否</v>
      </c>
    </row>
    <row r="502" spans="1:15" hidden="1">
      <c r="A502" t="s">
        <v>75</v>
      </c>
      <c r="B502" t="s">
        <v>29</v>
      </c>
      <c r="C502">
        <v>1.08</v>
      </c>
      <c r="D502">
        <v>0.9</v>
      </c>
      <c r="E502" s="27">
        <v>120.37</v>
      </c>
      <c r="F502">
        <v>1.5</v>
      </c>
      <c r="G502">
        <v>2.33</v>
      </c>
      <c r="H502">
        <v>3.83</v>
      </c>
      <c r="I502">
        <v>39.159999999999997</v>
      </c>
      <c r="J502">
        <v>28.29</v>
      </c>
      <c r="K502" s="9">
        <v>45304</v>
      </c>
      <c r="L502">
        <f xml:space="preserve"> (交易處理資料__3[[#This Row],[售出工時]] * 60) / 5</f>
        <v>12.960000000000003</v>
      </c>
      <c r="M502" t="str">
        <f>VLOOKUP(交易處理資料__3[[#This Row],[人員代號]],團隊分組!$B$1:$C$52,2,FALSE)</f>
        <v>查修團隊B</v>
      </c>
      <c r="N502">
        <f>IF(交易處理資料__3[[#This Row],[上班時間]]=0,0,交易處理資料__3[[#This Row],[售出工時]]/交易處理資料__3[[#This Row],[上班時間]])</f>
        <v>0.28198433420365537</v>
      </c>
      <c r="O502" s="31" t="str">
        <f>IF(交易處理資料__3[[#This Row],[上班時間]]=0,"否","是")</f>
        <v>是</v>
      </c>
    </row>
    <row r="503" spans="1:15" hidden="1">
      <c r="A503" t="s">
        <v>75</v>
      </c>
      <c r="B503" t="s">
        <v>31</v>
      </c>
      <c r="C503">
        <v>0</v>
      </c>
      <c r="D503">
        <v>0</v>
      </c>
      <c r="E503" s="27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s="9">
        <v>45304</v>
      </c>
      <c r="L503">
        <f xml:space="preserve"> (交易處理資料__3[[#This Row],[售出工時]] * 60) / 5</f>
        <v>0</v>
      </c>
      <c r="M503" t="str">
        <f>VLOOKUP(交易處理資料__3[[#This Row],[人員代號]],團隊分組!$B$1:$C$52,2,FALSE)</f>
        <v>快速保養團隊A</v>
      </c>
      <c r="N503">
        <f>IF(交易處理資料__3[[#This Row],[上班時間]]=0,0,交易處理資料__3[[#This Row],[售出工時]]/交易處理資料__3[[#This Row],[上班時間]])</f>
        <v>0</v>
      </c>
      <c r="O503" s="31" t="str">
        <f>IF(交易處理資料__3[[#This Row],[上班時間]]=0,"否","是")</f>
        <v>否</v>
      </c>
    </row>
    <row r="504" spans="1:15">
      <c r="A504" t="s">
        <v>75</v>
      </c>
      <c r="B504" t="s">
        <v>33</v>
      </c>
      <c r="C504">
        <v>0</v>
      </c>
      <c r="D504">
        <v>0</v>
      </c>
      <c r="E504" s="27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 s="9">
        <v>45304</v>
      </c>
      <c r="L504">
        <f xml:space="preserve"> (交易處理資料__3[[#This Row],[售出工時]] * 60) / 5</f>
        <v>0</v>
      </c>
      <c r="M504" t="str">
        <f>VLOOKUP(交易處理資料__3[[#This Row],[人員代號]],團隊分組!$B$1:$C$52,2,FALSE)</f>
        <v>快速保養團隊B</v>
      </c>
      <c r="N504">
        <f>IF(交易處理資料__3[[#This Row],[上班時間]]=0,0,交易處理資料__3[[#This Row],[售出工時]]/交易處理資料__3[[#This Row],[上班時間]])</f>
        <v>0</v>
      </c>
      <c r="O504" s="31" t="str">
        <f>IF(交易處理資料__3[[#This Row],[上班時間]]=0,"否","是")</f>
        <v>否</v>
      </c>
    </row>
    <row r="505" spans="1:15" hidden="1">
      <c r="A505" t="s">
        <v>75</v>
      </c>
      <c r="B505" t="s">
        <v>34</v>
      </c>
      <c r="C505">
        <v>0</v>
      </c>
      <c r="D505">
        <v>0</v>
      </c>
      <c r="E505" s="27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s="9">
        <v>45304</v>
      </c>
      <c r="L505">
        <f xml:space="preserve"> (交易處理資料__3[[#This Row],[售出工時]] * 60) / 5</f>
        <v>0</v>
      </c>
      <c r="M505" t="str">
        <f>VLOOKUP(交易處理資料__3[[#This Row],[人員代號]],團隊分組!$B$1:$C$52,2,FALSE)</f>
        <v>快速保養團隊A</v>
      </c>
      <c r="N505">
        <f>IF(交易處理資料__3[[#This Row],[上班時間]]=0,0,交易處理資料__3[[#This Row],[售出工時]]/交易處理資料__3[[#This Row],[上班時間]])</f>
        <v>0</v>
      </c>
      <c r="O505" s="31" t="str">
        <f>IF(交易處理資料__3[[#This Row],[上班時間]]=0,"否","是")</f>
        <v>否</v>
      </c>
    </row>
    <row r="506" spans="1:15" hidden="1">
      <c r="A506" t="s">
        <v>75</v>
      </c>
      <c r="B506" t="s">
        <v>35</v>
      </c>
      <c r="C506">
        <v>1</v>
      </c>
      <c r="D506">
        <v>2.35</v>
      </c>
      <c r="E506" s="27">
        <v>42.55</v>
      </c>
      <c r="F506">
        <v>2.35</v>
      </c>
      <c r="G506">
        <v>1.65</v>
      </c>
      <c r="H506">
        <v>4</v>
      </c>
      <c r="I506">
        <v>58.75</v>
      </c>
      <c r="J506">
        <v>25</v>
      </c>
      <c r="K506" s="9">
        <v>45304</v>
      </c>
      <c r="L506">
        <f xml:space="preserve"> (交易處理資料__3[[#This Row],[售出工時]] * 60) / 5</f>
        <v>12</v>
      </c>
      <c r="M506" t="str">
        <f>VLOOKUP(交易處理資料__3[[#This Row],[人員代號]],團隊分組!$B$1:$C$52,2,FALSE)</f>
        <v>查修團隊B</v>
      </c>
      <c r="N506">
        <f>IF(交易處理資料__3[[#This Row],[上班時間]]=0,0,交易處理資料__3[[#This Row],[售出工時]]/交易處理資料__3[[#This Row],[上班時間]])</f>
        <v>0.25</v>
      </c>
      <c r="O506" s="31" t="str">
        <f>IF(交易處理資料__3[[#This Row],[上班時間]]=0,"否","是")</f>
        <v>是</v>
      </c>
    </row>
    <row r="507" spans="1:15" hidden="1">
      <c r="A507" t="s">
        <v>75</v>
      </c>
      <c r="B507" t="s">
        <v>36</v>
      </c>
      <c r="C507">
        <v>1.66</v>
      </c>
      <c r="D507">
        <v>0.35</v>
      </c>
      <c r="E507" s="27">
        <v>476.19</v>
      </c>
      <c r="F507">
        <v>2.62</v>
      </c>
      <c r="G507">
        <v>1.36</v>
      </c>
      <c r="H507">
        <v>3.98</v>
      </c>
      <c r="I507">
        <v>65.83</v>
      </c>
      <c r="J507">
        <v>41.88</v>
      </c>
      <c r="K507" s="9">
        <v>45304</v>
      </c>
      <c r="L507">
        <f xml:space="preserve"> (交易處理資料__3[[#This Row],[售出工時]] * 60) / 5</f>
        <v>19.919999999999998</v>
      </c>
      <c r="M507" t="str">
        <f>VLOOKUP(交易處理資料__3[[#This Row],[人員代號]],團隊分組!$B$1:$C$52,2,FALSE)</f>
        <v>查修團隊B</v>
      </c>
      <c r="N507">
        <f>IF(交易處理資料__3[[#This Row],[上班時間]]=0,0,交易處理資料__3[[#This Row],[售出工時]]/交易處理資料__3[[#This Row],[上班時間]])</f>
        <v>0.41708542713567837</v>
      </c>
      <c r="O507" s="31" t="str">
        <f>IF(交易處理資料__3[[#This Row],[上班時間]]=0,"否","是")</f>
        <v>是</v>
      </c>
    </row>
    <row r="508" spans="1:15" hidden="1">
      <c r="A508" t="s">
        <v>75</v>
      </c>
      <c r="B508" t="s">
        <v>38</v>
      </c>
      <c r="C508">
        <v>3.75</v>
      </c>
      <c r="D508">
        <v>2.5</v>
      </c>
      <c r="E508" s="27">
        <v>150</v>
      </c>
      <c r="F508">
        <v>2.5</v>
      </c>
      <c r="G508">
        <v>1.55</v>
      </c>
      <c r="H508">
        <v>4.05</v>
      </c>
      <c r="I508">
        <v>61.73</v>
      </c>
      <c r="J508">
        <v>92.59</v>
      </c>
      <c r="K508" s="9">
        <v>45304</v>
      </c>
      <c r="L508">
        <f xml:space="preserve"> (交易處理資料__3[[#This Row],[售出工時]] * 60) / 5</f>
        <v>45</v>
      </c>
      <c r="M508" t="str">
        <f>VLOOKUP(交易處理資料__3[[#This Row],[人員代號]],團隊分組!$B$1:$C$52,2,FALSE)</f>
        <v>快速保養團隊A</v>
      </c>
      <c r="N508">
        <f>IF(交易處理資料__3[[#This Row],[上班時間]]=0,0,交易處理資料__3[[#This Row],[售出工時]]/交易處理資料__3[[#This Row],[上班時間]])</f>
        <v>0.92592592592592593</v>
      </c>
      <c r="O508" s="31" t="str">
        <f>IF(交易處理資料__3[[#This Row],[上班時間]]=0,"否","是")</f>
        <v>是</v>
      </c>
    </row>
    <row r="509" spans="1:15" hidden="1">
      <c r="A509" t="s">
        <v>75</v>
      </c>
      <c r="B509" t="s">
        <v>39</v>
      </c>
      <c r="C509">
        <v>1.4</v>
      </c>
      <c r="D509">
        <v>2.7</v>
      </c>
      <c r="E509" s="27">
        <v>51.85</v>
      </c>
      <c r="F509">
        <v>4.1500000000000004</v>
      </c>
      <c r="G509">
        <v>3.38</v>
      </c>
      <c r="H509">
        <v>7.53</v>
      </c>
      <c r="I509">
        <v>55.11</v>
      </c>
      <c r="J509">
        <v>18.59</v>
      </c>
      <c r="K509" s="9">
        <v>45304</v>
      </c>
      <c r="L509">
        <f xml:space="preserve"> (交易處理資料__3[[#This Row],[售出工時]] * 60) / 5</f>
        <v>16.8</v>
      </c>
      <c r="M509" t="str">
        <f>VLOOKUP(交易處理資料__3[[#This Row],[人員代號]],團隊分組!$B$1:$C$52,2,FALSE)</f>
        <v>查修團隊A</v>
      </c>
      <c r="N509">
        <f>IF(交易處理資料__3[[#This Row],[上班時間]]=0,0,交易處理資料__3[[#This Row],[售出工時]]/交易處理資料__3[[#This Row],[上班時間]])</f>
        <v>0.18592297476759626</v>
      </c>
      <c r="O509" s="31" t="str">
        <f>IF(交易處理資料__3[[#This Row],[上班時間]]=0,"否","是")</f>
        <v>是</v>
      </c>
    </row>
    <row r="510" spans="1:15" hidden="1">
      <c r="A510" t="s">
        <v>75</v>
      </c>
      <c r="B510" t="s">
        <v>40</v>
      </c>
      <c r="C510">
        <v>1.3</v>
      </c>
      <c r="D510">
        <v>2.04</v>
      </c>
      <c r="E510" s="27">
        <v>63.72</v>
      </c>
      <c r="F510">
        <v>2.04</v>
      </c>
      <c r="G510">
        <v>1.94</v>
      </c>
      <c r="H510">
        <v>3.98</v>
      </c>
      <c r="I510">
        <v>51.26</v>
      </c>
      <c r="J510">
        <v>32.659999999999997</v>
      </c>
      <c r="K510" s="9">
        <v>45304</v>
      </c>
      <c r="L510">
        <f xml:space="preserve"> (交易處理資料__3[[#This Row],[售出工時]] * 60) / 5</f>
        <v>15.6</v>
      </c>
      <c r="M510" t="str">
        <f>VLOOKUP(交易處理資料__3[[#This Row],[人員代號]],團隊分組!$B$1:$C$52,2,FALSE)</f>
        <v>查修團隊A</v>
      </c>
      <c r="N510">
        <f>IF(交易處理資料__3[[#This Row],[上班時間]]=0,0,交易處理資料__3[[#This Row],[售出工時]]/交易處理資料__3[[#This Row],[上班時間]])</f>
        <v>0.32663316582914576</v>
      </c>
      <c r="O510" s="31" t="str">
        <f>IF(交易處理資料__3[[#This Row],[上班時間]]=0,"否","是")</f>
        <v>是</v>
      </c>
    </row>
    <row r="511" spans="1:15" hidden="1">
      <c r="A511" t="s">
        <v>75</v>
      </c>
      <c r="B511" t="s">
        <v>43</v>
      </c>
      <c r="C511">
        <v>2</v>
      </c>
      <c r="D511">
        <v>2.35</v>
      </c>
      <c r="E511" s="27">
        <v>85.1</v>
      </c>
      <c r="F511">
        <v>2.35</v>
      </c>
      <c r="G511">
        <v>1.65</v>
      </c>
      <c r="H511">
        <v>4</v>
      </c>
      <c r="I511">
        <v>58.75</v>
      </c>
      <c r="J511">
        <v>50</v>
      </c>
      <c r="K511" s="9">
        <v>45304</v>
      </c>
      <c r="L511">
        <f xml:space="preserve"> (交易處理資料__3[[#This Row],[售出工時]] * 60) / 5</f>
        <v>24</v>
      </c>
      <c r="M511" t="str">
        <f>VLOOKUP(交易處理資料__3[[#This Row],[人員代號]],團隊分組!$B$1:$C$52,2,FALSE)</f>
        <v>查修團隊B</v>
      </c>
      <c r="N511">
        <f>IF(交易處理資料__3[[#This Row],[上班時間]]=0,0,交易處理資料__3[[#This Row],[售出工時]]/交易處理資料__3[[#This Row],[上班時間]])</f>
        <v>0.5</v>
      </c>
      <c r="O511" s="31" t="str">
        <f>IF(交易處理資料__3[[#This Row],[上班時間]]=0,"否","是")</f>
        <v>是</v>
      </c>
    </row>
    <row r="512" spans="1:15" hidden="1">
      <c r="A512" t="s">
        <v>75</v>
      </c>
      <c r="B512" t="s">
        <v>44</v>
      </c>
      <c r="C512">
        <v>2.42</v>
      </c>
      <c r="D512">
        <v>1.1299999999999999</v>
      </c>
      <c r="E512" s="27">
        <v>214.15</v>
      </c>
      <c r="F512">
        <v>2.98</v>
      </c>
      <c r="G512">
        <v>1.04</v>
      </c>
      <c r="H512">
        <v>4.0199999999999996</v>
      </c>
      <c r="I512">
        <v>74.13</v>
      </c>
      <c r="J512">
        <v>60.2</v>
      </c>
      <c r="K512" s="9">
        <v>45304</v>
      </c>
      <c r="L512">
        <f xml:space="preserve"> (交易處理資料__3[[#This Row],[售出工時]] * 60) / 5</f>
        <v>29.04</v>
      </c>
      <c r="M512" t="str">
        <f>VLOOKUP(交易處理資料__3[[#This Row],[人員代號]],團隊分組!$B$1:$C$52,2,FALSE)</f>
        <v>快速保養團隊B</v>
      </c>
      <c r="N512">
        <f>IF(交易處理資料__3[[#This Row],[上班時間]]=0,0,交易處理資料__3[[#This Row],[售出工時]]/交易處理資料__3[[#This Row],[上班時間]])</f>
        <v>0.60199004975124382</v>
      </c>
      <c r="O512" s="31" t="str">
        <f>IF(交易處理資料__3[[#This Row],[上班時間]]=0,"否","是")</f>
        <v>是</v>
      </c>
    </row>
    <row r="513" spans="1:15" hidden="1">
      <c r="A513" t="s">
        <v>75</v>
      </c>
      <c r="B513" t="s">
        <v>45</v>
      </c>
      <c r="C513">
        <v>0</v>
      </c>
      <c r="D513">
        <v>0</v>
      </c>
      <c r="E513" s="27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 s="9">
        <v>45304</v>
      </c>
      <c r="L513">
        <f xml:space="preserve"> (交易處理資料__3[[#This Row],[售出工時]] * 60) / 5</f>
        <v>0</v>
      </c>
      <c r="M513" t="str">
        <f>VLOOKUP(交易處理資料__3[[#This Row],[人員代號]],團隊分組!$B$1:$C$52,2,FALSE)</f>
        <v>快速保養團隊A</v>
      </c>
      <c r="N513">
        <f>IF(交易處理資料__3[[#This Row],[上班時間]]=0,0,交易處理資料__3[[#This Row],[售出工時]]/交易處理資料__3[[#This Row],[上班時間]])</f>
        <v>0</v>
      </c>
      <c r="O513" s="31" t="str">
        <f>IF(交易處理資料__3[[#This Row],[上班時間]]=0,"否","是")</f>
        <v>否</v>
      </c>
    </row>
    <row r="514" spans="1:15" hidden="1">
      <c r="A514" t="s">
        <v>75</v>
      </c>
      <c r="B514" t="s">
        <v>46</v>
      </c>
      <c r="C514">
        <v>0</v>
      </c>
      <c r="D514">
        <v>0</v>
      </c>
      <c r="E514" s="27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s="9">
        <v>45304</v>
      </c>
      <c r="L514">
        <f xml:space="preserve"> (交易處理資料__3[[#This Row],[售出工時]] * 60) / 5</f>
        <v>0</v>
      </c>
      <c r="M514" t="str">
        <f>VLOOKUP(交易處理資料__3[[#This Row],[人員代號]],團隊分組!$B$1:$C$52,2,FALSE)</f>
        <v>查修團隊B</v>
      </c>
      <c r="N514">
        <f>IF(交易處理資料__3[[#This Row],[上班時間]]=0,0,交易處理資料__3[[#This Row],[售出工時]]/交易處理資料__3[[#This Row],[上班時間]])</f>
        <v>0</v>
      </c>
      <c r="O514" s="31" t="str">
        <f>IF(交易處理資料__3[[#This Row],[上班時間]]=0,"否","是")</f>
        <v>否</v>
      </c>
    </row>
    <row r="515" spans="1:15" hidden="1">
      <c r="A515" t="s">
        <v>75</v>
      </c>
      <c r="B515" t="s">
        <v>49</v>
      </c>
      <c r="C515">
        <v>0</v>
      </c>
      <c r="D515">
        <v>0</v>
      </c>
      <c r="E515" s="27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 s="9">
        <v>45304</v>
      </c>
      <c r="L515">
        <f xml:space="preserve"> (交易處理資料__3[[#This Row],[售出工時]] * 60) / 5</f>
        <v>0</v>
      </c>
      <c r="M515" t="str">
        <f>VLOOKUP(交易處理資料__3[[#This Row],[人員代號]],團隊分組!$B$1:$C$52,2,FALSE)</f>
        <v>查修團隊A</v>
      </c>
      <c r="N515">
        <f>IF(交易處理資料__3[[#This Row],[上班時間]]=0,0,交易處理資料__3[[#This Row],[售出工時]]/交易處理資料__3[[#This Row],[上班時間]])</f>
        <v>0</v>
      </c>
      <c r="O515" s="31" t="str">
        <f>IF(交易處理資料__3[[#This Row],[上班時間]]=0,"否","是")</f>
        <v>否</v>
      </c>
    </row>
    <row r="516" spans="1:15" hidden="1">
      <c r="A516" t="s">
        <v>75</v>
      </c>
      <c r="B516" t="s">
        <v>51</v>
      </c>
      <c r="C516">
        <v>0</v>
      </c>
      <c r="D516">
        <v>0</v>
      </c>
      <c r="E516" s="27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 s="9">
        <v>45304</v>
      </c>
      <c r="L516">
        <f xml:space="preserve"> (交易處理資料__3[[#This Row],[售出工時]] * 60) / 5</f>
        <v>0</v>
      </c>
      <c r="M516" t="str">
        <f>VLOOKUP(交易處理資料__3[[#This Row],[人員代號]],團隊分組!$B$1:$C$52,2,FALSE)</f>
        <v>無效數據</v>
      </c>
      <c r="N516">
        <f>IF(交易處理資料__3[[#This Row],[上班時間]]=0,0,交易處理資料__3[[#This Row],[售出工時]]/交易處理資料__3[[#This Row],[上班時間]])</f>
        <v>0</v>
      </c>
      <c r="O516" s="31" t="str">
        <f>IF(交易處理資料__3[[#This Row],[上班時間]]=0,"否","是")</f>
        <v>否</v>
      </c>
    </row>
    <row r="517" spans="1:15" hidden="1">
      <c r="A517" t="s">
        <v>75</v>
      </c>
      <c r="B517" t="s">
        <v>52</v>
      </c>
      <c r="C517">
        <v>0</v>
      </c>
      <c r="D517">
        <v>0</v>
      </c>
      <c r="E517" s="2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 s="9">
        <v>45304</v>
      </c>
      <c r="L517">
        <f xml:space="preserve"> (交易處理資料__3[[#This Row],[售出工時]] * 60) / 5</f>
        <v>0</v>
      </c>
      <c r="M517" t="str">
        <f>VLOOKUP(交易處理資料__3[[#This Row],[人員代號]],團隊分組!$B$1:$C$52,2,FALSE)</f>
        <v>查修團隊B</v>
      </c>
      <c r="N517">
        <f>IF(交易處理資料__3[[#This Row],[上班時間]]=0,0,交易處理資料__3[[#This Row],[售出工時]]/交易處理資料__3[[#This Row],[上班時間]])</f>
        <v>0</v>
      </c>
      <c r="O517" s="31" t="str">
        <f>IF(交易處理資料__3[[#This Row],[上班時間]]=0,"否","是")</f>
        <v>否</v>
      </c>
    </row>
    <row r="518" spans="1:15" hidden="1">
      <c r="A518" t="s">
        <v>75</v>
      </c>
      <c r="B518" t="s">
        <v>53</v>
      </c>
      <c r="C518">
        <v>0</v>
      </c>
      <c r="D518">
        <v>0</v>
      </c>
      <c r="E518" s="27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 s="9">
        <v>45304</v>
      </c>
      <c r="L518">
        <f xml:space="preserve"> (交易處理資料__3[[#This Row],[售出工時]] * 60) / 5</f>
        <v>0</v>
      </c>
      <c r="M518" t="str">
        <f>VLOOKUP(交易處理資料__3[[#This Row],[人員代號]],團隊分組!$B$1:$C$52,2,FALSE)</f>
        <v>查修團隊A</v>
      </c>
      <c r="N518">
        <f>IF(交易處理資料__3[[#This Row],[上班時間]]=0,0,交易處理資料__3[[#This Row],[售出工時]]/交易處理資料__3[[#This Row],[上班時間]])</f>
        <v>0</v>
      </c>
      <c r="O518" s="31" t="str">
        <f>IF(交易處理資料__3[[#This Row],[上班時間]]=0,"否","是")</f>
        <v>否</v>
      </c>
    </row>
    <row r="519" spans="1:15" hidden="1">
      <c r="A519" s="10" t="s">
        <v>73</v>
      </c>
      <c r="B519" t="s">
        <v>1</v>
      </c>
      <c r="C519">
        <v>0</v>
      </c>
      <c r="D519">
        <v>0</v>
      </c>
      <c r="E519" s="27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 s="9">
        <v>45305</v>
      </c>
      <c r="L519">
        <f xml:space="preserve"> (交易處理資料__3[[#This Row],[售出工時]] * 60) / 5</f>
        <v>0</v>
      </c>
      <c r="M519" t="str">
        <f>VLOOKUP(交易處理資料__3[[#This Row],[人員代號]],團隊分組!$B$1:$C$52,2,FALSE)</f>
        <v>噴漆維修組</v>
      </c>
      <c r="N519">
        <f>IF(交易處理資料__3[[#This Row],[上班時間]]=0,0,交易處理資料__3[[#This Row],[售出工時]]/交易處理資料__3[[#This Row],[上班時間]])</f>
        <v>0</v>
      </c>
      <c r="O519" s="31" t="str">
        <f>IF(交易處理資料__3[[#This Row],[上班時間]]=0,"否","是")</f>
        <v>否</v>
      </c>
    </row>
    <row r="520" spans="1:15" hidden="1">
      <c r="A520" s="10" t="s">
        <v>73</v>
      </c>
      <c r="B520" t="s">
        <v>2</v>
      </c>
      <c r="C520">
        <v>0</v>
      </c>
      <c r="D520">
        <v>0</v>
      </c>
      <c r="E520" s="27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 s="9">
        <v>45305</v>
      </c>
      <c r="L520">
        <f xml:space="preserve"> (交易處理資料__3[[#This Row],[售出工時]] * 60) / 5</f>
        <v>0</v>
      </c>
      <c r="M520" t="str">
        <f>VLOOKUP(交易處理資料__3[[#This Row],[人員代號]],團隊分組!$B$1:$C$52,2,FALSE)</f>
        <v>噴漆維修組</v>
      </c>
      <c r="N520">
        <f>IF(交易處理資料__3[[#This Row],[上班時間]]=0,0,交易處理資料__3[[#This Row],[售出工時]]/交易處理資料__3[[#This Row],[上班時間]])</f>
        <v>0</v>
      </c>
      <c r="O520" s="31" t="str">
        <f>IF(交易處理資料__3[[#This Row],[上班時間]]=0,"否","是")</f>
        <v>否</v>
      </c>
    </row>
    <row r="521" spans="1:15" hidden="1">
      <c r="A521" s="10" t="s">
        <v>73</v>
      </c>
      <c r="B521" t="s">
        <v>3</v>
      </c>
      <c r="C521">
        <v>0</v>
      </c>
      <c r="D521">
        <v>0</v>
      </c>
      <c r="E521" s="27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 s="9">
        <v>45305</v>
      </c>
      <c r="L521">
        <f xml:space="preserve"> (交易處理資料__3[[#This Row],[售出工時]] * 60) / 5</f>
        <v>0</v>
      </c>
      <c r="M521" t="str">
        <f>VLOOKUP(交易處理資料__3[[#This Row],[人員代號]],團隊分組!$B$1:$C$52,2,FALSE)</f>
        <v>噴漆維修組</v>
      </c>
      <c r="N521">
        <f>IF(交易處理資料__3[[#This Row],[上班時間]]=0,0,交易處理資料__3[[#This Row],[售出工時]]/交易處理資料__3[[#This Row],[上班時間]])</f>
        <v>0</v>
      </c>
      <c r="O521" s="31" t="str">
        <f>IF(交易處理資料__3[[#This Row],[上班時間]]=0,"否","是")</f>
        <v>否</v>
      </c>
    </row>
    <row r="522" spans="1:15" hidden="1">
      <c r="A522" s="10" t="s">
        <v>73</v>
      </c>
      <c r="B522" t="s">
        <v>4</v>
      </c>
      <c r="C522">
        <v>0</v>
      </c>
      <c r="D522">
        <v>0</v>
      </c>
      <c r="E522" s="27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 s="9">
        <v>45305</v>
      </c>
      <c r="L522">
        <f xml:space="preserve"> (交易處理資料__3[[#This Row],[售出工時]] * 60) / 5</f>
        <v>0</v>
      </c>
      <c r="M522" t="str">
        <f>VLOOKUP(交易處理資料__3[[#This Row],[人員代號]],團隊分組!$B$1:$C$52,2,FALSE)</f>
        <v>噴漆維修組</v>
      </c>
      <c r="N522">
        <f>IF(交易處理資料__3[[#This Row],[上班時間]]=0,0,交易處理資料__3[[#This Row],[售出工時]]/交易處理資料__3[[#This Row],[上班時間]])</f>
        <v>0</v>
      </c>
      <c r="O522" s="31" t="str">
        <f>IF(交易處理資料__3[[#This Row],[上班時間]]=0,"否","是")</f>
        <v>否</v>
      </c>
    </row>
    <row r="523" spans="1:15" hidden="1">
      <c r="A523" s="10" t="s">
        <v>73</v>
      </c>
      <c r="B523" t="s">
        <v>5</v>
      </c>
      <c r="C523">
        <v>0</v>
      </c>
      <c r="D523">
        <v>0</v>
      </c>
      <c r="E523" s="27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 s="9">
        <v>45305</v>
      </c>
      <c r="L523">
        <f xml:space="preserve"> (交易處理資料__3[[#This Row],[售出工時]] * 60) / 5</f>
        <v>0</v>
      </c>
      <c r="M523" t="str">
        <f>VLOOKUP(交易處理資料__3[[#This Row],[人員代號]],團隊分組!$B$1:$C$52,2,FALSE)</f>
        <v>噴漆維修組</v>
      </c>
      <c r="N523">
        <f>IF(交易處理資料__3[[#This Row],[上班時間]]=0,0,交易處理資料__3[[#This Row],[售出工時]]/交易處理資料__3[[#This Row],[上班時間]])</f>
        <v>0</v>
      </c>
      <c r="O523" s="31" t="str">
        <f>IF(交易處理資料__3[[#This Row],[上班時間]]=0,"否","是")</f>
        <v>否</v>
      </c>
    </row>
    <row r="524" spans="1:15" hidden="1">
      <c r="A524" s="10" t="s">
        <v>73</v>
      </c>
      <c r="B524" t="s">
        <v>6</v>
      </c>
      <c r="C524">
        <v>0</v>
      </c>
      <c r="D524">
        <v>0</v>
      </c>
      <c r="E524" s="27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 s="9">
        <v>45305</v>
      </c>
      <c r="L524">
        <f xml:space="preserve"> (交易處理資料__3[[#This Row],[售出工時]] * 60) / 5</f>
        <v>0</v>
      </c>
      <c r="M524" t="str">
        <f>VLOOKUP(交易處理資料__3[[#This Row],[人員代號]],團隊分組!$B$1:$C$52,2,FALSE)</f>
        <v>噴漆維修組</v>
      </c>
      <c r="N524">
        <f>IF(交易處理資料__3[[#This Row],[上班時間]]=0,0,交易處理資料__3[[#This Row],[售出工時]]/交易處理資料__3[[#This Row],[上班時間]])</f>
        <v>0</v>
      </c>
      <c r="O524" s="31" t="str">
        <f>IF(交易處理資料__3[[#This Row],[上班時間]]=0,"否","是")</f>
        <v>否</v>
      </c>
    </row>
    <row r="525" spans="1:15" hidden="1">
      <c r="A525" s="10" t="s">
        <v>73</v>
      </c>
      <c r="B525" t="s">
        <v>7</v>
      </c>
      <c r="C525">
        <v>0</v>
      </c>
      <c r="D525">
        <v>0</v>
      </c>
      <c r="E525" s="27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 s="9">
        <v>45305</v>
      </c>
      <c r="L525">
        <f xml:space="preserve"> (交易處理資料__3[[#This Row],[售出工時]] * 60) / 5</f>
        <v>0</v>
      </c>
      <c r="M525" t="str">
        <f>VLOOKUP(交易處理資料__3[[#This Row],[人員代號]],團隊分組!$B$1:$C$52,2,FALSE)</f>
        <v>噴漆維修組</v>
      </c>
      <c r="N525">
        <f>IF(交易處理資料__3[[#This Row],[上班時間]]=0,0,交易處理資料__3[[#This Row],[售出工時]]/交易處理資料__3[[#This Row],[上班時間]])</f>
        <v>0</v>
      </c>
      <c r="O525" s="31" t="str">
        <f>IF(交易處理資料__3[[#This Row],[上班時間]]=0,"否","是")</f>
        <v>否</v>
      </c>
    </row>
    <row r="526" spans="1:15" hidden="1">
      <c r="A526" s="10" t="s">
        <v>73</v>
      </c>
      <c r="B526" t="s">
        <v>8</v>
      </c>
      <c r="C526">
        <v>0</v>
      </c>
      <c r="D526">
        <v>0</v>
      </c>
      <c r="E526" s="27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 s="9">
        <v>45305</v>
      </c>
      <c r="L526">
        <f xml:space="preserve"> (交易處理資料__3[[#This Row],[售出工時]] * 60) / 5</f>
        <v>0</v>
      </c>
      <c r="M526" t="str">
        <f>VLOOKUP(交易處理資料__3[[#This Row],[人員代號]],團隊分組!$B$1:$C$52,2,FALSE)</f>
        <v>噴漆維修組</v>
      </c>
      <c r="N526">
        <f>IF(交易處理資料__3[[#This Row],[上班時間]]=0,0,交易處理資料__3[[#This Row],[售出工時]]/交易處理資料__3[[#This Row],[上班時間]])</f>
        <v>0</v>
      </c>
      <c r="O526" s="31" t="str">
        <f>IF(交易處理資料__3[[#This Row],[上班時間]]=0,"否","是")</f>
        <v>否</v>
      </c>
    </row>
    <row r="527" spans="1:15" hidden="1">
      <c r="A527" s="10" t="s">
        <v>73</v>
      </c>
      <c r="B527" t="s">
        <v>9</v>
      </c>
      <c r="C527">
        <v>0</v>
      </c>
      <c r="D527">
        <v>0</v>
      </c>
      <c r="E527" s="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 s="9">
        <v>45305</v>
      </c>
      <c r="L527">
        <f xml:space="preserve"> (交易處理資料__3[[#This Row],[售出工時]] * 60) / 5</f>
        <v>0</v>
      </c>
      <c r="M527" t="str">
        <f>VLOOKUP(交易處理資料__3[[#This Row],[人員代號]],團隊分組!$B$1:$C$52,2,FALSE)</f>
        <v>噴漆維修組</v>
      </c>
      <c r="N527">
        <f>IF(交易處理資料__3[[#This Row],[上班時間]]=0,0,交易處理資料__3[[#This Row],[售出工時]]/交易處理資料__3[[#This Row],[上班時間]])</f>
        <v>0</v>
      </c>
      <c r="O527" s="31" t="str">
        <f>IF(交易處理資料__3[[#This Row],[上班時間]]=0,"否","是")</f>
        <v>否</v>
      </c>
    </row>
    <row r="528" spans="1:15" hidden="1">
      <c r="A528" t="s">
        <v>74</v>
      </c>
      <c r="B528" t="s">
        <v>11</v>
      </c>
      <c r="C528">
        <v>0</v>
      </c>
      <c r="D528">
        <v>0</v>
      </c>
      <c r="E528" s="27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 s="9">
        <v>45305</v>
      </c>
      <c r="L528">
        <f xml:space="preserve"> (交易處理資料__3[[#This Row],[售出工時]] * 60) / 5</f>
        <v>0</v>
      </c>
      <c r="M528" t="str">
        <f>VLOOKUP(交易處理資料__3[[#This Row],[人員代號]],團隊分組!$B$1:$C$52,2,FALSE)</f>
        <v>鈑金維修組</v>
      </c>
      <c r="N528">
        <f>IF(交易處理資料__3[[#This Row],[上班時間]]=0,0,交易處理資料__3[[#This Row],[售出工時]]/交易處理資料__3[[#This Row],[上班時間]])</f>
        <v>0</v>
      </c>
      <c r="O528" s="31" t="str">
        <f>IF(交易處理資料__3[[#This Row],[上班時間]]=0,"否","是")</f>
        <v>否</v>
      </c>
    </row>
    <row r="529" spans="1:15" hidden="1">
      <c r="A529" t="s">
        <v>74</v>
      </c>
      <c r="B529" t="s">
        <v>12</v>
      </c>
      <c r="C529">
        <v>0</v>
      </c>
      <c r="D529">
        <v>0</v>
      </c>
      <c r="E529" s="27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s="9">
        <v>45305</v>
      </c>
      <c r="L529">
        <f xml:space="preserve"> (交易處理資料__3[[#This Row],[售出工時]] * 60) / 5</f>
        <v>0</v>
      </c>
      <c r="M529" t="str">
        <f>VLOOKUP(交易處理資料__3[[#This Row],[人員代號]],團隊分組!$B$1:$C$52,2,FALSE)</f>
        <v>鈑金維修組</v>
      </c>
      <c r="N529">
        <f>IF(交易處理資料__3[[#This Row],[上班時間]]=0,0,交易處理資料__3[[#This Row],[售出工時]]/交易處理資料__3[[#This Row],[上班時間]])</f>
        <v>0</v>
      </c>
      <c r="O529" s="31" t="str">
        <f>IF(交易處理資料__3[[#This Row],[上班時間]]=0,"否","是")</f>
        <v>否</v>
      </c>
    </row>
    <row r="530" spans="1:15" hidden="1">
      <c r="A530" t="s">
        <v>74</v>
      </c>
      <c r="B530" t="s">
        <v>13</v>
      </c>
      <c r="C530">
        <v>0</v>
      </c>
      <c r="D530">
        <v>0</v>
      </c>
      <c r="E530" s="27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 s="9">
        <v>45305</v>
      </c>
      <c r="L530">
        <f xml:space="preserve"> (交易處理資料__3[[#This Row],[售出工時]] * 60) / 5</f>
        <v>0</v>
      </c>
      <c r="M530" t="str">
        <f>VLOOKUP(交易處理資料__3[[#This Row],[人員代號]],團隊分組!$B$1:$C$52,2,FALSE)</f>
        <v>鈑金維修組</v>
      </c>
      <c r="N530">
        <f>IF(交易處理資料__3[[#This Row],[上班時間]]=0,0,交易處理資料__3[[#This Row],[售出工時]]/交易處理資料__3[[#This Row],[上班時間]])</f>
        <v>0</v>
      </c>
      <c r="O530" s="31" t="str">
        <f>IF(交易處理資料__3[[#This Row],[上班時間]]=0,"否","是")</f>
        <v>否</v>
      </c>
    </row>
    <row r="531" spans="1:15" hidden="1">
      <c r="A531" t="s">
        <v>74</v>
      </c>
      <c r="B531" t="s">
        <v>14</v>
      </c>
      <c r="C531">
        <v>0</v>
      </c>
      <c r="D531">
        <v>0</v>
      </c>
      <c r="E531" s="27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 s="9">
        <v>45305</v>
      </c>
      <c r="L531">
        <f xml:space="preserve"> (交易處理資料__3[[#This Row],[售出工時]] * 60) / 5</f>
        <v>0</v>
      </c>
      <c r="M531" t="str">
        <f>VLOOKUP(交易處理資料__3[[#This Row],[人員代號]],團隊分組!$B$1:$C$52,2,FALSE)</f>
        <v>鈑金維修組</v>
      </c>
      <c r="N531">
        <f>IF(交易處理資料__3[[#This Row],[上班時間]]=0,0,交易處理資料__3[[#This Row],[售出工時]]/交易處理資料__3[[#This Row],[上班時間]])</f>
        <v>0</v>
      </c>
      <c r="O531" s="31" t="str">
        <f>IF(交易處理資料__3[[#This Row],[上班時間]]=0,"否","是")</f>
        <v>否</v>
      </c>
    </row>
    <row r="532" spans="1:15" hidden="1">
      <c r="A532" t="s">
        <v>74</v>
      </c>
      <c r="B532" t="s">
        <v>15</v>
      </c>
      <c r="C532">
        <v>0</v>
      </c>
      <c r="D532">
        <v>0</v>
      </c>
      <c r="E532" s="27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 s="9">
        <v>45305</v>
      </c>
      <c r="L532">
        <f xml:space="preserve"> (交易處理資料__3[[#This Row],[售出工時]] * 60) / 5</f>
        <v>0</v>
      </c>
      <c r="M532" t="str">
        <f>VLOOKUP(交易處理資料__3[[#This Row],[人員代號]],團隊分組!$B$1:$C$52,2,FALSE)</f>
        <v>鈑金維修組</v>
      </c>
      <c r="N532">
        <f>IF(交易處理資料__3[[#This Row],[上班時間]]=0,0,交易處理資料__3[[#This Row],[售出工時]]/交易處理資料__3[[#This Row],[上班時間]])</f>
        <v>0</v>
      </c>
      <c r="O532" s="31" t="str">
        <f>IF(交易處理資料__3[[#This Row],[上班時間]]=0,"否","是")</f>
        <v>否</v>
      </c>
    </row>
    <row r="533" spans="1:15" hidden="1">
      <c r="A533" t="s">
        <v>75</v>
      </c>
      <c r="B533" t="s">
        <v>17</v>
      </c>
      <c r="C533">
        <v>0</v>
      </c>
      <c r="D533">
        <v>0</v>
      </c>
      <c r="E533" s="27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 s="9">
        <v>45305</v>
      </c>
      <c r="L533">
        <f xml:space="preserve"> (交易處理資料__3[[#This Row],[售出工時]] * 60) / 5</f>
        <v>0</v>
      </c>
      <c r="M533" t="str">
        <f>VLOOKUP(交易處理資料__3[[#This Row],[人員代號]],團隊分組!$B$1:$C$52,2,FALSE)</f>
        <v>快速保養團隊A</v>
      </c>
      <c r="N533">
        <f>IF(交易處理資料__3[[#This Row],[上班時間]]=0,0,交易處理資料__3[[#This Row],[售出工時]]/交易處理資料__3[[#This Row],[上班時間]])</f>
        <v>0</v>
      </c>
      <c r="O533" s="31" t="str">
        <f>IF(交易處理資料__3[[#This Row],[上班時間]]=0,"否","是")</f>
        <v>否</v>
      </c>
    </row>
    <row r="534" spans="1:15" hidden="1">
      <c r="A534" t="s">
        <v>75</v>
      </c>
      <c r="B534" t="s">
        <v>18</v>
      </c>
      <c r="C534">
        <v>0</v>
      </c>
      <c r="D534">
        <v>0</v>
      </c>
      <c r="E534" s="27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 s="9">
        <v>45305</v>
      </c>
      <c r="L534">
        <f xml:space="preserve"> (交易處理資料__3[[#This Row],[售出工時]] * 60) / 5</f>
        <v>0</v>
      </c>
      <c r="M534" t="str">
        <f>VLOOKUP(交易處理資料__3[[#This Row],[人員代號]],團隊分組!$B$1:$C$52,2,FALSE)</f>
        <v>查修團隊B</v>
      </c>
      <c r="N534">
        <f>IF(交易處理資料__3[[#This Row],[上班時間]]=0,0,交易處理資料__3[[#This Row],[售出工時]]/交易處理資料__3[[#This Row],[上班時間]])</f>
        <v>0</v>
      </c>
      <c r="O534" s="31" t="str">
        <f>IF(交易處理資料__3[[#This Row],[上班時間]]=0,"否","是")</f>
        <v>否</v>
      </c>
    </row>
    <row r="535" spans="1:15" hidden="1">
      <c r="A535" t="s">
        <v>75</v>
      </c>
      <c r="B535" t="s">
        <v>19</v>
      </c>
      <c r="C535">
        <v>0</v>
      </c>
      <c r="D535">
        <v>0</v>
      </c>
      <c r="E535" s="27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 s="9">
        <v>45305</v>
      </c>
      <c r="L535">
        <f xml:space="preserve"> (交易處理資料__3[[#This Row],[售出工時]] * 60) / 5</f>
        <v>0</v>
      </c>
      <c r="M535" t="str">
        <f>VLOOKUP(交易處理資料__3[[#This Row],[人員代號]],團隊分組!$B$1:$C$52,2,FALSE)</f>
        <v>查修團隊A</v>
      </c>
      <c r="N535">
        <f>IF(交易處理資料__3[[#This Row],[上班時間]]=0,0,交易處理資料__3[[#This Row],[售出工時]]/交易處理資料__3[[#This Row],[上班時間]])</f>
        <v>0</v>
      </c>
      <c r="O535" s="31" t="str">
        <f>IF(交易處理資料__3[[#This Row],[上班時間]]=0,"否","是")</f>
        <v>否</v>
      </c>
    </row>
    <row r="536" spans="1:15" hidden="1">
      <c r="A536" t="s">
        <v>75</v>
      </c>
      <c r="B536" t="s">
        <v>20</v>
      </c>
      <c r="C536">
        <v>0</v>
      </c>
      <c r="D536">
        <v>0</v>
      </c>
      <c r="E536" s="27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 s="9">
        <v>45305</v>
      </c>
      <c r="L536">
        <f xml:space="preserve"> (交易處理資料__3[[#This Row],[售出工時]] * 60) / 5</f>
        <v>0</v>
      </c>
      <c r="M536" t="str">
        <f>VLOOKUP(交易處理資料__3[[#This Row],[人員代號]],團隊分組!$B$1:$C$52,2,FALSE)</f>
        <v>查修團隊B</v>
      </c>
      <c r="N536">
        <f>IF(交易處理資料__3[[#This Row],[上班時間]]=0,0,交易處理資料__3[[#This Row],[售出工時]]/交易處理資料__3[[#This Row],[上班時間]])</f>
        <v>0</v>
      </c>
      <c r="O536" s="31" t="str">
        <f>IF(交易處理資料__3[[#This Row],[上班時間]]=0,"否","是")</f>
        <v>否</v>
      </c>
    </row>
    <row r="537" spans="1:15" hidden="1">
      <c r="A537" t="s">
        <v>75</v>
      </c>
      <c r="B537" t="s">
        <v>21</v>
      </c>
      <c r="C537">
        <v>0</v>
      </c>
      <c r="D537">
        <v>0</v>
      </c>
      <c r="E537" s="2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 s="9">
        <v>45305</v>
      </c>
      <c r="L537">
        <f xml:space="preserve"> (交易處理資料__3[[#This Row],[售出工時]] * 60) / 5</f>
        <v>0</v>
      </c>
      <c r="M537" t="str">
        <f>VLOOKUP(交易處理資料__3[[#This Row],[人員代號]],團隊分組!$B$1:$C$52,2,FALSE)</f>
        <v>查修團隊B</v>
      </c>
      <c r="N537">
        <f>IF(交易處理資料__3[[#This Row],[上班時間]]=0,0,交易處理資料__3[[#This Row],[售出工時]]/交易處理資料__3[[#This Row],[上班時間]])</f>
        <v>0</v>
      </c>
      <c r="O537" s="31" t="str">
        <f>IF(交易處理資料__3[[#This Row],[上班時間]]=0,"否","是")</f>
        <v>否</v>
      </c>
    </row>
    <row r="538" spans="1:15" hidden="1">
      <c r="A538" t="s">
        <v>75</v>
      </c>
      <c r="B538" t="s">
        <v>22</v>
      </c>
      <c r="C538">
        <v>0</v>
      </c>
      <c r="D538">
        <v>0</v>
      </c>
      <c r="E538" s="27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s="9">
        <v>45305</v>
      </c>
      <c r="L538">
        <f xml:space="preserve"> (交易處理資料__3[[#This Row],[售出工時]] * 60) / 5</f>
        <v>0</v>
      </c>
      <c r="M538" t="str">
        <f>VLOOKUP(交易處理資料__3[[#This Row],[人員代號]],團隊分組!$B$1:$C$52,2,FALSE)</f>
        <v>快速保養團隊A</v>
      </c>
      <c r="N538">
        <f>IF(交易處理資料__3[[#This Row],[上班時間]]=0,0,交易處理資料__3[[#This Row],[售出工時]]/交易處理資料__3[[#This Row],[上班時間]])</f>
        <v>0</v>
      </c>
      <c r="O538" s="31" t="str">
        <f>IF(交易處理資料__3[[#This Row],[上班時間]]=0,"否","是")</f>
        <v>否</v>
      </c>
    </row>
    <row r="539" spans="1:15" hidden="1">
      <c r="A539" t="s">
        <v>75</v>
      </c>
      <c r="B539" t="s">
        <v>23</v>
      </c>
      <c r="C539">
        <v>0</v>
      </c>
      <c r="D539">
        <v>0</v>
      </c>
      <c r="E539" s="27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 s="9">
        <v>45305</v>
      </c>
      <c r="L539">
        <f xml:space="preserve"> (交易處理資料__3[[#This Row],[售出工時]] * 60) / 5</f>
        <v>0</v>
      </c>
      <c r="M539" t="str">
        <f>VLOOKUP(交易處理資料__3[[#This Row],[人員代號]],團隊分組!$B$1:$C$52,2,FALSE)</f>
        <v>快速保養團隊B</v>
      </c>
      <c r="N539">
        <f>IF(交易處理資料__3[[#This Row],[上班時間]]=0,0,交易處理資料__3[[#This Row],[售出工時]]/交易處理資料__3[[#This Row],[上班時間]])</f>
        <v>0</v>
      </c>
      <c r="O539" s="31" t="str">
        <f>IF(交易處理資料__3[[#This Row],[上班時間]]=0,"否","是")</f>
        <v>否</v>
      </c>
    </row>
    <row r="540" spans="1:15" hidden="1">
      <c r="A540" t="s">
        <v>75</v>
      </c>
      <c r="B540" t="s">
        <v>24</v>
      </c>
      <c r="C540">
        <v>0</v>
      </c>
      <c r="D540">
        <v>0</v>
      </c>
      <c r="E540" s="27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 s="9">
        <v>45305</v>
      </c>
      <c r="L540">
        <f xml:space="preserve"> (交易處理資料__3[[#This Row],[售出工時]] * 60) / 5</f>
        <v>0</v>
      </c>
      <c r="M540" t="str">
        <f>VLOOKUP(交易處理資料__3[[#This Row],[人員代號]],團隊分組!$B$1:$C$52,2,FALSE)</f>
        <v>快速保養團隊A</v>
      </c>
      <c r="N540">
        <f>IF(交易處理資料__3[[#This Row],[上班時間]]=0,0,交易處理資料__3[[#This Row],[售出工時]]/交易處理資料__3[[#This Row],[上班時間]])</f>
        <v>0</v>
      </c>
      <c r="O540" s="31" t="str">
        <f>IF(交易處理資料__3[[#This Row],[上班時間]]=0,"否","是")</f>
        <v>否</v>
      </c>
    </row>
    <row r="541" spans="1:15" hidden="1">
      <c r="A541" t="s">
        <v>75</v>
      </c>
      <c r="B541" t="s">
        <v>25</v>
      </c>
      <c r="C541">
        <v>0</v>
      </c>
      <c r="D541">
        <v>0</v>
      </c>
      <c r="E541" s="27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s="9">
        <v>45305</v>
      </c>
      <c r="L541">
        <f xml:space="preserve"> (交易處理資料__3[[#This Row],[售出工時]] * 60) / 5</f>
        <v>0</v>
      </c>
      <c r="M541" t="str">
        <f>VLOOKUP(交易處理資料__3[[#This Row],[人員代號]],團隊分組!$B$1:$C$52,2,FALSE)</f>
        <v>查修團隊A</v>
      </c>
      <c r="N541">
        <f>IF(交易處理資料__3[[#This Row],[上班時間]]=0,0,交易處理資料__3[[#This Row],[售出工時]]/交易處理資料__3[[#This Row],[上班時間]])</f>
        <v>0</v>
      </c>
      <c r="O541" s="31" t="str">
        <f>IF(交易處理資料__3[[#This Row],[上班時間]]=0,"否","是")</f>
        <v>否</v>
      </c>
    </row>
    <row r="542" spans="1:15" hidden="1">
      <c r="A542" t="s">
        <v>75</v>
      </c>
      <c r="B542" t="s">
        <v>26</v>
      </c>
      <c r="C542">
        <v>0</v>
      </c>
      <c r="D542">
        <v>0</v>
      </c>
      <c r="E542" s="27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 s="9">
        <v>45305</v>
      </c>
      <c r="L542">
        <f xml:space="preserve"> (交易處理資料__3[[#This Row],[售出工時]] * 60) / 5</f>
        <v>0</v>
      </c>
      <c r="M542" t="str">
        <f>VLOOKUP(交易處理資料__3[[#This Row],[人員代號]],團隊分組!$B$1:$C$52,2,FALSE)</f>
        <v>查修團隊B</v>
      </c>
      <c r="N542">
        <f>IF(交易處理資料__3[[#This Row],[上班時間]]=0,0,交易處理資料__3[[#This Row],[售出工時]]/交易處理資料__3[[#This Row],[上班時間]])</f>
        <v>0</v>
      </c>
      <c r="O542" s="31" t="str">
        <f>IF(交易處理資料__3[[#This Row],[上班時間]]=0,"否","是")</f>
        <v>否</v>
      </c>
    </row>
    <row r="543" spans="1:15" hidden="1">
      <c r="A543" t="s">
        <v>75</v>
      </c>
      <c r="B543" t="s">
        <v>27</v>
      </c>
      <c r="C543">
        <v>0</v>
      </c>
      <c r="D543">
        <v>0</v>
      </c>
      <c r="E543" s="27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 s="9">
        <v>45305</v>
      </c>
      <c r="L543">
        <f xml:space="preserve"> (交易處理資料__3[[#This Row],[售出工時]] * 60) / 5</f>
        <v>0</v>
      </c>
      <c r="M543" t="str">
        <f>VLOOKUP(交易處理資料__3[[#This Row],[人員代號]],團隊分組!$B$1:$C$52,2,FALSE)</f>
        <v>快速保養團隊B</v>
      </c>
      <c r="N543">
        <f>IF(交易處理資料__3[[#This Row],[上班時間]]=0,0,交易處理資料__3[[#This Row],[售出工時]]/交易處理資料__3[[#This Row],[上班時間]])</f>
        <v>0</v>
      </c>
      <c r="O543" s="31" t="str">
        <f>IF(交易處理資料__3[[#This Row],[上班時間]]=0,"否","是")</f>
        <v>否</v>
      </c>
    </row>
    <row r="544" spans="1:15" hidden="1">
      <c r="A544" t="s">
        <v>75</v>
      </c>
      <c r="B544" t="s">
        <v>28</v>
      </c>
      <c r="C544">
        <v>0</v>
      </c>
      <c r="D544">
        <v>0</v>
      </c>
      <c r="E544" s="27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 s="9">
        <v>45305</v>
      </c>
      <c r="L544">
        <f xml:space="preserve"> (交易處理資料__3[[#This Row],[售出工時]] * 60) / 5</f>
        <v>0</v>
      </c>
      <c r="M544" t="str">
        <f>VLOOKUP(交易處理資料__3[[#This Row],[人員代號]],團隊分組!$B$1:$C$52,2,FALSE)</f>
        <v>快速保養團隊A</v>
      </c>
      <c r="N544">
        <f>IF(交易處理資料__3[[#This Row],[上班時間]]=0,0,交易處理資料__3[[#This Row],[售出工時]]/交易處理資料__3[[#This Row],[上班時間]])</f>
        <v>0</v>
      </c>
      <c r="O544" s="31" t="str">
        <f>IF(交易處理資料__3[[#This Row],[上班時間]]=0,"否","是")</f>
        <v>否</v>
      </c>
    </row>
    <row r="545" spans="1:15" hidden="1">
      <c r="A545" t="s">
        <v>75</v>
      </c>
      <c r="B545" t="s">
        <v>29</v>
      </c>
      <c r="C545">
        <v>0</v>
      </c>
      <c r="D545">
        <v>0</v>
      </c>
      <c r="E545" s="27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s="9">
        <v>45305</v>
      </c>
      <c r="L545">
        <f xml:space="preserve"> (交易處理資料__3[[#This Row],[售出工時]] * 60) / 5</f>
        <v>0</v>
      </c>
      <c r="M545" t="str">
        <f>VLOOKUP(交易處理資料__3[[#This Row],[人員代號]],團隊分組!$B$1:$C$52,2,FALSE)</f>
        <v>查修團隊B</v>
      </c>
      <c r="N545">
        <f>IF(交易處理資料__3[[#This Row],[上班時間]]=0,0,交易處理資料__3[[#This Row],[售出工時]]/交易處理資料__3[[#This Row],[上班時間]])</f>
        <v>0</v>
      </c>
      <c r="O545" s="31" t="str">
        <f>IF(交易處理資料__3[[#This Row],[上班時間]]=0,"否","是")</f>
        <v>否</v>
      </c>
    </row>
    <row r="546" spans="1:15" hidden="1">
      <c r="A546" t="s">
        <v>75</v>
      </c>
      <c r="B546" t="s">
        <v>30</v>
      </c>
      <c r="C546">
        <v>0</v>
      </c>
      <c r="D546">
        <v>0</v>
      </c>
      <c r="E546" s="27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 s="9">
        <v>45305</v>
      </c>
      <c r="L546">
        <f xml:space="preserve"> (交易處理資料__3[[#This Row],[售出工時]] * 60) / 5</f>
        <v>0</v>
      </c>
      <c r="M546" t="str">
        <f>VLOOKUP(交易處理資料__3[[#This Row],[人員代號]],團隊分組!$B$1:$C$52,2,FALSE)</f>
        <v>快速保養團隊B</v>
      </c>
      <c r="N546">
        <f>IF(交易處理資料__3[[#This Row],[上班時間]]=0,0,交易處理資料__3[[#This Row],[售出工時]]/交易處理資料__3[[#This Row],[上班時間]])</f>
        <v>0</v>
      </c>
      <c r="O546" s="31" t="str">
        <f>IF(交易處理資料__3[[#This Row],[上班時間]]=0,"否","是")</f>
        <v>否</v>
      </c>
    </row>
    <row r="547" spans="1:15" hidden="1">
      <c r="A547" t="s">
        <v>75</v>
      </c>
      <c r="B547" t="s">
        <v>31</v>
      </c>
      <c r="C547">
        <v>0</v>
      </c>
      <c r="D547">
        <v>0</v>
      </c>
      <c r="E547" s="2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 s="9">
        <v>45305</v>
      </c>
      <c r="L547">
        <f xml:space="preserve"> (交易處理資料__3[[#This Row],[售出工時]] * 60) / 5</f>
        <v>0</v>
      </c>
      <c r="M547" t="str">
        <f>VLOOKUP(交易處理資料__3[[#This Row],[人員代號]],團隊分組!$B$1:$C$52,2,FALSE)</f>
        <v>快速保養團隊A</v>
      </c>
      <c r="N547">
        <f>IF(交易處理資料__3[[#This Row],[上班時間]]=0,0,交易處理資料__3[[#This Row],[售出工時]]/交易處理資料__3[[#This Row],[上班時間]])</f>
        <v>0</v>
      </c>
      <c r="O547" s="31" t="str">
        <f>IF(交易處理資料__3[[#This Row],[上班時間]]=0,"否","是")</f>
        <v>否</v>
      </c>
    </row>
    <row r="548" spans="1:15" hidden="1">
      <c r="A548" t="s">
        <v>75</v>
      </c>
      <c r="B548" t="s">
        <v>32</v>
      </c>
      <c r="C548">
        <v>0</v>
      </c>
      <c r="D548">
        <v>0</v>
      </c>
      <c r="E548" s="27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 s="9">
        <v>45305</v>
      </c>
      <c r="L548">
        <f xml:space="preserve"> (交易處理資料__3[[#This Row],[售出工時]] * 60) / 5</f>
        <v>0</v>
      </c>
      <c r="M548" t="str">
        <f>VLOOKUP(交易處理資料__3[[#This Row],[人員代號]],團隊分組!$B$1:$C$52,2,FALSE)</f>
        <v>快速保養團隊B</v>
      </c>
      <c r="N548">
        <f>IF(交易處理資料__3[[#This Row],[上班時間]]=0,0,交易處理資料__3[[#This Row],[售出工時]]/交易處理資料__3[[#This Row],[上班時間]])</f>
        <v>0</v>
      </c>
      <c r="O548" s="31" t="str">
        <f>IF(交易處理資料__3[[#This Row],[上班時間]]=0,"否","是")</f>
        <v>否</v>
      </c>
    </row>
    <row r="549" spans="1:15">
      <c r="A549" t="s">
        <v>75</v>
      </c>
      <c r="B549" t="s">
        <v>33</v>
      </c>
      <c r="C549">
        <v>0</v>
      </c>
      <c r="D549">
        <v>0</v>
      </c>
      <c r="E549" s="27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s="9">
        <v>45305</v>
      </c>
      <c r="L549">
        <f xml:space="preserve"> (交易處理資料__3[[#This Row],[售出工時]] * 60) / 5</f>
        <v>0</v>
      </c>
      <c r="M549" t="str">
        <f>VLOOKUP(交易處理資料__3[[#This Row],[人員代號]],團隊分組!$B$1:$C$52,2,FALSE)</f>
        <v>快速保養團隊B</v>
      </c>
      <c r="N549">
        <f>IF(交易處理資料__3[[#This Row],[上班時間]]=0,0,交易處理資料__3[[#This Row],[售出工時]]/交易處理資料__3[[#This Row],[上班時間]])</f>
        <v>0</v>
      </c>
      <c r="O549" s="31" t="str">
        <f>IF(交易處理資料__3[[#This Row],[上班時間]]=0,"否","是")</f>
        <v>否</v>
      </c>
    </row>
    <row r="550" spans="1:15" hidden="1">
      <c r="A550" t="s">
        <v>75</v>
      </c>
      <c r="B550" t="s">
        <v>34</v>
      </c>
      <c r="C550">
        <v>0</v>
      </c>
      <c r="D550">
        <v>0</v>
      </c>
      <c r="E550" s="27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 s="9">
        <v>45305</v>
      </c>
      <c r="L550">
        <f xml:space="preserve"> (交易處理資料__3[[#This Row],[售出工時]] * 60) / 5</f>
        <v>0</v>
      </c>
      <c r="M550" t="str">
        <f>VLOOKUP(交易處理資料__3[[#This Row],[人員代號]],團隊分組!$B$1:$C$52,2,FALSE)</f>
        <v>快速保養團隊A</v>
      </c>
      <c r="N550">
        <f>IF(交易處理資料__3[[#This Row],[上班時間]]=0,0,交易處理資料__3[[#This Row],[售出工時]]/交易處理資料__3[[#This Row],[上班時間]])</f>
        <v>0</v>
      </c>
      <c r="O550" s="31" t="str">
        <f>IF(交易處理資料__3[[#This Row],[上班時間]]=0,"否","是")</f>
        <v>否</v>
      </c>
    </row>
    <row r="551" spans="1:15" hidden="1">
      <c r="A551" t="s">
        <v>75</v>
      </c>
      <c r="B551" t="s">
        <v>35</v>
      </c>
      <c r="C551">
        <v>0</v>
      </c>
      <c r="D551">
        <v>0</v>
      </c>
      <c r="E551" s="27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s="9">
        <v>45305</v>
      </c>
      <c r="L551">
        <f xml:space="preserve"> (交易處理資料__3[[#This Row],[售出工時]] * 60) / 5</f>
        <v>0</v>
      </c>
      <c r="M551" t="str">
        <f>VLOOKUP(交易處理資料__3[[#This Row],[人員代號]],團隊分組!$B$1:$C$52,2,FALSE)</f>
        <v>查修團隊B</v>
      </c>
      <c r="N551">
        <f>IF(交易處理資料__3[[#This Row],[上班時間]]=0,0,交易處理資料__3[[#This Row],[售出工時]]/交易處理資料__3[[#This Row],[上班時間]])</f>
        <v>0</v>
      </c>
      <c r="O551" s="31" t="str">
        <f>IF(交易處理資料__3[[#This Row],[上班時間]]=0,"否","是")</f>
        <v>否</v>
      </c>
    </row>
    <row r="552" spans="1:15" hidden="1">
      <c r="A552" t="s">
        <v>75</v>
      </c>
      <c r="B552" t="s">
        <v>36</v>
      </c>
      <c r="C552">
        <v>0</v>
      </c>
      <c r="D552">
        <v>0</v>
      </c>
      <c r="E552" s="27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s="9">
        <v>45305</v>
      </c>
      <c r="L552">
        <f xml:space="preserve"> (交易處理資料__3[[#This Row],[售出工時]] * 60) / 5</f>
        <v>0</v>
      </c>
      <c r="M552" t="str">
        <f>VLOOKUP(交易處理資料__3[[#This Row],[人員代號]],團隊分組!$B$1:$C$52,2,FALSE)</f>
        <v>查修團隊B</v>
      </c>
      <c r="N552">
        <f>IF(交易處理資料__3[[#This Row],[上班時間]]=0,0,交易處理資料__3[[#This Row],[售出工時]]/交易處理資料__3[[#This Row],[上班時間]])</f>
        <v>0</v>
      </c>
      <c r="O552" s="31" t="str">
        <f>IF(交易處理資料__3[[#This Row],[上班時間]]=0,"否","是")</f>
        <v>否</v>
      </c>
    </row>
    <row r="553" spans="1:15" hidden="1">
      <c r="A553" t="s">
        <v>75</v>
      </c>
      <c r="B553" t="s">
        <v>37</v>
      </c>
      <c r="C553">
        <v>0</v>
      </c>
      <c r="D553">
        <v>0</v>
      </c>
      <c r="E553" s="27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s="9">
        <v>45305</v>
      </c>
      <c r="L553">
        <f xml:space="preserve"> (交易處理資料__3[[#This Row],[售出工時]] * 60) / 5</f>
        <v>0</v>
      </c>
      <c r="M553" t="str">
        <f>VLOOKUP(交易處理資料__3[[#This Row],[人員代號]],團隊分組!$B$1:$C$52,2,FALSE)</f>
        <v>查修團隊A</v>
      </c>
      <c r="N553">
        <f>IF(交易處理資料__3[[#This Row],[上班時間]]=0,0,交易處理資料__3[[#This Row],[售出工時]]/交易處理資料__3[[#This Row],[上班時間]])</f>
        <v>0</v>
      </c>
      <c r="O553" s="31" t="str">
        <f>IF(交易處理資料__3[[#This Row],[上班時間]]=0,"否","是")</f>
        <v>否</v>
      </c>
    </row>
    <row r="554" spans="1:15" hidden="1">
      <c r="A554" t="s">
        <v>75</v>
      </c>
      <c r="B554" t="s">
        <v>38</v>
      </c>
      <c r="C554">
        <v>0</v>
      </c>
      <c r="D554">
        <v>0</v>
      </c>
      <c r="E554" s="27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 s="9">
        <v>45305</v>
      </c>
      <c r="L554">
        <f xml:space="preserve"> (交易處理資料__3[[#This Row],[售出工時]] * 60) / 5</f>
        <v>0</v>
      </c>
      <c r="M554" t="str">
        <f>VLOOKUP(交易處理資料__3[[#This Row],[人員代號]],團隊分組!$B$1:$C$52,2,FALSE)</f>
        <v>快速保養團隊A</v>
      </c>
      <c r="N554">
        <f>IF(交易處理資料__3[[#This Row],[上班時間]]=0,0,交易處理資料__3[[#This Row],[售出工時]]/交易處理資料__3[[#This Row],[上班時間]])</f>
        <v>0</v>
      </c>
      <c r="O554" s="31" t="str">
        <f>IF(交易處理資料__3[[#This Row],[上班時間]]=0,"否","是")</f>
        <v>否</v>
      </c>
    </row>
    <row r="555" spans="1:15" hidden="1">
      <c r="A555" t="s">
        <v>75</v>
      </c>
      <c r="B555" t="s">
        <v>39</v>
      </c>
      <c r="C555">
        <v>0</v>
      </c>
      <c r="D555">
        <v>0</v>
      </c>
      <c r="E555" s="27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 s="9">
        <v>45305</v>
      </c>
      <c r="L555">
        <f xml:space="preserve"> (交易處理資料__3[[#This Row],[售出工時]] * 60) / 5</f>
        <v>0</v>
      </c>
      <c r="M555" t="str">
        <f>VLOOKUP(交易處理資料__3[[#This Row],[人員代號]],團隊分組!$B$1:$C$52,2,FALSE)</f>
        <v>查修團隊A</v>
      </c>
      <c r="N555">
        <f>IF(交易處理資料__3[[#This Row],[上班時間]]=0,0,交易處理資料__3[[#This Row],[售出工時]]/交易處理資料__3[[#This Row],[上班時間]])</f>
        <v>0</v>
      </c>
      <c r="O555" s="31" t="str">
        <f>IF(交易處理資料__3[[#This Row],[上班時間]]=0,"否","是")</f>
        <v>否</v>
      </c>
    </row>
    <row r="556" spans="1:15" hidden="1">
      <c r="A556" t="s">
        <v>75</v>
      </c>
      <c r="B556" t="s">
        <v>40</v>
      </c>
      <c r="C556">
        <v>0</v>
      </c>
      <c r="D556">
        <v>0</v>
      </c>
      <c r="E556" s="27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s="9">
        <v>45305</v>
      </c>
      <c r="L556">
        <f xml:space="preserve"> (交易處理資料__3[[#This Row],[售出工時]] * 60) / 5</f>
        <v>0</v>
      </c>
      <c r="M556" t="str">
        <f>VLOOKUP(交易處理資料__3[[#This Row],[人員代號]],團隊分組!$B$1:$C$52,2,FALSE)</f>
        <v>查修團隊A</v>
      </c>
      <c r="N556">
        <f>IF(交易處理資料__3[[#This Row],[上班時間]]=0,0,交易處理資料__3[[#This Row],[售出工時]]/交易處理資料__3[[#This Row],[上班時間]])</f>
        <v>0</v>
      </c>
      <c r="O556" s="31" t="str">
        <f>IF(交易處理資料__3[[#This Row],[上班時間]]=0,"否","是")</f>
        <v>否</v>
      </c>
    </row>
    <row r="557" spans="1:15" hidden="1">
      <c r="A557" t="s">
        <v>75</v>
      </c>
      <c r="B557" t="s">
        <v>41</v>
      </c>
      <c r="C557">
        <v>0</v>
      </c>
      <c r="D557">
        <v>0</v>
      </c>
      <c r="E557" s="2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 s="9">
        <v>45305</v>
      </c>
      <c r="L557">
        <f xml:space="preserve"> (交易處理資料__3[[#This Row],[售出工時]] * 60) / 5</f>
        <v>0</v>
      </c>
      <c r="M557" t="str">
        <f>VLOOKUP(交易處理資料__3[[#This Row],[人員代號]],團隊分組!$B$1:$C$52,2,FALSE)</f>
        <v>快速保養團隊A</v>
      </c>
      <c r="N557">
        <f>IF(交易處理資料__3[[#This Row],[上班時間]]=0,0,交易處理資料__3[[#This Row],[售出工時]]/交易處理資料__3[[#This Row],[上班時間]])</f>
        <v>0</v>
      </c>
      <c r="O557" s="31" t="str">
        <f>IF(交易處理資料__3[[#This Row],[上班時間]]=0,"否","是")</f>
        <v>否</v>
      </c>
    </row>
    <row r="558" spans="1:15" hidden="1">
      <c r="A558" t="s">
        <v>75</v>
      </c>
      <c r="B558" t="s">
        <v>42</v>
      </c>
      <c r="C558">
        <v>0</v>
      </c>
      <c r="D558">
        <v>0</v>
      </c>
      <c r="E558" s="27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s="9">
        <v>45305</v>
      </c>
      <c r="L558">
        <f xml:space="preserve"> (交易處理資料__3[[#This Row],[售出工時]] * 60) / 5</f>
        <v>0</v>
      </c>
      <c r="M558" t="str">
        <f>VLOOKUP(交易處理資料__3[[#This Row],[人員代號]],團隊分組!$B$1:$C$52,2,FALSE)</f>
        <v>快速保養團隊A</v>
      </c>
      <c r="N558">
        <f>IF(交易處理資料__3[[#This Row],[上班時間]]=0,0,交易處理資料__3[[#This Row],[售出工時]]/交易處理資料__3[[#This Row],[上班時間]])</f>
        <v>0</v>
      </c>
      <c r="O558" s="31" t="str">
        <f>IF(交易處理資料__3[[#This Row],[上班時間]]=0,"否","是")</f>
        <v>否</v>
      </c>
    </row>
    <row r="559" spans="1:15" hidden="1">
      <c r="A559" t="s">
        <v>75</v>
      </c>
      <c r="B559" t="s">
        <v>43</v>
      </c>
      <c r="C559">
        <v>0</v>
      </c>
      <c r="D559">
        <v>0</v>
      </c>
      <c r="E559" s="27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 s="9">
        <v>45305</v>
      </c>
      <c r="L559">
        <f xml:space="preserve"> (交易處理資料__3[[#This Row],[售出工時]] * 60) / 5</f>
        <v>0</v>
      </c>
      <c r="M559" t="str">
        <f>VLOOKUP(交易處理資料__3[[#This Row],[人員代號]],團隊分組!$B$1:$C$52,2,FALSE)</f>
        <v>查修團隊B</v>
      </c>
      <c r="N559">
        <f>IF(交易處理資料__3[[#This Row],[上班時間]]=0,0,交易處理資料__3[[#This Row],[售出工時]]/交易處理資料__3[[#This Row],[上班時間]])</f>
        <v>0</v>
      </c>
      <c r="O559" s="31" t="str">
        <f>IF(交易處理資料__3[[#This Row],[上班時間]]=0,"否","是")</f>
        <v>否</v>
      </c>
    </row>
    <row r="560" spans="1:15" hidden="1">
      <c r="A560" t="s">
        <v>75</v>
      </c>
      <c r="B560" t="s">
        <v>44</v>
      </c>
      <c r="C560">
        <v>0</v>
      </c>
      <c r="D560">
        <v>0</v>
      </c>
      <c r="E560" s="27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s="9">
        <v>45305</v>
      </c>
      <c r="L560">
        <f xml:space="preserve"> (交易處理資料__3[[#This Row],[售出工時]] * 60) / 5</f>
        <v>0</v>
      </c>
      <c r="M560" t="str">
        <f>VLOOKUP(交易處理資料__3[[#This Row],[人員代號]],團隊分組!$B$1:$C$52,2,FALSE)</f>
        <v>快速保養團隊B</v>
      </c>
      <c r="N560">
        <f>IF(交易處理資料__3[[#This Row],[上班時間]]=0,0,交易處理資料__3[[#This Row],[售出工時]]/交易處理資料__3[[#This Row],[上班時間]])</f>
        <v>0</v>
      </c>
      <c r="O560" s="31" t="str">
        <f>IF(交易處理資料__3[[#This Row],[上班時間]]=0,"否","是")</f>
        <v>否</v>
      </c>
    </row>
    <row r="561" spans="1:15" hidden="1">
      <c r="A561" t="s">
        <v>75</v>
      </c>
      <c r="B561" t="s">
        <v>45</v>
      </c>
      <c r="C561">
        <v>0</v>
      </c>
      <c r="D561">
        <v>0</v>
      </c>
      <c r="E561" s="27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 s="9">
        <v>45305</v>
      </c>
      <c r="L561">
        <f xml:space="preserve"> (交易處理資料__3[[#This Row],[售出工時]] * 60) / 5</f>
        <v>0</v>
      </c>
      <c r="M561" t="str">
        <f>VLOOKUP(交易處理資料__3[[#This Row],[人員代號]],團隊分組!$B$1:$C$52,2,FALSE)</f>
        <v>快速保養團隊A</v>
      </c>
      <c r="N561">
        <f>IF(交易處理資料__3[[#This Row],[上班時間]]=0,0,交易處理資料__3[[#This Row],[售出工時]]/交易處理資料__3[[#This Row],[上班時間]])</f>
        <v>0</v>
      </c>
      <c r="O561" s="31" t="str">
        <f>IF(交易處理資料__3[[#This Row],[上班時間]]=0,"否","是")</f>
        <v>否</v>
      </c>
    </row>
    <row r="562" spans="1:15" hidden="1">
      <c r="A562" t="s">
        <v>75</v>
      </c>
      <c r="B562" t="s">
        <v>46</v>
      </c>
      <c r="C562">
        <v>0</v>
      </c>
      <c r="D562">
        <v>0</v>
      </c>
      <c r="E562" s="27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s="9">
        <v>45305</v>
      </c>
      <c r="L562">
        <f xml:space="preserve"> (交易處理資料__3[[#This Row],[售出工時]] * 60) / 5</f>
        <v>0</v>
      </c>
      <c r="M562" t="str">
        <f>VLOOKUP(交易處理資料__3[[#This Row],[人員代號]],團隊分組!$B$1:$C$52,2,FALSE)</f>
        <v>查修團隊B</v>
      </c>
      <c r="N562">
        <f>IF(交易處理資料__3[[#This Row],[上班時間]]=0,0,交易處理資料__3[[#This Row],[售出工時]]/交易處理資料__3[[#This Row],[上班時間]])</f>
        <v>0</v>
      </c>
      <c r="O562" s="31" t="str">
        <f>IF(交易處理資料__3[[#This Row],[上班時間]]=0,"否","是")</f>
        <v>否</v>
      </c>
    </row>
    <row r="563" spans="1:15" hidden="1">
      <c r="A563" t="s">
        <v>75</v>
      </c>
      <c r="B563" t="s">
        <v>47</v>
      </c>
      <c r="C563">
        <v>0</v>
      </c>
      <c r="D563">
        <v>0</v>
      </c>
      <c r="E563" s="27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s="9">
        <v>45305</v>
      </c>
      <c r="L563">
        <f xml:space="preserve"> (交易處理資料__3[[#This Row],[售出工時]] * 60) / 5</f>
        <v>0</v>
      </c>
      <c r="M563" t="str">
        <f>VLOOKUP(交易處理資料__3[[#This Row],[人員代號]],團隊分組!$B$1:$C$52,2,FALSE)</f>
        <v>查修團隊B</v>
      </c>
      <c r="N563">
        <f>IF(交易處理資料__3[[#This Row],[上班時間]]=0,0,交易處理資料__3[[#This Row],[售出工時]]/交易處理資料__3[[#This Row],[上班時間]])</f>
        <v>0</v>
      </c>
      <c r="O563" s="31" t="str">
        <f>IF(交易處理資料__3[[#This Row],[上班時間]]=0,"否","是")</f>
        <v>否</v>
      </c>
    </row>
    <row r="564" spans="1:15" hidden="1">
      <c r="A564" t="s">
        <v>75</v>
      </c>
      <c r="B564" t="s">
        <v>48</v>
      </c>
      <c r="C564">
        <v>0</v>
      </c>
      <c r="D564">
        <v>0</v>
      </c>
      <c r="E564" s="27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s="9">
        <v>45305</v>
      </c>
      <c r="L564">
        <f xml:space="preserve"> (交易處理資料__3[[#This Row],[售出工時]] * 60) / 5</f>
        <v>0</v>
      </c>
      <c r="M564" t="str">
        <f>VLOOKUP(交易處理資料__3[[#This Row],[人員代號]],團隊分組!$B$1:$C$52,2,FALSE)</f>
        <v>查修團隊A</v>
      </c>
      <c r="N564">
        <f>IF(交易處理資料__3[[#This Row],[上班時間]]=0,0,交易處理資料__3[[#This Row],[售出工時]]/交易處理資料__3[[#This Row],[上班時間]])</f>
        <v>0</v>
      </c>
      <c r="O564" s="31" t="str">
        <f>IF(交易處理資料__3[[#This Row],[上班時間]]=0,"否","是")</f>
        <v>否</v>
      </c>
    </row>
    <row r="565" spans="1:15" hidden="1">
      <c r="A565" t="s">
        <v>75</v>
      </c>
      <c r="B565" t="s">
        <v>49</v>
      </c>
      <c r="C565">
        <v>0</v>
      </c>
      <c r="D565">
        <v>0</v>
      </c>
      <c r="E565" s="27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s="9">
        <v>45305</v>
      </c>
      <c r="L565">
        <f xml:space="preserve"> (交易處理資料__3[[#This Row],[售出工時]] * 60) / 5</f>
        <v>0</v>
      </c>
      <c r="M565" t="str">
        <f>VLOOKUP(交易處理資料__3[[#This Row],[人員代號]],團隊分組!$B$1:$C$52,2,FALSE)</f>
        <v>查修團隊A</v>
      </c>
      <c r="N565">
        <f>IF(交易處理資料__3[[#This Row],[上班時間]]=0,0,交易處理資料__3[[#This Row],[售出工時]]/交易處理資料__3[[#This Row],[上班時間]])</f>
        <v>0</v>
      </c>
      <c r="O565" s="31" t="str">
        <f>IF(交易處理資料__3[[#This Row],[上班時間]]=0,"否","是")</f>
        <v>否</v>
      </c>
    </row>
    <row r="566" spans="1:15" hidden="1">
      <c r="A566" t="s">
        <v>75</v>
      </c>
      <c r="B566" t="s">
        <v>50</v>
      </c>
      <c r="C566">
        <v>0</v>
      </c>
      <c r="D566">
        <v>0</v>
      </c>
      <c r="E566" s="27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 s="9">
        <v>45305</v>
      </c>
      <c r="L566">
        <f xml:space="preserve"> (交易處理資料__3[[#This Row],[售出工時]] * 60) / 5</f>
        <v>0</v>
      </c>
      <c r="M566" t="str">
        <f>VLOOKUP(交易處理資料__3[[#This Row],[人員代號]],團隊分組!$B$1:$C$52,2,FALSE)</f>
        <v>快速保養團隊B</v>
      </c>
      <c r="N566">
        <f>IF(交易處理資料__3[[#This Row],[上班時間]]=0,0,交易處理資料__3[[#This Row],[售出工時]]/交易處理資料__3[[#This Row],[上班時間]])</f>
        <v>0</v>
      </c>
      <c r="O566" s="31" t="str">
        <f>IF(交易處理資料__3[[#This Row],[上班時間]]=0,"否","是")</f>
        <v>否</v>
      </c>
    </row>
    <row r="567" spans="1:15" hidden="1">
      <c r="A567" t="s">
        <v>75</v>
      </c>
      <c r="B567" t="s">
        <v>51</v>
      </c>
      <c r="C567">
        <v>0</v>
      </c>
      <c r="D567">
        <v>0</v>
      </c>
      <c r="E567" s="2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s="9">
        <v>45305</v>
      </c>
      <c r="L567">
        <f xml:space="preserve"> (交易處理資料__3[[#This Row],[售出工時]] * 60) / 5</f>
        <v>0</v>
      </c>
      <c r="M567" t="str">
        <f>VLOOKUP(交易處理資料__3[[#This Row],[人員代號]],團隊分組!$B$1:$C$52,2,FALSE)</f>
        <v>無效數據</v>
      </c>
      <c r="N567">
        <f>IF(交易處理資料__3[[#This Row],[上班時間]]=0,0,交易處理資料__3[[#This Row],[售出工時]]/交易處理資料__3[[#This Row],[上班時間]])</f>
        <v>0</v>
      </c>
      <c r="O567" s="31" t="str">
        <f>IF(交易處理資料__3[[#This Row],[上班時間]]=0,"否","是")</f>
        <v>否</v>
      </c>
    </row>
    <row r="568" spans="1:15" hidden="1">
      <c r="A568" t="s">
        <v>75</v>
      </c>
      <c r="B568" t="s">
        <v>52</v>
      </c>
      <c r="C568">
        <v>0</v>
      </c>
      <c r="D568">
        <v>0</v>
      </c>
      <c r="E568" s="27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 s="9">
        <v>45305</v>
      </c>
      <c r="L568">
        <f xml:space="preserve"> (交易處理資料__3[[#This Row],[售出工時]] * 60) / 5</f>
        <v>0</v>
      </c>
      <c r="M568" t="str">
        <f>VLOOKUP(交易處理資料__3[[#This Row],[人員代號]],團隊分組!$B$1:$C$52,2,FALSE)</f>
        <v>查修團隊B</v>
      </c>
      <c r="N568">
        <f>IF(交易處理資料__3[[#This Row],[上班時間]]=0,0,交易處理資料__3[[#This Row],[售出工時]]/交易處理資料__3[[#This Row],[上班時間]])</f>
        <v>0</v>
      </c>
      <c r="O568" s="31" t="str">
        <f>IF(交易處理資料__3[[#This Row],[上班時間]]=0,"否","是")</f>
        <v>否</v>
      </c>
    </row>
    <row r="569" spans="1:15" hidden="1">
      <c r="A569" t="s">
        <v>75</v>
      </c>
      <c r="B569" t="s">
        <v>53</v>
      </c>
      <c r="C569">
        <v>0</v>
      </c>
      <c r="D569">
        <v>0</v>
      </c>
      <c r="E569" s="27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s="9">
        <v>45305</v>
      </c>
      <c r="L569">
        <f xml:space="preserve"> (交易處理資料__3[[#This Row],[售出工時]] * 60) / 5</f>
        <v>0</v>
      </c>
      <c r="M569" t="str">
        <f>VLOOKUP(交易處理資料__3[[#This Row],[人員代號]],團隊分組!$B$1:$C$52,2,FALSE)</f>
        <v>查修團隊A</v>
      </c>
      <c r="N569">
        <f>IF(交易處理資料__3[[#This Row],[上班時間]]=0,0,交易處理資料__3[[#This Row],[售出工時]]/交易處理資料__3[[#This Row],[上班時間]])</f>
        <v>0</v>
      </c>
      <c r="O569" s="31" t="str">
        <f>IF(交易處理資料__3[[#This Row],[上班時間]]=0,"否","是")</f>
        <v>否</v>
      </c>
    </row>
    <row r="570" spans="1:15" hidden="1">
      <c r="A570" s="10" t="s">
        <v>73</v>
      </c>
      <c r="B570" t="s">
        <v>1</v>
      </c>
      <c r="C570">
        <v>0</v>
      </c>
      <c r="D570">
        <v>0</v>
      </c>
      <c r="E570" s="27">
        <v>0</v>
      </c>
      <c r="F570">
        <v>7.55</v>
      </c>
      <c r="G570">
        <v>0.57999999999999996</v>
      </c>
      <c r="H570">
        <v>8.1300000000000008</v>
      </c>
      <c r="I570">
        <v>92.87</v>
      </c>
      <c r="J570">
        <v>0</v>
      </c>
      <c r="K570" s="9">
        <v>45306</v>
      </c>
      <c r="L570">
        <f xml:space="preserve"> (交易處理資料__3[[#This Row],[售出工時]] * 60) / 5</f>
        <v>0</v>
      </c>
      <c r="M570" t="str">
        <f>VLOOKUP(交易處理資料__3[[#This Row],[人員代號]],團隊分組!$B$1:$C$52,2,FALSE)</f>
        <v>噴漆維修組</v>
      </c>
      <c r="N570">
        <f>IF(交易處理資料__3[[#This Row],[上班時間]]=0,0,交易處理資料__3[[#This Row],[售出工時]]/交易處理資料__3[[#This Row],[上班時間]])</f>
        <v>0</v>
      </c>
      <c r="O570" s="31" t="str">
        <f>IF(交易處理資料__3[[#This Row],[上班時間]]=0,"否","是")</f>
        <v>是</v>
      </c>
    </row>
    <row r="571" spans="1:15" hidden="1">
      <c r="A571" s="10" t="s">
        <v>73</v>
      </c>
      <c r="B571" t="s">
        <v>4</v>
      </c>
      <c r="C571">
        <v>0</v>
      </c>
      <c r="D571">
        <v>0</v>
      </c>
      <c r="E571" s="27">
        <v>0</v>
      </c>
      <c r="F571">
        <v>7.55</v>
      </c>
      <c r="G571">
        <v>0.59</v>
      </c>
      <c r="H571">
        <v>8.14</v>
      </c>
      <c r="I571">
        <v>92.75</v>
      </c>
      <c r="J571">
        <v>0</v>
      </c>
      <c r="K571" s="9">
        <v>45306</v>
      </c>
      <c r="L571">
        <f xml:space="preserve"> (交易處理資料__3[[#This Row],[售出工時]] * 60) / 5</f>
        <v>0</v>
      </c>
      <c r="M571" t="str">
        <f>VLOOKUP(交易處理資料__3[[#This Row],[人員代號]],團隊分組!$B$1:$C$52,2,FALSE)</f>
        <v>噴漆維修組</v>
      </c>
      <c r="N571">
        <f>IF(交易處理資料__3[[#This Row],[上班時間]]=0,0,交易處理資料__3[[#This Row],[售出工時]]/交易處理資料__3[[#This Row],[上班時間]])</f>
        <v>0</v>
      </c>
      <c r="O571" s="31" t="str">
        <f>IF(交易處理資料__3[[#This Row],[上班時間]]=0,"否","是")</f>
        <v>是</v>
      </c>
    </row>
    <row r="572" spans="1:15" hidden="1">
      <c r="A572" s="10" t="s">
        <v>73</v>
      </c>
      <c r="B572" t="s">
        <v>7</v>
      </c>
      <c r="C572">
        <v>3.13</v>
      </c>
      <c r="D572">
        <v>3.55</v>
      </c>
      <c r="E572" s="27">
        <v>88.16</v>
      </c>
      <c r="F572">
        <v>5.78</v>
      </c>
      <c r="G572">
        <v>2.31</v>
      </c>
      <c r="H572">
        <v>8.09</v>
      </c>
      <c r="I572">
        <v>71.45</v>
      </c>
      <c r="J572">
        <v>38.69</v>
      </c>
      <c r="K572" s="9">
        <v>45306</v>
      </c>
      <c r="L572">
        <f xml:space="preserve"> (交易處理資料__3[[#This Row],[售出工時]] * 60) / 5</f>
        <v>37.559999999999995</v>
      </c>
      <c r="M572" t="str">
        <f>VLOOKUP(交易處理資料__3[[#This Row],[人員代號]],團隊分組!$B$1:$C$52,2,FALSE)</f>
        <v>噴漆維修組</v>
      </c>
      <c r="N572">
        <f>IF(交易處理資料__3[[#This Row],[上班時間]]=0,0,交易處理資料__3[[#This Row],[售出工時]]/交易處理資料__3[[#This Row],[上班時間]])</f>
        <v>0.3868974042027194</v>
      </c>
      <c r="O572" s="31" t="str">
        <f>IF(交易處理資料__3[[#This Row],[上班時間]]=0,"否","是")</f>
        <v>是</v>
      </c>
    </row>
    <row r="573" spans="1:15" hidden="1">
      <c r="A573" s="10" t="s">
        <v>73</v>
      </c>
      <c r="B573" t="s">
        <v>8</v>
      </c>
      <c r="C573">
        <v>0</v>
      </c>
      <c r="D573">
        <v>0</v>
      </c>
      <c r="E573" s="27">
        <v>0</v>
      </c>
      <c r="F573">
        <v>7.56</v>
      </c>
      <c r="G573">
        <v>0.59</v>
      </c>
      <c r="H573">
        <v>8.15</v>
      </c>
      <c r="I573">
        <v>92.76</v>
      </c>
      <c r="J573">
        <v>0</v>
      </c>
      <c r="K573" s="9">
        <v>45306</v>
      </c>
      <c r="L573">
        <f xml:space="preserve"> (交易處理資料__3[[#This Row],[售出工時]] * 60) / 5</f>
        <v>0</v>
      </c>
      <c r="M573" t="str">
        <f>VLOOKUP(交易處理資料__3[[#This Row],[人員代號]],團隊分組!$B$1:$C$52,2,FALSE)</f>
        <v>噴漆維修組</v>
      </c>
      <c r="N573">
        <f>IF(交易處理資料__3[[#This Row],[上班時間]]=0,0,交易處理資料__3[[#This Row],[售出工時]]/交易處理資料__3[[#This Row],[上班時間]])</f>
        <v>0</v>
      </c>
      <c r="O573" s="31" t="str">
        <f>IF(交易處理資料__3[[#This Row],[上班時間]]=0,"否","是")</f>
        <v>是</v>
      </c>
    </row>
    <row r="574" spans="1:15" hidden="1">
      <c r="A574" s="10" t="s">
        <v>73</v>
      </c>
      <c r="B574" t="s">
        <v>9</v>
      </c>
      <c r="C574">
        <v>3.91</v>
      </c>
      <c r="D574">
        <v>3.7</v>
      </c>
      <c r="E574" s="27">
        <v>105.85</v>
      </c>
      <c r="F574">
        <v>7.51</v>
      </c>
      <c r="G574">
        <v>0.6</v>
      </c>
      <c r="H574">
        <v>8.11</v>
      </c>
      <c r="I574">
        <v>92.6</v>
      </c>
      <c r="J574">
        <v>48.29</v>
      </c>
      <c r="K574" s="9">
        <v>45306</v>
      </c>
      <c r="L574">
        <f xml:space="preserve"> (交易處理資料__3[[#This Row],[售出工時]] * 60) / 5</f>
        <v>46.92</v>
      </c>
      <c r="M574" t="str">
        <f>VLOOKUP(交易處理資料__3[[#This Row],[人員代號]],團隊分組!$B$1:$C$52,2,FALSE)</f>
        <v>噴漆維修組</v>
      </c>
      <c r="N574">
        <f>IF(交易處理資料__3[[#This Row],[上班時間]]=0,0,交易處理資料__3[[#This Row],[售出工時]]/交易處理資料__3[[#This Row],[上班時間]])</f>
        <v>0.48212083847102349</v>
      </c>
      <c r="O574" s="31" t="str">
        <f>IF(交易處理資料__3[[#This Row],[上班時間]]=0,"否","是")</f>
        <v>是</v>
      </c>
    </row>
    <row r="575" spans="1:15" hidden="1">
      <c r="A575" t="s">
        <v>74</v>
      </c>
      <c r="B575" t="s">
        <v>11</v>
      </c>
      <c r="C575">
        <v>5</v>
      </c>
      <c r="D575">
        <v>2.13</v>
      </c>
      <c r="E575" s="27">
        <v>234.74</v>
      </c>
      <c r="F575">
        <v>6.33</v>
      </c>
      <c r="G575">
        <v>1.89</v>
      </c>
      <c r="H575">
        <v>8.2200000000000006</v>
      </c>
      <c r="I575">
        <v>77.010000000000005</v>
      </c>
      <c r="J575">
        <v>60.83</v>
      </c>
      <c r="K575" s="9">
        <v>45306</v>
      </c>
      <c r="L575">
        <f xml:space="preserve"> (交易處理資料__3[[#This Row],[售出工時]] * 60) / 5</f>
        <v>60</v>
      </c>
      <c r="M575" t="str">
        <f>VLOOKUP(交易處理資料__3[[#This Row],[人員代號]],團隊分組!$B$1:$C$52,2,FALSE)</f>
        <v>鈑金維修組</v>
      </c>
      <c r="N575">
        <f>IF(交易處理資料__3[[#This Row],[上班時間]]=0,0,交易處理資料__3[[#This Row],[售出工時]]/交易處理資料__3[[#This Row],[上班時間]])</f>
        <v>0.60827250608272498</v>
      </c>
      <c r="O575" s="31" t="str">
        <f>IF(交易處理資料__3[[#This Row],[上班時間]]=0,"否","是")</f>
        <v>是</v>
      </c>
    </row>
    <row r="576" spans="1:15" hidden="1">
      <c r="A576" t="s">
        <v>74</v>
      </c>
      <c r="B576" t="s">
        <v>12</v>
      </c>
      <c r="C576">
        <v>3</v>
      </c>
      <c r="D576">
        <v>2.5299999999999998</v>
      </c>
      <c r="E576" s="27">
        <v>118.57</v>
      </c>
      <c r="F576">
        <v>6.9</v>
      </c>
      <c r="G576">
        <v>1.17</v>
      </c>
      <c r="H576">
        <v>8.07</v>
      </c>
      <c r="I576">
        <v>85.5</v>
      </c>
      <c r="J576">
        <v>37.17</v>
      </c>
      <c r="K576" s="9">
        <v>45306</v>
      </c>
      <c r="L576">
        <f xml:space="preserve"> (交易處理資料__3[[#This Row],[售出工時]] * 60) / 5</f>
        <v>36</v>
      </c>
      <c r="M576" t="str">
        <f>VLOOKUP(交易處理資料__3[[#This Row],[人員代號]],團隊分組!$B$1:$C$52,2,FALSE)</f>
        <v>鈑金維修組</v>
      </c>
      <c r="N576">
        <f>IF(交易處理資料__3[[#This Row],[上班時間]]=0,0,交易處理資料__3[[#This Row],[售出工時]]/交易處理資料__3[[#This Row],[上班時間]])</f>
        <v>0.37174721189591076</v>
      </c>
      <c r="O576" s="31" t="str">
        <f>IF(交易處理資料__3[[#This Row],[上班時間]]=0,"否","是")</f>
        <v>是</v>
      </c>
    </row>
    <row r="577" spans="1:15" hidden="1">
      <c r="A577" t="s">
        <v>74</v>
      </c>
      <c r="B577" t="s">
        <v>13</v>
      </c>
      <c r="C577">
        <v>5.33</v>
      </c>
      <c r="D577">
        <v>5.97</v>
      </c>
      <c r="E577" s="27">
        <v>89.33</v>
      </c>
      <c r="F577">
        <v>7.5</v>
      </c>
      <c r="G577">
        <v>0.77</v>
      </c>
      <c r="H577">
        <v>8.27</v>
      </c>
      <c r="I577">
        <v>90.69</v>
      </c>
      <c r="J577">
        <v>64.489999999999995</v>
      </c>
      <c r="K577" s="9">
        <v>45306</v>
      </c>
      <c r="L577">
        <f xml:space="preserve"> (交易處理資料__3[[#This Row],[售出工時]] * 60) / 5</f>
        <v>63.96</v>
      </c>
      <c r="M577" t="str">
        <f>VLOOKUP(交易處理資料__3[[#This Row],[人員代號]],團隊分組!$B$1:$C$52,2,FALSE)</f>
        <v>鈑金維修組</v>
      </c>
      <c r="N577">
        <f>IF(交易處理資料__3[[#This Row],[上班時間]]=0,0,交易處理資料__3[[#This Row],[售出工時]]/交易處理資料__3[[#This Row],[上班時間]])</f>
        <v>0.6444981862152358</v>
      </c>
      <c r="O577" s="31" t="str">
        <f>IF(交易處理資料__3[[#This Row],[上班時間]]=0,"否","是")</f>
        <v>是</v>
      </c>
    </row>
    <row r="578" spans="1:15" hidden="1">
      <c r="A578" t="s">
        <v>74</v>
      </c>
      <c r="B578" t="s">
        <v>14</v>
      </c>
      <c r="C578">
        <v>3.89</v>
      </c>
      <c r="D578">
        <v>4.12</v>
      </c>
      <c r="E578" s="27">
        <v>94.41</v>
      </c>
      <c r="F578">
        <v>6.02</v>
      </c>
      <c r="G578">
        <v>2.23</v>
      </c>
      <c r="H578">
        <v>8.25</v>
      </c>
      <c r="I578">
        <v>72.97</v>
      </c>
      <c r="J578">
        <v>47.15</v>
      </c>
      <c r="K578" s="9">
        <v>45306</v>
      </c>
      <c r="L578">
        <f xml:space="preserve"> (交易處理資料__3[[#This Row],[售出工時]] * 60) / 5</f>
        <v>46.68</v>
      </c>
      <c r="M578" t="str">
        <f>VLOOKUP(交易處理資料__3[[#This Row],[人員代號]],團隊分組!$B$1:$C$52,2,FALSE)</f>
        <v>鈑金維修組</v>
      </c>
      <c r="N578">
        <f>IF(交易處理資料__3[[#This Row],[上班時間]]=0,0,交易處理資料__3[[#This Row],[售出工時]]/交易處理資料__3[[#This Row],[上班時間]])</f>
        <v>0.47151515151515155</v>
      </c>
      <c r="O578" s="31" t="str">
        <f>IF(交易處理資料__3[[#This Row],[上班時間]]=0,"否","是")</f>
        <v>是</v>
      </c>
    </row>
    <row r="579" spans="1:15" hidden="1">
      <c r="A579" t="s">
        <v>74</v>
      </c>
      <c r="B579" t="s">
        <v>15</v>
      </c>
      <c r="C579">
        <v>3.86</v>
      </c>
      <c r="D579">
        <v>4.82</v>
      </c>
      <c r="E579" s="27">
        <v>80.08</v>
      </c>
      <c r="F579">
        <v>5.99</v>
      </c>
      <c r="G579">
        <v>2.27</v>
      </c>
      <c r="H579">
        <v>8.26</v>
      </c>
      <c r="I579">
        <v>72.52</v>
      </c>
      <c r="J579">
        <v>46.73</v>
      </c>
      <c r="K579" s="9">
        <v>45306</v>
      </c>
      <c r="L579">
        <f xml:space="preserve"> (交易處理資料__3[[#This Row],[售出工時]] * 60) / 5</f>
        <v>46.32</v>
      </c>
      <c r="M579" t="str">
        <f>VLOOKUP(交易處理資料__3[[#This Row],[人員代號]],團隊分組!$B$1:$C$52,2,FALSE)</f>
        <v>鈑金維修組</v>
      </c>
      <c r="N579">
        <f>IF(交易處理資料__3[[#This Row],[上班時間]]=0,0,交易處理資料__3[[#This Row],[售出工時]]/交易處理資料__3[[#This Row],[上班時間]])</f>
        <v>0.46731234866828086</v>
      </c>
      <c r="O579" s="31" t="str">
        <f>IF(交易處理資料__3[[#This Row],[上班時間]]=0,"否","是")</f>
        <v>是</v>
      </c>
    </row>
    <row r="580" spans="1:15" hidden="1">
      <c r="A580" t="s">
        <v>75</v>
      </c>
      <c r="B580" t="s">
        <v>17</v>
      </c>
      <c r="C580">
        <v>9.69</v>
      </c>
      <c r="D580">
        <v>5.9</v>
      </c>
      <c r="E580" s="27">
        <v>164.23</v>
      </c>
      <c r="F580">
        <v>6.37</v>
      </c>
      <c r="G580">
        <v>0.73</v>
      </c>
      <c r="H580">
        <v>7.1</v>
      </c>
      <c r="I580">
        <v>89.72</v>
      </c>
      <c r="J580">
        <v>136.47999999999999</v>
      </c>
      <c r="K580" s="9">
        <v>45306</v>
      </c>
      <c r="L580">
        <f xml:space="preserve"> (交易處理資料__3[[#This Row],[售出工時]] * 60) / 5</f>
        <v>116.28</v>
      </c>
      <c r="M580" t="str">
        <f>VLOOKUP(交易處理資料__3[[#This Row],[人員代號]],團隊分組!$B$1:$C$52,2,FALSE)</f>
        <v>快速保養團隊A</v>
      </c>
      <c r="N580">
        <f>IF(交易處理資料__3[[#This Row],[上班時間]]=0,0,交易處理資料__3[[#This Row],[售出工時]]/交易處理資料__3[[#This Row],[上班時間]])</f>
        <v>1.3647887323943662</v>
      </c>
      <c r="O580" s="31" t="str">
        <f>IF(交易處理資料__3[[#This Row],[上班時間]]=0,"否","是")</f>
        <v>是</v>
      </c>
    </row>
    <row r="581" spans="1:15" hidden="1">
      <c r="A581" t="s">
        <v>75</v>
      </c>
      <c r="B581" t="s">
        <v>19</v>
      </c>
      <c r="C581">
        <v>0.74</v>
      </c>
      <c r="D581">
        <v>1.9</v>
      </c>
      <c r="E581" s="27">
        <v>38.94</v>
      </c>
      <c r="F581">
        <v>5.44</v>
      </c>
      <c r="G581">
        <v>2.5299999999999998</v>
      </c>
      <c r="H581">
        <v>7.97</v>
      </c>
      <c r="I581">
        <v>68.260000000000005</v>
      </c>
      <c r="J581">
        <v>9.2799999999999994</v>
      </c>
      <c r="K581" s="9">
        <v>45306</v>
      </c>
      <c r="L581">
        <f xml:space="preserve"> (交易處理資料__3[[#This Row],[售出工時]] * 60) / 5</f>
        <v>8.879999999999999</v>
      </c>
      <c r="M581" t="str">
        <f>VLOOKUP(交易處理資料__3[[#This Row],[人員代號]],團隊分組!$B$1:$C$52,2,FALSE)</f>
        <v>查修團隊A</v>
      </c>
      <c r="N581">
        <f>IF(交易處理資料__3[[#This Row],[上班時間]]=0,0,交易處理資料__3[[#This Row],[售出工時]]/交易處理資料__3[[#This Row],[上班時間]])</f>
        <v>9.2848180677540776E-2</v>
      </c>
      <c r="O581" s="31" t="str">
        <f>IF(交易處理資料__3[[#This Row],[上班時間]]=0,"否","是")</f>
        <v>是</v>
      </c>
    </row>
    <row r="582" spans="1:15" hidden="1">
      <c r="A582" t="s">
        <v>75</v>
      </c>
      <c r="B582" t="s">
        <v>20</v>
      </c>
      <c r="C582">
        <v>0</v>
      </c>
      <c r="D582">
        <v>0</v>
      </c>
      <c r="E582" s="27">
        <v>0</v>
      </c>
      <c r="F582">
        <v>2.95</v>
      </c>
      <c r="G582">
        <v>7.61</v>
      </c>
      <c r="H582">
        <v>10.56</v>
      </c>
      <c r="I582">
        <v>27.94</v>
      </c>
      <c r="J582">
        <v>0</v>
      </c>
      <c r="K582" s="9">
        <v>45306</v>
      </c>
      <c r="L582">
        <f xml:space="preserve"> (交易處理資料__3[[#This Row],[售出工時]] * 60) / 5</f>
        <v>0</v>
      </c>
      <c r="M582" t="str">
        <f>VLOOKUP(交易處理資料__3[[#This Row],[人員代號]],團隊分組!$B$1:$C$52,2,FALSE)</f>
        <v>查修團隊B</v>
      </c>
      <c r="N582">
        <f>IF(交易處理資料__3[[#This Row],[上班時間]]=0,0,交易處理資料__3[[#This Row],[售出工時]]/交易處理資料__3[[#This Row],[上班時間]])</f>
        <v>0</v>
      </c>
      <c r="O582" s="31" t="str">
        <f>IF(交易處理資料__3[[#This Row],[上班時間]]=0,"否","是")</f>
        <v>是</v>
      </c>
    </row>
    <row r="583" spans="1:15" hidden="1">
      <c r="A583" t="s">
        <v>75</v>
      </c>
      <c r="B583" t="s">
        <v>22</v>
      </c>
      <c r="C583">
        <v>0</v>
      </c>
      <c r="D583">
        <v>0</v>
      </c>
      <c r="E583" s="27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 s="9">
        <v>45306</v>
      </c>
      <c r="L583">
        <f xml:space="preserve"> (交易處理資料__3[[#This Row],[售出工時]] * 60) / 5</f>
        <v>0</v>
      </c>
      <c r="M583" t="str">
        <f>VLOOKUP(交易處理資料__3[[#This Row],[人員代號]],團隊分組!$B$1:$C$52,2,FALSE)</f>
        <v>快速保養團隊A</v>
      </c>
      <c r="N583">
        <f>IF(交易處理資料__3[[#This Row],[上班時間]]=0,0,交易處理資料__3[[#This Row],[售出工時]]/交易處理資料__3[[#This Row],[上班時間]])</f>
        <v>0</v>
      </c>
      <c r="O583" s="31" t="str">
        <f>IF(交易處理資料__3[[#This Row],[上班時間]]=0,"否","是")</f>
        <v>否</v>
      </c>
    </row>
    <row r="584" spans="1:15" hidden="1">
      <c r="A584" t="s">
        <v>75</v>
      </c>
      <c r="B584" t="s">
        <v>23</v>
      </c>
      <c r="C584">
        <v>8.2799999999999994</v>
      </c>
      <c r="D584">
        <v>6.03</v>
      </c>
      <c r="E584" s="27">
        <v>137.41999999999999</v>
      </c>
      <c r="F584">
        <v>8.17</v>
      </c>
      <c r="G584">
        <v>1.31</v>
      </c>
      <c r="H584">
        <v>9.48</v>
      </c>
      <c r="I584">
        <v>86.18</v>
      </c>
      <c r="J584">
        <v>87.41</v>
      </c>
      <c r="K584" s="9">
        <v>45306</v>
      </c>
      <c r="L584">
        <f xml:space="preserve"> (交易處理資料__3[[#This Row],[售出工時]] * 60) / 5</f>
        <v>99.359999999999985</v>
      </c>
      <c r="M584" t="str">
        <f>VLOOKUP(交易處理資料__3[[#This Row],[人員代號]],團隊分組!$B$1:$C$52,2,FALSE)</f>
        <v>快速保養團隊B</v>
      </c>
      <c r="N584">
        <f>IF(交易處理資料__3[[#This Row],[上班時間]]=0,0,交易處理資料__3[[#This Row],[售出工時]]/交易處理資料__3[[#This Row],[上班時間]])</f>
        <v>0.87341772151898722</v>
      </c>
      <c r="O584" s="31" t="str">
        <f>IF(交易處理資料__3[[#This Row],[上班時間]]=0,"否","是")</f>
        <v>是</v>
      </c>
    </row>
    <row r="585" spans="1:15" hidden="1">
      <c r="A585" t="s">
        <v>75</v>
      </c>
      <c r="B585" t="s">
        <v>24</v>
      </c>
      <c r="C585">
        <v>3.96</v>
      </c>
      <c r="D585">
        <v>3.16</v>
      </c>
      <c r="E585" s="27">
        <v>125.52</v>
      </c>
      <c r="F585">
        <v>5.45</v>
      </c>
      <c r="G585">
        <v>2.61</v>
      </c>
      <c r="H585">
        <v>8.06</v>
      </c>
      <c r="I585">
        <v>67.62</v>
      </c>
      <c r="J585">
        <v>49.21</v>
      </c>
      <c r="K585" s="9">
        <v>45306</v>
      </c>
      <c r="L585">
        <f xml:space="preserve"> (交易處理資料__3[[#This Row],[售出工時]] * 60) / 5</f>
        <v>47.519999999999996</v>
      </c>
      <c r="M585" t="str">
        <f>VLOOKUP(交易處理資料__3[[#This Row],[人員代號]],團隊分組!$B$1:$C$52,2,FALSE)</f>
        <v>快速保養團隊A</v>
      </c>
      <c r="N585">
        <f>IF(交易處理資料__3[[#This Row],[上班時間]]=0,0,交易處理資料__3[[#This Row],[售出工時]]/交易處理資料__3[[#This Row],[上班時間]])</f>
        <v>0.49131513647642677</v>
      </c>
      <c r="O585" s="31" t="str">
        <f>IF(交易處理資料__3[[#This Row],[上班時間]]=0,"否","是")</f>
        <v>是</v>
      </c>
    </row>
    <row r="586" spans="1:15" hidden="1">
      <c r="A586" t="s">
        <v>75</v>
      </c>
      <c r="B586" t="s">
        <v>25</v>
      </c>
      <c r="C586">
        <v>2.25</v>
      </c>
      <c r="D586">
        <v>1.58</v>
      </c>
      <c r="E586" s="27">
        <v>142.4</v>
      </c>
      <c r="F586">
        <v>5.07</v>
      </c>
      <c r="G586">
        <v>2.94</v>
      </c>
      <c r="H586">
        <v>8.01</v>
      </c>
      <c r="I586">
        <v>63.3</v>
      </c>
      <c r="J586">
        <v>28.09</v>
      </c>
      <c r="K586" s="9">
        <v>45306</v>
      </c>
      <c r="L586">
        <f xml:space="preserve"> (交易處理資料__3[[#This Row],[售出工時]] * 60) / 5</f>
        <v>27</v>
      </c>
      <c r="M586" t="str">
        <f>VLOOKUP(交易處理資料__3[[#This Row],[人員代號]],團隊分組!$B$1:$C$52,2,FALSE)</f>
        <v>查修團隊A</v>
      </c>
      <c r="N586">
        <f>IF(交易處理資料__3[[#This Row],[上班時間]]=0,0,交易處理資料__3[[#This Row],[售出工時]]/交易處理資料__3[[#This Row],[上班時間]])</f>
        <v>0.2808988764044944</v>
      </c>
      <c r="O586" s="31" t="str">
        <f>IF(交易處理資料__3[[#This Row],[上班時間]]=0,"否","是")</f>
        <v>是</v>
      </c>
    </row>
    <row r="587" spans="1:15" hidden="1">
      <c r="A587" t="s">
        <v>75</v>
      </c>
      <c r="B587" t="s">
        <v>26</v>
      </c>
      <c r="C587">
        <v>2.5499999999999998</v>
      </c>
      <c r="D587">
        <v>2.2999999999999998</v>
      </c>
      <c r="E587" s="27">
        <v>110.86</v>
      </c>
      <c r="F587">
        <v>7.23</v>
      </c>
      <c r="G587">
        <v>3.32</v>
      </c>
      <c r="H587">
        <v>10.55</v>
      </c>
      <c r="I587">
        <v>68.53</v>
      </c>
      <c r="J587">
        <v>24.17</v>
      </c>
      <c r="K587" s="9">
        <v>45306</v>
      </c>
      <c r="L587">
        <f xml:space="preserve"> (交易處理資料__3[[#This Row],[售出工時]] * 60) / 5</f>
        <v>30.6</v>
      </c>
      <c r="M587" t="str">
        <f>VLOOKUP(交易處理資料__3[[#This Row],[人員代號]],團隊分組!$B$1:$C$52,2,FALSE)</f>
        <v>查修團隊B</v>
      </c>
      <c r="N587">
        <f>IF(交易處理資料__3[[#This Row],[上班時間]]=0,0,交易處理資料__3[[#This Row],[售出工時]]/交易處理資料__3[[#This Row],[上班時間]])</f>
        <v>0.24170616113744073</v>
      </c>
      <c r="O587" s="31" t="str">
        <f>IF(交易處理資料__3[[#This Row],[上班時間]]=0,"否","是")</f>
        <v>是</v>
      </c>
    </row>
    <row r="588" spans="1:15" hidden="1">
      <c r="A588" t="s">
        <v>75</v>
      </c>
      <c r="B588" t="s">
        <v>27</v>
      </c>
      <c r="C588">
        <v>3.37</v>
      </c>
      <c r="D588">
        <v>5.41</v>
      </c>
      <c r="E588" s="27">
        <v>62.29</v>
      </c>
      <c r="F588">
        <v>7.48</v>
      </c>
      <c r="G588">
        <v>0.45</v>
      </c>
      <c r="H588">
        <v>7.93</v>
      </c>
      <c r="I588">
        <v>94.33</v>
      </c>
      <c r="J588">
        <v>42.5</v>
      </c>
      <c r="K588" s="9">
        <v>45306</v>
      </c>
      <c r="L588">
        <f xml:space="preserve"> (交易處理資料__3[[#This Row],[售出工時]] * 60) / 5</f>
        <v>40.440000000000005</v>
      </c>
      <c r="M588" t="str">
        <f>VLOOKUP(交易處理資料__3[[#This Row],[人員代號]],團隊分組!$B$1:$C$52,2,FALSE)</f>
        <v>快速保養團隊B</v>
      </c>
      <c r="N588">
        <f>IF(交易處理資料__3[[#This Row],[上班時間]]=0,0,交易處理資料__3[[#This Row],[售出工時]]/交易處理資料__3[[#This Row],[上班時間]])</f>
        <v>0.42496847414880207</v>
      </c>
      <c r="O588" s="31" t="str">
        <f>IF(交易處理資料__3[[#This Row],[上班時間]]=0,"否","是")</f>
        <v>是</v>
      </c>
    </row>
    <row r="589" spans="1:15" hidden="1">
      <c r="A589" t="s">
        <v>75</v>
      </c>
      <c r="B589" t="s">
        <v>28</v>
      </c>
      <c r="C589">
        <v>6.58</v>
      </c>
      <c r="D589">
        <v>4.43</v>
      </c>
      <c r="E589" s="27">
        <v>148.6</v>
      </c>
      <c r="F589">
        <v>5.71</v>
      </c>
      <c r="G589">
        <v>2.21</v>
      </c>
      <c r="H589">
        <v>7.92</v>
      </c>
      <c r="I589">
        <v>72.099999999999994</v>
      </c>
      <c r="J589">
        <v>83.12</v>
      </c>
      <c r="K589" s="9">
        <v>45306</v>
      </c>
      <c r="L589">
        <f xml:space="preserve"> (交易處理資料__3[[#This Row],[售出工時]] * 60) / 5</f>
        <v>78.960000000000008</v>
      </c>
      <c r="M589" t="str">
        <f>VLOOKUP(交易處理資料__3[[#This Row],[人員代號]],團隊分組!$B$1:$C$52,2,FALSE)</f>
        <v>快速保養團隊A</v>
      </c>
      <c r="N589">
        <f>IF(交易處理資料__3[[#This Row],[上班時間]]=0,0,交易處理資料__3[[#This Row],[售出工時]]/交易處理資料__3[[#This Row],[上班時間]])</f>
        <v>0.83080808080808077</v>
      </c>
      <c r="O589" s="31" t="str">
        <f>IF(交易處理資料__3[[#This Row],[上班時間]]=0,"否","是")</f>
        <v>是</v>
      </c>
    </row>
    <row r="590" spans="1:15" hidden="1">
      <c r="A590" t="s">
        <v>75</v>
      </c>
      <c r="B590" t="s">
        <v>30</v>
      </c>
      <c r="C590">
        <v>5.0199999999999996</v>
      </c>
      <c r="D590">
        <v>2.78</v>
      </c>
      <c r="E590" s="27">
        <v>180.69</v>
      </c>
      <c r="F590">
        <v>7.36</v>
      </c>
      <c r="G590">
        <v>0.6</v>
      </c>
      <c r="H590">
        <v>7.96</v>
      </c>
      <c r="I590">
        <v>92.46</v>
      </c>
      <c r="J590">
        <v>63.11</v>
      </c>
      <c r="K590" s="9">
        <v>45306</v>
      </c>
      <c r="L590">
        <f xml:space="preserve"> (交易處理資料__3[[#This Row],[售出工時]] * 60) / 5</f>
        <v>60.239999999999995</v>
      </c>
      <c r="M590" t="str">
        <f>VLOOKUP(交易處理資料__3[[#This Row],[人員代號]],團隊分組!$B$1:$C$52,2,FALSE)</f>
        <v>快速保養團隊B</v>
      </c>
      <c r="N590">
        <f>IF(交易處理資料__3[[#This Row],[上班時間]]=0,0,交易處理資料__3[[#This Row],[售出工時]]/交易處理資料__3[[#This Row],[上班時間]])</f>
        <v>0.63065326633165819</v>
      </c>
      <c r="O590" s="31" t="str">
        <f>IF(交易處理資料__3[[#This Row],[上班時間]]=0,"否","是")</f>
        <v>是</v>
      </c>
    </row>
    <row r="591" spans="1:15" hidden="1">
      <c r="A591" t="s">
        <v>75</v>
      </c>
      <c r="B591" t="s">
        <v>31</v>
      </c>
      <c r="C591">
        <v>0</v>
      </c>
      <c r="D591">
        <v>0</v>
      </c>
      <c r="E591" s="27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s="9">
        <v>45306</v>
      </c>
      <c r="L591">
        <f xml:space="preserve"> (交易處理資料__3[[#This Row],[售出工時]] * 60) / 5</f>
        <v>0</v>
      </c>
      <c r="M591" t="str">
        <f>VLOOKUP(交易處理資料__3[[#This Row],[人員代號]],團隊分組!$B$1:$C$52,2,FALSE)</f>
        <v>快速保養團隊A</v>
      </c>
      <c r="N591">
        <f>IF(交易處理資料__3[[#This Row],[上班時間]]=0,0,交易處理資料__3[[#This Row],[售出工時]]/交易處理資料__3[[#This Row],[上班時間]])</f>
        <v>0</v>
      </c>
      <c r="O591" s="31" t="str">
        <f>IF(交易處理資料__3[[#This Row],[上班時間]]=0,"否","是")</f>
        <v>否</v>
      </c>
    </row>
    <row r="592" spans="1:15" hidden="1">
      <c r="A592" t="s">
        <v>75</v>
      </c>
      <c r="B592" t="s">
        <v>32</v>
      </c>
      <c r="C592">
        <v>6.65</v>
      </c>
      <c r="D592">
        <v>7.57</v>
      </c>
      <c r="E592" s="27">
        <v>87.84</v>
      </c>
      <c r="F592">
        <v>7.65</v>
      </c>
      <c r="G592">
        <v>1.45</v>
      </c>
      <c r="H592">
        <v>9.1</v>
      </c>
      <c r="I592">
        <v>84.07</v>
      </c>
      <c r="J592">
        <v>73.08</v>
      </c>
      <c r="K592" s="9">
        <v>45306</v>
      </c>
      <c r="L592">
        <f xml:space="preserve"> (交易處理資料__3[[#This Row],[售出工時]] * 60) / 5</f>
        <v>79.8</v>
      </c>
      <c r="M592" t="str">
        <f>VLOOKUP(交易處理資料__3[[#This Row],[人員代號]],團隊分組!$B$1:$C$52,2,FALSE)</f>
        <v>快速保養團隊B</v>
      </c>
      <c r="N592">
        <f>IF(交易處理資料__3[[#This Row],[上班時間]]=0,0,交易處理資料__3[[#This Row],[售出工時]]/交易處理資料__3[[#This Row],[上班時間]])</f>
        <v>0.73076923076923084</v>
      </c>
      <c r="O592" s="31" t="str">
        <f>IF(交易處理資料__3[[#This Row],[上班時間]]=0,"否","是")</f>
        <v>是</v>
      </c>
    </row>
    <row r="593" spans="1:15">
      <c r="A593" t="s">
        <v>75</v>
      </c>
      <c r="B593" t="s">
        <v>33</v>
      </c>
      <c r="C593">
        <v>0</v>
      </c>
      <c r="D593">
        <v>0</v>
      </c>
      <c r="E593" s="27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s="9">
        <v>45306</v>
      </c>
      <c r="L593">
        <f xml:space="preserve"> (交易處理資料__3[[#This Row],[售出工時]] * 60) / 5</f>
        <v>0</v>
      </c>
      <c r="M593" t="str">
        <f>VLOOKUP(交易處理資料__3[[#This Row],[人員代號]],團隊分組!$B$1:$C$52,2,FALSE)</f>
        <v>快速保養團隊B</v>
      </c>
      <c r="N593">
        <f>IF(交易處理資料__3[[#This Row],[上班時間]]=0,0,交易處理資料__3[[#This Row],[售出工時]]/交易處理資料__3[[#This Row],[上班時間]])</f>
        <v>0</v>
      </c>
      <c r="O593" s="31" t="str">
        <f>IF(交易處理資料__3[[#This Row],[上班時間]]=0,"否","是")</f>
        <v>否</v>
      </c>
    </row>
    <row r="594" spans="1:15" hidden="1">
      <c r="A594" t="s">
        <v>75</v>
      </c>
      <c r="B594" t="s">
        <v>34</v>
      </c>
      <c r="C594">
        <v>0.91</v>
      </c>
      <c r="D594">
        <v>1.18</v>
      </c>
      <c r="E594" s="27">
        <v>77.680000000000007</v>
      </c>
      <c r="F594">
        <v>5.24</v>
      </c>
      <c r="G594">
        <v>2.68</v>
      </c>
      <c r="H594">
        <v>7.92</v>
      </c>
      <c r="I594">
        <v>66.16</v>
      </c>
      <c r="J594">
        <v>11.57</v>
      </c>
      <c r="K594" s="9">
        <v>45306</v>
      </c>
      <c r="L594">
        <f xml:space="preserve"> (交易處理資料__3[[#This Row],[售出工時]] * 60) / 5</f>
        <v>10.92</v>
      </c>
      <c r="M594" t="str">
        <f>VLOOKUP(交易處理資料__3[[#This Row],[人員代號]],團隊分組!$B$1:$C$52,2,FALSE)</f>
        <v>快速保養團隊A</v>
      </c>
      <c r="N594">
        <f>IF(交易處理資料__3[[#This Row],[上班時間]]=0,0,交易處理資料__3[[#This Row],[售出工時]]/交易處理資料__3[[#This Row],[上班時間]])</f>
        <v>0.1148989898989899</v>
      </c>
      <c r="O594" s="31" t="str">
        <f>IF(交易處理資料__3[[#This Row],[上班時間]]=0,"否","是")</f>
        <v>是</v>
      </c>
    </row>
    <row r="595" spans="1:15" hidden="1">
      <c r="A595" t="s">
        <v>75</v>
      </c>
      <c r="B595" t="s">
        <v>35</v>
      </c>
      <c r="C595">
        <v>0.83</v>
      </c>
      <c r="D595">
        <v>2.84</v>
      </c>
      <c r="E595" s="27">
        <v>29.34</v>
      </c>
      <c r="F595">
        <v>6.33</v>
      </c>
      <c r="G595">
        <v>4.22</v>
      </c>
      <c r="H595">
        <v>10.55</v>
      </c>
      <c r="I595">
        <v>60</v>
      </c>
      <c r="J595">
        <v>7.9</v>
      </c>
      <c r="K595" s="9">
        <v>45306</v>
      </c>
      <c r="L595">
        <f xml:space="preserve"> (交易處理資料__3[[#This Row],[售出工時]] * 60) / 5</f>
        <v>9.9599999999999991</v>
      </c>
      <c r="M595" t="str">
        <f>VLOOKUP(交易處理資料__3[[#This Row],[人員代號]],團隊分組!$B$1:$C$52,2,FALSE)</f>
        <v>查修團隊B</v>
      </c>
      <c r="N595">
        <f>IF(交易處理資料__3[[#This Row],[上班時間]]=0,0,交易處理資料__3[[#This Row],[售出工時]]/交易處理資料__3[[#This Row],[上班時間]])</f>
        <v>7.8672985781990515E-2</v>
      </c>
      <c r="O595" s="31" t="str">
        <f>IF(交易處理資料__3[[#This Row],[上班時間]]=0,"否","是")</f>
        <v>是</v>
      </c>
    </row>
    <row r="596" spans="1:15" hidden="1">
      <c r="A596" t="s">
        <v>75</v>
      </c>
      <c r="B596" t="s">
        <v>36</v>
      </c>
      <c r="C596">
        <v>2.63</v>
      </c>
      <c r="D596">
        <v>4.99</v>
      </c>
      <c r="E596" s="27">
        <v>52.7</v>
      </c>
      <c r="F596">
        <v>11.14</v>
      </c>
      <c r="G596">
        <v>1.62</v>
      </c>
      <c r="H596">
        <v>12.76</v>
      </c>
      <c r="I596">
        <v>87.3</v>
      </c>
      <c r="J596">
        <v>20.61</v>
      </c>
      <c r="K596" s="9">
        <v>45306</v>
      </c>
      <c r="L596">
        <f xml:space="preserve"> (交易處理資料__3[[#This Row],[售出工時]] * 60) / 5</f>
        <v>31.559999999999995</v>
      </c>
      <c r="M596" t="str">
        <f>VLOOKUP(交易處理資料__3[[#This Row],[人員代號]],團隊分組!$B$1:$C$52,2,FALSE)</f>
        <v>查修團隊B</v>
      </c>
      <c r="N596">
        <f>IF(交易處理資料__3[[#This Row],[上班時間]]=0,0,交易處理資料__3[[#This Row],[售出工時]]/交易處理資料__3[[#This Row],[上班時間]])</f>
        <v>0.2061128526645768</v>
      </c>
      <c r="O596" s="31" t="str">
        <f>IF(交易處理資料__3[[#This Row],[上班時間]]=0,"否","是")</f>
        <v>是</v>
      </c>
    </row>
    <row r="597" spans="1:15" hidden="1">
      <c r="A597" t="s">
        <v>75</v>
      </c>
      <c r="B597" t="s">
        <v>37</v>
      </c>
      <c r="C597">
        <v>0</v>
      </c>
      <c r="D597">
        <v>0</v>
      </c>
      <c r="E597" s="27">
        <v>0</v>
      </c>
      <c r="F597">
        <v>12.59</v>
      </c>
      <c r="G597">
        <v>0.45</v>
      </c>
      <c r="H597">
        <v>13.04</v>
      </c>
      <c r="I597">
        <v>96.55</v>
      </c>
      <c r="J597">
        <v>0</v>
      </c>
      <c r="K597" s="9">
        <v>45306</v>
      </c>
      <c r="L597">
        <f xml:space="preserve"> (交易處理資料__3[[#This Row],[售出工時]] * 60) / 5</f>
        <v>0</v>
      </c>
      <c r="M597" t="str">
        <f>VLOOKUP(交易處理資料__3[[#This Row],[人員代號]],團隊分組!$B$1:$C$52,2,FALSE)</f>
        <v>查修團隊A</v>
      </c>
      <c r="N597">
        <f>IF(交易處理資料__3[[#This Row],[上班時間]]=0,0,交易處理資料__3[[#This Row],[售出工時]]/交易處理資料__3[[#This Row],[上班時間]])</f>
        <v>0</v>
      </c>
      <c r="O597" s="31" t="str">
        <f>IF(交易處理資料__3[[#This Row],[上班時間]]=0,"否","是")</f>
        <v>是</v>
      </c>
    </row>
    <row r="598" spans="1:15" hidden="1">
      <c r="A598" t="s">
        <v>75</v>
      </c>
      <c r="B598" t="s">
        <v>38</v>
      </c>
      <c r="C598">
        <v>12.08</v>
      </c>
      <c r="D598">
        <v>9.5299999999999994</v>
      </c>
      <c r="E598" s="27">
        <v>126.79</v>
      </c>
      <c r="F598">
        <v>8.92</v>
      </c>
      <c r="G598">
        <v>1.75</v>
      </c>
      <c r="H598">
        <v>10.67</v>
      </c>
      <c r="I598">
        <v>83.6</v>
      </c>
      <c r="J598">
        <v>113.25</v>
      </c>
      <c r="K598" s="9">
        <v>45306</v>
      </c>
      <c r="L598">
        <f xml:space="preserve"> (交易處理資料__3[[#This Row],[售出工時]] * 60) / 5</f>
        <v>144.95999999999998</v>
      </c>
      <c r="M598" t="str">
        <f>VLOOKUP(交易處理資料__3[[#This Row],[人員代號]],團隊分組!$B$1:$C$52,2,FALSE)</f>
        <v>快速保養團隊A</v>
      </c>
      <c r="N598">
        <f>IF(交易處理資料__3[[#This Row],[上班時間]]=0,0,交易處理資料__3[[#This Row],[售出工時]]/交易處理資料__3[[#This Row],[上班時間]])</f>
        <v>1.1321462043111528</v>
      </c>
      <c r="O598" s="31" t="str">
        <f>IF(交易處理資料__3[[#This Row],[上班時間]]=0,"否","是")</f>
        <v>是</v>
      </c>
    </row>
    <row r="599" spans="1:15" hidden="1">
      <c r="A599" t="s">
        <v>75</v>
      </c>
      <c r="B599" t="s">
        <v>39</v>
      </c>
      <c r="C599">
        <v>0</v>
      </c>
      <c r="D599">
        <v>0</v>
      </c>
      <c r="E599" s="27">
        <v>0</v>
      </c>
      <c r="F599">
        <v>8.43</v>
      </c>
      <c r="G599">
        <v>2.13</v>
      </c>
      <c r="H599">
        <v>10.56</v>
      </c>
      <c r="I599">
        <v>79.83</v>
      </c>
      <c r="J599">
        <v>0</v>
      </c>
      <c r="K599" s="9">
        <v>45306</v>
      </c>
      <c r="L599">
        <f xml:space="preserve"> (交易處理資料__3[[#This Row],[售出工時]] * 60) / 5</f>
        <v>0</v>
      </c>
      <c r="M599" t="str">
        <f>VLOOKUP(交易處理資料__3[[#This Row],[人員代號]],團隊分組!$B$1:$C$52,2,FALSE)</f>
        <v>查修團隊A</v>
      </c>
      <c r="N599">
        <f>IF(交易處理資料__3[[#This Row],[上班時間]]=0,0,交易處理資料__3[[#This Row],[售出工時]]/交易處理資料__3[[#This Row],[上班時間]])</f>
        <v>0</v>
      </c>
      <c r="O599" s="31" t="str">
        <f>IF(交易處理資料__3[[#This Row],[上班時間]]=0,"否","是")</f>
        <v>是</v>
      </c>
    </row>
    <row r="600" spans="1:15" hidden="1">
      <c r="A600" t="s">
        <v>75</v>
      </c>
      <c r="B600" t="s">
        <v>40</v>
      </c>
      <c r="C600">
        <v>0</v>
      </c>
      <c r="D600">
        <v>0</v>
      </c>
      <c r="E600" s="27">
        <v>0</v>
      </c>
      <c r="F600">
        <v>6.83</v>
      </c>
      <c r="G600">
        <v>1.34</v>
      </c>
      <c r="H600">
        <v>8.17</v>
      </c>
      <c r="I600">
        <v>83.6</v>
      </c>
      <c r="J600">
        <v>0</v>
      </c>
      <c r="K600" s="9">
        <v>45306</v>
      </c>
      <c r="L600">
        <f xml:space="preserve"> (交易處理資料__3[[#This Row],[售出工時]] * 60) / 5</f>
        <v>0</v>
      </c>
      <c r="M600" t="str">
        <f>VLOOKUP(交易處理資料__3[[#This Row],[人員代號]],團隊分組!$B$1:$C$52,2,FALSE)</f>
        <v>查修團隊A</v>
      </c>
      <c r="N600">
        <f>IF(交易處理資料__3[[#This Row],[上班時間]]=0,0,交易處理資料__3[[#This Row],[售出工時]]/交易處理資料__3[[#This Row],[上班時間]])</f>
        <v>0</v>
      </c>
      <c r="O600" s="31" t="str">
        <f>IF(交易處理資料__3[[#This Row],[上班時間]]=0,"否","是")</f>
        <v>是</v>
      </c>
    </row>
    <row r="601" spans="1:15" hidden="1">
      <c r="A601" t="s">
        <v>75</v>
      </c>
      <c r="B601" t="s">
        <v>41</v>
      </c>
      <c r="C601">
        <v>7.58</v>
      </c>
      <c r="D601">
        <v>4.33</v>
      </c>
      <c r="E601" s="27">
        <v>175.13</v>
      </c>
      <c r="F601">
        <v>4.33</v>
      </c>
      <c r="G601">
        <v>2.29</v>
      </c>
      <c r="H601">
        <v>6.62</v>
      </c>
      <c r="I601">
        <v>65.41</v>
      </c>
      <c r="J601">
        <v>114.55</v>
      </c>
      <c r="K601" s="9">
        <v>45306</v>
      </c>
      <c r="L601">
        <f xml:space="preserve"> (交易處理資料__3[[#This Row],[售出工時]] * 60) / 5</f>
        <v>90.960000000000008</v>
      </c>
      <c r="M601" t="str">
        <f>VLOOKUP(交易處理資料__3[[#This Row],[人員代號]],團隊分組!$B$1:$C$52,2,FALSE)</f>
        <v>快速保養團隊A</v>
      </c>
      <c r="N601">
        <f>IF(交易處理資料__3[[#This Row],[上班時間]]=0,0,交易處理資料__3[[#This Row],[售出工時]]/交易處理資料__3[[#This Row],[上班時間]])</f>
        <v>1.1450151057401812</v>
      </c>
      <c r="O601" s="31" t="str">
        <f>IF(交易處理資料__3[[#This Row],[上班時間]]=0,"否","是")</f>
        <v>是</v>
      </c>
    </row>
    <row r="602" spans="1:15" hidden="1">
      <c r="A602" t="s">
        <v>75</v>
      </c>
      <c r="B602" t="s">
        <v>42</v>
      </c>
      <c r="C602">
        <v>3.75</v>
      </c>
      <c r="D602">
        <v>3.65</v>
      </c>
      <c r="E602" s="27">
        <v>102.73</v>
      </c>
      <c r="F602">
        <v>4.4000000000000004</v>
      </c>
      <c r="G602">
        <v>3.53</v>
      </c>
      <c r="H602">
        <v>7.93</v>
      </c>
      <c r="I602">
        <v>55.49</v>
      </c>
      <c r="J602">
        <v>47.29</v>
      </c>
      <c r="K602" s="9">
        <v>45306</v>
      </c>
      <c r="L602">
        <f xml:space="preserve"> (交易處理資料__3[[#This Row],[售出工時]] * 60) / 5</f>
        <v>45</v>
      </c>
      <c r="M602" t="str">
        <f>VLOOKUP(交易處理資料__3[[#This Row],[人員代號]],團隊分組!$B$1:$C$52,2,FALSE)</f>
        <v>快速保養團隊A</v>
      </c>
      <c r="N602">
        <f>IF(交易處理資料__3[[#This Row],[上班時間]]=0,0,交易處理資料__3[[#This Row],[售出工時]]/交易處理資料__3[[#This Row],[上班時間]])</f>
        <v>0.4728877679697352</v>
      </c>
      <c r="O602" s="31" t="str">
        <f>IF(交易處理資料__3[[#This Row],[上班時間]]=0,"否","是")</f>
        <v>是</v>
      </c>
    </row>
    <row r="603" spans="1:15" hidden="1">
      <c r="A603" t="s">
        <v>75</v>
      </c>
      <c r="B603" t="s">
        <v>44</v>
      </c>
      <c r="C603">
        <v>0.59</v>
      </c>
      <c r="D603">
        <v>2.4700000000000002</v>
      </c>
      <c r="E603" s="27">
        <v>23.88</v>
      </c>
      <c r="F603">
        <v>9.7899999999999991</v>
      </c>
      <c r="G603">
        <v>0.44</v>
      </c>
      <c r="H603">
        <v>10.23</v>
      </c>
      <c r="I603">
        <v>95.7</v>
      </c>
      <c r="J603">
        <v>5.77</v>
      </c>
      <c r="K603" s="9">
        <v>45306</v>
      </c>
      <c r="L603">
        <f xml:space="preserve"> (交易處理資料__3[[#This Row],[售出工時]] * 60) / 5</f>
        <v>7.08</v>
      </c>
      <c r="M603" t="str">
        <f>VLOOKUP(交易處理資料__3[[#This Row],[人員代號]],團隊分組!$B$1:$C$52,2,FALSE)</f>
        <v>快速保養團隊B</v>
      </c>
      <c r="N603">
        <f>IF(交易處理資料__3[[#This Row],[上班時間]]=0,0,交易處理資料__3[[#This Row],[售出工時]]/交易處理資料__3[[#This Row],[上班時間]])</f>
        <v>5.767350928641251E-2</v>
      </c>
      <c r="O603" s="31" t="str">
        <f>IF(交易處理資料__3[[#This Row],[上班時間]]=0,"否","是")</f>
        <v>是</v>
      </c>
    </row>
    <row r="604" spans="1:15" hidden="1">
      <c r="A604" t="s">
        <v>75</v>
      </c>
      <c r="B604" t="s">
        <v>45</v>
      </c>
      <c r="C604">
        <v>0</v>
      </c>
      <c r="D604">
        <v>0</v>
      </c>
      <c r="E604" s="27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 s="9">
        <v>45306</v>
      </c>
      <c r="L604">
        <f xml:space="preserve"> (交易處理資料__3[[#This Row],[售出工時]] * 60) / 5</f>
        <v>0</v>
      </c>
      <c r="M604" t="str">
        <f>VLOOKUP(交易處理資料__3[[#This Row],[人員代號]],團隊分組!$B$1:$C$52,2,FALSE)</f>
        <v>快速保養團隊A</v>
      </c>
      <c r="N604">
        <f>IF(交易處理資料__3[[#This Row],[上班時間]]=0,0,交易處理資料__3[[#This Row],[售出工時]]/交易處理資料__3[[#This Row],[上班時間]])</f>
        <v>0</v>
      </c>
      <c r="O604" s="31" t="str">
        <f>IF(交易處理資料__3[[#This Row],[上班時間]]=0,"否","是")</f>
        <v>否</v>
      </c>
    </row>
    <row r="605" spans="1:15" hidden="1">
      <c r="A605" t="s">
        <v>75</v>
      </c>
      <c r="B605" t="s">
        <v>46</v>
      </c>
      <c r="C605">
        <v>0.83</v>
      </c>
      <c r="D605">
        <v>0.28000000000000003</v>
      </c>
      <c r="E605" s="27">
        <v>297.61</v>
      </c>
      <c r="F605">
        <v>6.49</v>
      </c>
      <c r="G605">
        <v>2.66</v>
      </c>
      <c r="H605">
        <v>9.15</v>
      </c>
      <c r="I605">
        <v>70.930000000000007</v>
      </c>
      <c r="J605">
        <v>9.11</v>
      </c>
      <c r="K605" s="9">
        <v>45306</v>
      </c>
      <c r="L605">
        <f xml:space="preserve"> (交易處理資料__3[[#This Row],[售出工時]] * 60) / 5</f>
        <v>9.9599999999999991</v>
      </c>
      <c r="M605" t="str">
        <f>VLOOKUP(交易處理資料__3[[#This Row],[人員代號]],團隊分組!$B$1:$C$52,2,FALSE)</f>
        <v>查修團隊B</v>
      </c>
      <c r="N605">
        <f>IF(交易處理資料__3[[#This Row],[上班時間]]=0,0,交易處理資料__3[[#This Row],[售出工時]]/交易處理資料__3[[#This Row],[上班時間]])</f>
        <v>9.0710382513661189E-2</v>
      </c>
      <c r="O605" s="31" t="str">
        <f>IF(交易處理資料__3[[#This Row],[上班時間]]=0,"否","是")</f>
        <v>是</v>
      </c>
    </row>
    <row r="606" spans="1:15" hidden="1">
      <c r="A606" t="s">
        <v>75</v>
      </c>
      <c r="B606" t="s">
        <v>47</v>
      </c>
      <c r="C606">
        <v>0</v>
      </c>
      <c r="D606">
        <v>0</v>
      </c>
      <c r="E606" s="27">
        <v>0</v>
      </c>
      <c r="F606">
        <v>8.5500000000000007</v>
      </c>
      <c r="G606">
        <v>4.1100000000000003</v>
      </c>
      <c r="H606">
        <v>12.66</v>
      </c>
      <c r="I606">
        <v>67.540000000000006</v>
      </c>
      <c r="J606">
        <v>0</v>
      </c>
      <c r="K606" s="9">
        <v>45306</v>
      </c>
      <c r="L606">
        <f xml:space="preserve"> (交易處理資料__3[[#This Row],[售出工時]] * 60) / 5</f>
        <v>0</v>
      </c>
      <c r="M606" t="str">
        <f>VLOOKUP(交易處理資料__3[[#This Row],[人員代號]],團隊分組!$B$1:$C$52,2,FALSE)</f>
        <v>查修團隊B</v>
      </c>
      <c r="N606">
        <f>IF(交易處理資料__3[[#This Row],[上班時間]]=0,0,交易處理資料__3[[#This Row],[售出工時]]/交易處理資料__3[[#This Row],[上班時間]])</f>
        <v>0</v>
      </c>
      <c r="O606" s="31" t="str">
        <f>IF(交易處理資料__3[[#This Row],[上班時間]]=0,"否","是")</f>
        <v>是</v>
      </c>
    </row>
    <row r="607" spans="1:15" hidden="1">
      <c r="A607" t="s">
        <v>75</v>
      </c>
      <c r="B607" t="s">
        <v>49</v>
      </c>
      <c r="C607">
        <v>0.93</v>
      </c>
      <c r="D607">
        <v>2.37</v>
      </c>
      <c r="E607" s="27">
        <v>39.24</v>
      </c>
      <c r="F607">
        <v>7.07</v>
      </c>
      <c r="G607">
        <v>0.89</v>
      </c>
      <c r="H607">
        <v>7.96</v>
      </c>
      <c r="I607">
        <v>88.82</v>
      </c>
      <c r="J607">
        <v>11.68</v>
      </c>
      <c r="K607" s="9">
        <v>45306</v>
      </c>
      <c r="L607">
        <f xml:space="preserve"> (交易處理資料__3[[#This Row],[售出工時]] * 60) / 5</f>
        <v>11.16</v>
      </c>
      <c r="M607" t="str">
        <f>VLOOKUP(交易處理資料__3[[#This Row],[人員代號]],團隊分組!$B$1:$C$52,2,FALSE)</f>
        <v>查修團隊A</v>
      </c>
      <c r="N607">
        <f>IF(交易處理資料__3[[#This Row],[上班時間]]=0,0,交易處理資料__3[[#This Row],[售出工時]]/交易處理資料__3[[#This Row],[上班時間]])</f>
        <v>0.11683417085427136</v>
      </c>
      <c r="O607" s="31" t="str">
        <f>IF(交易處理資料__3[[#This Row],[上班時間]]=0,"否","是")</f>
        <v>是</v>
      </c>
    </row>
    <row r="608" spans="1:15" hidden="1">
      <c r="A608" t="s">
        <v>75</v>
      </c>
      <c r="B608" t="s">
        <v>50</v>
      </c>
      <c r="C608">
        <v>0.57999999999999996</v>
      </c>
      <c r="D608">
        <v>2.4500000000000002</v>
      </c>
      <c r="E608" s="27">
        <v>23.67</v>
      </c>
      <c r="F608">
        <v>7.53</v>
      </c>
      <c r="G608">
        <v>0.45</v>
      </c>
      <c r="H608">
        <v>7.98</v>
      </c>
      <c r="I608">
        <v>94.36</v>
      </c>
      <c r="J608">
        <v>7.27</v>
      </c>
      <c r="K608" s="9">
        <v>45306</v>
      </c>
      <c r="L608">
        <f xml:space="preserve"> (交易處理資料__3[[#This Row],[售出工時]] * 60) / 5</f>
        <v>6.9599999999999991</v>
      </c>
      <c r="M608" t="str">
        <f>VLOOKUP(交易處理資料__3[[#This Row],[人員代號]],團隊分組!$B$1:$C$52,2,FALSE)</f>
        <v>快速保養團隊B</v>
      </c>
      <c r="N608">
        <f>IF(交易處理資料__3[[#This Row],[上班時間]]=0,0,交易處理資料__3[[#This Row],[售出工時]]/交易處理資料__3[[#This Row],[上班時間]])</f>
        <v>7.2681704260651625E-2</v>
      </c>
      <c r="O608" s="31" t="str">
        <f>IF(交易處理資料__3[[#This Row],[上班時間]]=0,"否","是")</f>
        <v>是</v>
      </c>
    </row>
    <row r="609" spans="1:15" hidden="1">
      <c r="A609" t="s">
        <v>75</v>
      </c>
      <c r="B609" t="s">
        <v>51</v>
      </c>
      <c r="C609">
        <v>0</v>
      </c>
      <c r="D609">
        <v>0</v>
      </c>
      <c r="E609" s="27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 s="9">
        <v>45306</v>
      </c>
      <c r="L609">
        <f xml:space="preserve"> (交易處理資料__3[[#This Row],[售出工時]] * 60) / 5</f>
        <v>0</v>
      </c>
      <c r="M609" t="str">
        <f>VLOOKUP(交易處理資料__3[[#This Row],[人員代號]],團隊分組!$B$1:$C$52,2,FALSE)</f>
        <v>無效數據</v>
      </c>
      <c r="N609">
        <f>IF(交易處理資料__3[[#This Row],[上班時間]]=0,0,交易處理資料__3[[#This Row],[售出工時]]/交易處理資料__3[[#This Row],[上班時間]])</f>
        <v>0</v>
      </c>
      <c r="O609" s="31" t="str">
        <f>IF(交易處理資料__3[[#This Row],[上班時間]]=0,"否","是")</f>
        <v>否</v>
      </c>
    </row>
    <row r="610" spans="1:15" hidden="1">
      <c r="A610" t="s">
        <v>75</v>
      </c>
      <c r="B610" t="s">
        <v>52</v>
      </c>
      <c r="C610">
        <v>2.83</v>
      </c>
      <c r="D610">
        <v>5.95</v>
      </c>
      <c r="E610" s="27">
        <v>47.61</v>
      </c>
      <c r="F610">
        <v>7.85</v>
      </c>
      <c r="G610">
        <v>1.21</v>
      </c>
      <c r="H610">
        <v>9.06</v>
      </c>
      <c r="I610">
        <v>86.64</v>
      </c>
      <c r="J610">
        <v>31.27</v>
      </c>
      <c r="K610" s="9">
        <v>45306</v>
      </c>
      <c r="L610">
        <f xml:space="preserve"> (交易處理資料__3[[#This Row],[售出工時]] * 60) / 5</f>
        <v>33.96</v>
      </c>
      <c r="M610" t="str">
        <f>VLOOKUP(交易處理資料__3[[#This Row],[人員代號]],團隊分組!$B$1:$C$52,2,FALSE)</f>
        <v>查修團隊B</v>
      </c>
      <c r="N610">
        <f>IF(交易處理資料__3[[#This Row],[上班時間]]=0,0,交易處理資料__3[[#This Row],[售出工時]]/交易處理資料__3[[#This Row],[上班時間]])</f>
        <v>0.31236203090507725</v>
      </c>
      <c r="O610" s="31" t="str">
        <f>IF(交易處理資料__3[[#This Row],[上班時間]]=0,"否","是")</f>
        <v>是</v>
      </c>
    </row>
    <row r="611" spans="1:15" hidden="1">
      <c r="A611" s="10" t="s">
        <v>73</v>
      </c>
      <c r="B611" t="s">
        <v>1</v>
      </c>
      <c r="C611">
        <v>0</v>
      </c>
      <c r="D611">
        <v>0</v>
      </c>
      <c r="E611" s="27">
        <v>0</v>
      </c>
      <c r="F611">
        <v>7.04</v>
      </c>
      <c r="G611">
        <v>0.98</v>
      </c>
      <c r="H611">
        <v>8.02</v>
      </c>
      <c r="I611">
        <v>87.78</v>
      </c>
      <c r="J611">
        <v>0</v>
      </c>
      <c r="K611" s="9">
        <v>45307</v>
      </c>
      <c r="L611">
        <f xml:space="preserve"> (交易處理資料__3[[#This Row],[售出工時]] * 60) / 5</f>
        <v>0</v>
      </c>
      <c r="M611" t="str">
        <f>VLOOKUP(交易處理資料__3[[#This Row],[人員代號]],團隊分組!$B$1:$C$52,2,FALSE)</f>
        <v>噴漆維修組</v>
      </c>
      <c r="N611">
        <f>IF(交易處理資料__3[[#This Row],[上班時間]]=0,0,交易處理資料__3[[#This Row],[售出工時]]/交易處理資料__3[[#This Row],[上班時間]])</f>
        <v>0</v>
      </c>
      <c r="O611" s="31" t="str">
        <f>IF(交易處理資料__3[[#This Row],[上班時間]]=0,"否","是")</f>
        <v>是</v>
      </c>
    </row>
    <row r="612" spans="1:15" hidden="1">
      <c r="A612" s="10" t="s">
        <v>73</v>
      </c>
      <c r="B612" t="s">
        <v>2</v>
      </c>
      <c r="C612">
        <v>0</v>
      </c>
      <c r="D612">
        <v>0</v>
      </c>
      <c r="E612" s="27">
        <v>0</v>
      </c>
      <c r="F612">
        <v>10.35</v>
      </c>
      <c r="G612">
        <v>0.19</v>
      </c>
      <c r="H612">
        <v>10.54</v>
      </c>
      <c r="I612">
        <v>98.2</v>
      </c>
      <c r="J612">
        <v>0</v>
      </c>
      <c r="K612" s="9">
        <v>45307</v>
      </c>
      <c r="L612">
        <f xml:space="preserve"> (交易處理資料__3[[#This Row],[售出工時]] * 60) / 5</f>
        <v>0</v>
      </c>
      <c r="M612" t="str">
        <f>VLOOKUP(交易處理資料__3[[#This Row],[人員代號]],團隊分組!$B$1:$C$52,2,FALSE)</f>
        <v>噴漆維修組</v>
      </c>
      <c r="N612">
        <f>IF(交易處理資料__3[[#This Row],[上班時間]]=0,0,交易處理資料__3[[#This Row],[售出工時]]/交易處理資料__3[[#This Row],[上班時間]])</f>
        <v>0</v>
      </c>
      <c r="O612" s="31" t="str">
        <f>IF(交易處理資料__3[[#This Row],[上班時間]]=0,"否","是")</f>
        <v>是</v>
      </c>
    </row>
    <row r="613" spans="1:15" hidden="1">
      <c r="A613" s="10" t="s">
        <v>73</v>
      </c>
      <c r="B613" t="s">
        <v>3</v>
      </c>
      <c r="C613">
        <v>0</v>
      </c>
      <c r="D613">
        <v>0</v>
      </c>
      <c r="E613" s="27">
        <v>0</v>
      </c>
      <c r="F613">
        <v>10.35</v>
      </c>
      <c r="G613">
        <v>0.19</v>
      </c>
      <c r="H613">
        <v>10.54</v>
      </c>
      <c r="I613">
        <v>98.2</v>
      </c>
      <c r="J613">
        <v>0</v>
      </c>
      <c r="K613" s="9">
        <v>45307</v>
      </c>
      <c r="L613">
        <f xml:space="preserve"> (交易處理資料__3[[#This Row],[售出工時]] * 60) / 5</f>
        <v>0</v>
      </c>
      <c r="M613" t="str">
        <f>VLOOKUP(交易處理資料__3[[#This Row],[人員代號]],團隊分組!$B$1:$C$52,2,FALSE)</f>
        <v>噴漆維修組</v>
      </c>
      <c r="N613">
        <f>IF(交易處理資料__3[[#This Row],[上班時間]]=0,0,交易處理資料__3[[#This Row],[售出工時]]/交易處理資料__3[[#This Row],[上班時間]])</f>
        <v>0</v>
      </c>
      <c r="O613" s="31" t="str">
        <f>IF(交易處理資料__3[[#This Row],[上班時間]]=0,"否","是")</f>
        <v>是</v>
      </c>
    </row>
    <row r="614" spans="1:15" hidden="1">
      <c r="A614" s="10" t="s">
        <v>73</v>
      </c>
      <c r="B614" t="s">
        <v>4</v>
      </c>
      <c r="C614">
        <v>0</v>
      </c>
      <c r="D614">
        <v>0</v>
      </c>
      <c r="E614" s="27">
        <v>0</v>
      </c>
      <c r="F614">
        <v>7.06</v>
      </c>
      <c r="G614">
        <v>0.98</v>
      </c>
      <c r="H614">
        <v>8.0399999999999991</v>
      </c>
      <c r="I614">
        <v>87.81</v>
      </c>
      <c r="J614">
        <v>0</v>
      </c>
      <c r="K614" s="9">
        <v>45307</v>
      </c>
      <c r="L614">
        <f xml:space="preserve"> (交易處理資料__3[[#This Row],[售出工時]] * 60) / 5</f>
        <v>0</v>
      </c>
      <c r="M614" t="str">
        <f>VLOOKUP(交易處理資料__3[[#This Row],[人員代號]],團隊分組!$B$1:$C$52,2,FALSE)</f>
        <v>噴漆維修組</v>
      </c>
      <c r="N614">
        <f>IF(交易處理資料__3[[#This Row],[上班時間]]=0,0,交易處理資料__3[[#This Row],[售出工時]]/交易處理資料__3[[#This Row],[上班時間]])</f>
        <v>0</v>
      </c>
      <c r="O614" s="31" t="str">
        <f>IF(交易處理資料__3[[#This Row],[上班時間]]=0,"否","是")</f>
        <v>是</v>
      </c>
    </row>
    <row r="615" spans="1:15" hidden="1">
      <c r="A615" s="10" t="s">
        <v>73</v>
      </c>
      <c r="B615" t="s">
        <v>5</v>
      </c>
      <c r="C615">
        <v>0</v>
      </c>
      <c r="D615">
        <v>0</v>
      </c>
      <c r="E615" s="27">
        <v>0</v>
      </c>
      <c r="F615">
        <v>7.77</v>
      </c>
      <c r="G615">
        <v>0.28000000000000003</v>
      </c>
      <c r="H615">
        <v>8.0500000000000007</v>
      </c>
      <c r="I615">
        <v>96.52</v>
      </c>
      <c r="J615">
        <v>0</v>
      </c>
      <c r="K615" s="9">
        <v>45307</v>
      </c>
      <c r="L615">
        <f xml:space="preserve"> (交易處理資料__3[[#This Row],[售出工時]] * 60) / 5</f>
        <v>0</v>
      </c>
      <c r="M615" t="str">
        <f>VLOOKUP(交易處理資料__3[[#This Row],[人員代號]],團隊分組!$B$1:$C$52,2,FALSE)</f>
        <v>噴漆維修組</v>
      </c>
      <c r="N615">
        <f>IF(交易處理資料__3[[#This Row],[上班時間]]=0,0,交易處理資料__3[[#This Row],[售出工時]]/交易處理資料__3[[#This Row],[上班時間]])</f>
        <v>0</v>
      </c>
      <c r="O615" s="31" t="str">
        <f>IF(交易處理資料__3[[#This Row],[上班時間]]=0,"否","是")</f>
        <v>是</v>
      </c>
    </row>
    <row r="616" spans="1:15" hidden="1">
      <c r="A616" s="10" t="s">
        <v>73</v>
      </c>
      <c r="B616" t="s">
        <v>6</v>
      </c>
      <c r="C616">
        <v>0</v>
      </c>
      <c r="D616">
        <v>0</v>
      </c>
      <c r="E616" s="27">
        <v>0</v>
      </c>
      <c r="F616">
        <v>10.35</v>
      </c>
      <c r="G616">
        <v>0.19</v>
      </c>
      <c r="H616">
        <v>10.54</v>
      </c>
      <c r="I616">
        <v>98.2</v>
      </c>
      <c r="J616">
        <v>0</v>
      </c>
      <c r="K616" s="9">
        <v>45307</v>
      </c>
      <c r="L616">
        <f xml:space="preserve"> (交易處理資料__3[[#This Row],[售出工時]] * 60) / 5</f>
        <v>0</v>
      </c>
      <c r="M616" t="str">
        <f>VLOOKUP(交易處理資料__3[[#This Row],[人員代號]],團隊分組!$B$1:$C$52,2,FALSE)</f>
        <v>噴漆維修組</v>
      </c>
      <c r="N616">
        <f>IF(交易處理資料__3[[#This Row],[上班時間]]=0,0,交易處理資料__3[[#This Row],[售出工時]]/交易處理資料__3[[#This Row],[上班時間]])</f>
        <v>0</v>
      </c>
      <c r="O616" s="31" t="str">
        <f>IF(交易處理資料__3[[#This Row],[上班時間]]=0,"否","是")</f>
        <v>是</v>
      </c>
    </row>
    <row r="617" spans="1:15" hidden="1">
      <c r="A617" s="10" t="s">
        <v>73</v>
      </c>
      <c r="B617" t="s">
        <v>7</v>
      </c>
      <c r="C617">
        <v>0</v>
      </c>
      <c r="D617">
        <v>0</v>
      </c>
      <c r="E617" s="27">
        <v>0</v>
      </c>
      <c r="F617">
        <v>10.27</v>
      </c>
      <c r="G617">
        <v>0.27</v>
      </c>
      <c r="H617">
        <v>10.54</v>
      </c>
      <c r="I617">
        <v>97.44</v>
      </c>
      <c r="J617">
        <v>0</v>
      </c>
      <c r="K617" s="9">
        <v>45307</v>
      </c>
      <c r="L617">
        <f xml:space="preserve"> (交易處理資料__3[[#This Row],[售出工時]] * 60) / 5</f>
        <v>0</v>
      </c>
      <c r="M617" t="str">
        <f>VLOOKUP(交易處理資料__3[[#This Row],[人員代號]],團隊分組!$B$1:$C$52,2,FALSE)</f>
        <v>噴漆維修組</v>
      </c>
      <c r="N617">
        <f>IF(交易處理資料__3[[#This Row],[上班時間]]=0,0,交易處理資料__3[[#This Row],[售出工時]]/交易處理資料__3[[#This Row],[上班時間]])</f>
        <v>0</v>
      </c>
      <c r="O617" s="31" t="str">
        <f>IF(交易處理資料__3[[#This Row],[上班時間]]=0,"否","是")</f>
        <v>是</v>
      </c>
    </row>
    <row r="618" spans="1:15" hidden="1">
      <c r="A618" s="10" t="s">
        <v>73</v>
      </c>
      <c r="B618" t="s">
        <v>8</v>
      </c>
      <c r="C618">
        <v>0</v>
      </c>
      <c r="D618">
        <v>0</v>
      </c>
      <c r="E618" s="27">
        <v>0</v>
      </c>
      <c r="F618">
        <v>7.08</v>
      </c>
      <c r="G618">
        <v>0.97</v>
      </c>
      <c r="H618">
        <v>8.0500000000000007</v>
      </c>
      <c r="I618">
        <v>87.95</v>
      </c>
      <c r="J618">
        <v>0</v>
      </c>
      <c r="K618" s="9">
        <v>45307</v>
      </c>
      <c r="L618">
        <f xml:space="preserve"> (交易處理資料__3[[#This Row],[售出工時]] * 60) / 5</f>
        <v>0</v>
      </c>
      <c r="M618" t="str">
        <f>VLOOKUP(交易處理資料__3[[#This Row],[人員代號]],團隊分組!$B$1:$C$52,2,FALSE)</f>
        <v>噴漆維修組</v>
      </c>
      <c r="N618">
        <f>IF(交易處理資料__3[[#This Row],[上班時間]]=0,0,交易處理資料__3[[#This Row],[售出工時]]/交易處理資料__3[[#This Row],[上班時間]])</f>
        <v>0</v>
      </c>
      <c r="O618" s="31" t="str">
        <f>IF(交易處理資料__3[[#This Row],[上班時間]]=0,"否","是")</f>
        <v>是</v>
      </c>
    </row>
    <row r="619" spans="1:15" hidden="1">
      <c r="A619" s="10" t="s">
        <v>73</v>
      </c>
      <c r="B619" t="s">
        <v>9</v>
      </c>
      <c r="C619">
        <v>0</v>
      </c>
      <c r="D619">
        <v>0</v>
      </c>
      <c r="E619" s="27">
        <v>0</v>
      </c>
      <c r="F619">
        <v>7.14</v>
      </c>
      <c r="G619">
        <v>0.98</v>
      </c>
      <c r="H619">
        <v>8.1199999999999992</v>
      </c>
      <c r="I619">
        <v>87.93</v>
      </c>
      <c r="J619">
        <v>0</v>
      </c>
      <c r="K619" s="9">
        <v>45307</v>
      </c>
      <c r="L619">
        <f xml:space="preserve"> (交易處理資料__3[[#This Row],[售出工時]] * 60) / 5</f>
        <v>0</v>
      </c>
      <c r="M619" t="str">
        <f>VLOOKUP(交易處理資料__3[[#This Row],[人員代號]],團隊分組!$B$1:$C$52,2,FALSE)</f>
        <v>噴漆維修組</v>
      </c>
      <c r="N619">
        <f>IF(交易處理資料__3[[#This Row],[上班時間]]=0,0,交易處理資料__3[[#This Row],[售出工時]]/交易處理資料__3[[#This Row],[上班時間]])</f>
        <v>0</v>
      </c>
      <c r="O619" s="31" t="str">
        <f>IF(交易處理資料__3[[#This Row],[上班時間]]=0,"否","是")</f>
        <v>是</v>
      </c>
    </row>
    <row r="620" spans="1:15" hidden="1">
      <c r="A620" t="s">
        <v>74</v>
      </c>
      <c r="B620" t="s">
        <v>11</v>
      </c>
      <c r="C620">
        <v>0</v>
      </c>
      <c r="D620">
        <v>0</v>
      </c>
      <c r="E620" s="27">
        <v>0</v>
      </c>
      <c r="F620">
        <v>0</v>
      </c>
      <c r="G620">
        <v>0.05</v>
      </c>
      <c r="H620">
        <v>0.05</v>
      </c>
      <c r="I620">
        <v>0</v>
      </c>
      <c r="J620">
        <v>0</v>
      </c>
      <c r="K620" s="9">
        <v>45307</v>
      </c>
      <c r="L620">
        <f xml:space="preserve"> (交易處理資料__3[[#This Row],[售出工時]] * 60) / 5</f>
        <v>0</v>
      </c>
      <c r="M620" t="str">
        <f>VLOOKUP(交易處理資料__3[[#This Row],[人員代號]],團隊分組!$B$1:$C$52,2,FALSE)</f>
        <v>鈑金維修組</v>
      </c>
      <c r="N620">
        <f>IF(交易處理資料__3[[#This Row],[上班時間]]=0,0,交易處理資料__3[[#This Row],[售出工時]]/交易處理資料__3[[#This Row],[上班時間]])</f>
        <v>0</v>
      </c>
      <c r="O620" s="31" t="str">
        <f>IF(交易處理資料__3[[#This Row],[上班時間]]=0,"否","是")</f>
        <v>是</v>
      </c>
    </row>
    <row r="621" spans="1:15" hidden="1">
      <c r="A621" t="s">
        <v>74</v>
      </c>
      <c r="B621" t="s">
        <v>12</v>
      </c>
      <c r="C621">
        <v>0</v>
      </c>
      <c r="D621">
        <v>0</v>
      </c>
      <c r="E621" s="27">
        <v>0</v>
      </c>
      <c r="F621">
        <v>7.84</v>
      </c>
      <c r="G621">
        <v>0.19</v>
      </c>
      <c r="H621">
        <v>8.0299999999999994</v>
      </c>
      <c r="I621">
        <v>97.63</v>
      </c>
      <c r="J621">
        <v>0</v>
      </c>
      <c r="K621" s="9">
        <v>45307</v>
      </c>
      <c r="L621">
        <f xml:space="preserve"> (交易處理資料__3[[#This Row],[售出工時]] * 60) / 5</f>
        <v>0</v>
      </c>
      <c r="M621" t="str">
        <f>VLOOKUP(交易處理資料__3[[#This Row],[人員代號]],團隊分組!$B$1:$C$52,2,FALSE)</f>
        <v>鈑金維修組</v>
      </c>
      <c r="N621">
        <f>IF(交易處理資料__3[[#This Row],[上班時間]]=0,0,交易處理資料__3[[#This Row],[售出工時]]/交易處理資料__3[[#This Row],[上班時間]])</f>
        <v>0</v>
      </c>
      <c r="O621" s="31" t="str">
        <f>IF(交易處理資料__3[[#This Row],[上班時間]]=0,"否","是")</f>
        <v>是</v>
      </c>
    </row>
    <row r="622" spans="1:15" hidden="1">
      <c r="A622" t="s">
        <v>74</v>
      </c>
      <c r="B622" t="s">
        <v>13</v>
      </c>
      <c r="C622">
        <v>0</v>
      </c>
      <c r="D622">
        <v>0</v>
      </c>
      <c r="E622" s="27">
        <v>0</v>
      </c>
      <c r="F622">
        <v>4.63</v>
      </c>
      <c r="G622">
        <v>3.45</v>
      </c>
      <c r="H622">
        <v>8.08</v>
      </c>
      <c r="I622">
        <v>57.3</v>
      </c>
      <c r="J622">
        <v>0</v>
      </c>
      <c r="K622" s="9">
        <v>45307</v>
      </c>
      <c r="L622">
        <f xml:space="preserve"> (交易處理資料__3[[#This Row],[售出工時]] * 60) / 5</f>
        <v>0</v>
      </c>
      <c r="M622" t="str">
        <f>VLOOKUP(交易處理資料__3[[#This Row],[人員代號]],團隊分組!$B$1:$C$52,2,FALSE)</f>
        <v>鈑金維修組</v>
      </c>
      <c r="N622">
        <f>IF(交易處理資料__3[[#This Row],[上班時間]]=0,0,交易處理資料__3[[#This Row],[售出工時]]/交易處理資料__3[[#This Row],[上班時間]])</f>
        <v>0</v>
      </c>
      <c r="O622" s="31" t="str">
        <f>IF(交易處理資料__3[[#This Row],[上班時間]]=0,"否","是")</f>
        <v>是</v>
      </c>
    </row>
    <row r="623" spans="1:15" hidden="1">
      <c r="A623" t="s">
        <v>74</v>
      </c>
      <c r="B623" t="s">
        <v>14</v>
      </c>
      <c r="C623">
        <v>0</v>
      </c>
      <c r="D623">
        <v>0</v>
      </c>
      <c r="E623" s="27">
        <v>0</v>
      </c>
      <c r="F623">
        <v>1.07</v>
      </c>
      <c r="G623">
        <v>7</v>
      </c>
      <c r="H623">
        <v>8.07</v>
      </c>
      <c r="I623">
        <v>13.26</v>
      </c>
      <c r="J623">
        <v>0</v>
      </c>
      <c r="K623" s="9">
        <v>45307</v>
      </c>
      <c r="L623">
        <f xml:space="preserve"> (交易處理資料__3[[#This Row],[售出工時]] * 60) / 5</f>
        <v>0</v>
      </c>
      <c r="M623" t="str">
        <f>VLOOKUP(交易處理資料__3[[#This Row],[人員代號]],團隊分組!$B$1:$C$52,2,FALSE)</f>
        <v>鈑金維修組</v>
      </c>
      <c r="N623">
        <f>IF(交易處理資料__3[[#This Row],[上班時間]]=0,0,交易處理資料__3[[#This Row],[售出工時]]/交易處理資料__3[[#This Row],[上班時間]])</f>
        <v>0</v>
      </c>
      <c r="O623" s="31" t="str">
        <f>IF(交易處理資料__3[[#This Row],[上班時間]]=0,"否","是")</f>
        <v>是</v>
      </c>
    </row>
    <row r="624" spans="1:15" hidden="1">
      <c r="A624" t="s">
        <v>74</v>
      </c>
      <c r="B624" t="s">
        <v>15</v>
      </c>
      <c r="C624">
        <v>0</v>
      </c>
      <c r="D624">
        <v>0</v>
      </c>
      <c r="E624" s="27">
        <v>0</v>
      </c>
      <c r="F624">
        <v>1.53</v>
      </c>
      <c r="G624">
        <v>6.53</v>
      </c>
      <c r="H624">
        <v>8.06</v>
      </c>
      <c r="I624">
        <v>18.98</v>
      </c>
      <c r="J624">
        <v>0</v>
      </c>
      <c r="K624" s="9">
        <v>45307</v>
      </c>
      <c r="L624">
        <f xml:space="preserve"> (交易處理資料__3[[#This Row],[售出工時]] * 60) / 5</f>
        <v>0</v>
      </c>
      <c r="M624" t="str">
        <f>VLOOKUP(交易處理資料__3[[#This Row],[人員代號]],團隊分組!$B$1:$C$52,2,FALSE)</f>
        <v>鈑金維修組</v>
      </c>
      <c r="N624">
        <f>IF(交易處理資料__3[[#This Row],[上班時間]]=0,0,交易處理資料__3[[#This Row],[售出工時]]/交易處理資料__3[[#This Row],[上班時間]])</f>
        <v>0</v>
      </c>
      <c r="O624" s="31" t="str">
        <f>IF(交易處理資料__3[[#This Row],[上班時間]]=0,"否","是")</f>
        <v>是</v>
      </c>
    </row>
    <row r="625" spans="1:15" hidden="1">
      <c r="A625" t="s">
        <v>75</v>
      </c>
      <c r="B625" t="s">
        <v>17</v>
      </c>
      <c r="C625">
        <v>10.38</v>
      </c>
      <c r="D625">
        <v>7</v>
      </c>
      <c r="E625" s="27">
        <v>148.33000000000001</v>
      </c>
      <c r="F625">
        <v>9.8000000000000007</v>
      </c>
      <c r="G625">
        <v>0.45</v>
      </c>
      <c r="H625">
        <v>10.25</v>
      </c>
      <c r="I625">
        <v>95.61</v>
      </c>
      <c r="J625">
        <v>101.3</v>
      </c>
      <c r="K625" s="9">
        <v>45307</v>
      </c>
      <c r="L625">
        <f xml:space="preserve"> (交易處理資料__3[[#This Row],[售出工時]] * 60) / 5</f>
        <v>124.56000000000002</v>
      </c>
      <c r="M625" t="str">
        <f>VLOOKUP(交易處理資料__3[[#This Row],[人員代號]],團隊分組!$B$1:$C$52,2,FALSE)</f>
        <v>快速保養團隊A</v>
      </c>
      <c r="N625">
        <f>IF(交易處理資料__3[[#This Row],[上班時間]]=0,0,交易處理資料__3[[#This Row],[售出工時]]/交易處理資料__3[[#This Row],[上班時間]])</f>
        <v>1.0126829268292683</v>
      </c>
      <c r="O625" s="31" t="str">
        <f>IF(交易處理資料__3[[#This Row],[上班時間]]=0,"否","是")</f>
        <v>是</v>
      </c>
    </row>
    <row r="626" spans="1:15" hidden="1">
      <c r="A626" t="s">
        <v>75</v>
      </c>
      <c r="B626" t="s">
        <v>20</v>
      </c>
      <c r="C626">
        <v>1.4</v>
      </c>
      <c r="D626">
        <v>3.38</v>
      </c>
      <c r="E626" s="27">
        <v>41.51</v>
      </c>
      <c r="F626">
        <v>2.13</v>
      </c>
      <c r="G626">
        <v>8.32</v>
      </c>
      <c r="H626">
        <v>10.45</v>
      </c>
      <c r="I626">
        <v>20.38</v>
      </c>
      <c r="J626">
        <v>13.43</v>
      </c>
      <c r="K626" s="9">
        <v>45307</v>
      </c>
      <c r="L626">
        <f xml:space="preserve"> (交易處理資料__3[[#This Row],[售出工時]] * 60) / 5</f>
        <v>16.8</v>
      </c>
      <c r="M626" t="str">
        <f>VLOOKUP(交易處理資料__3[[#This Row],[人員代號]],團隊分組!$B$1:$C$52,2,FALSE)</f>
        <v>查修團隊B</v>
      </c>
      <c r="N626">
        <f>IF(交易處理資料__3[[#This Row],[上班時間]]=0,0,交易處理資料__3[[#This Row],[售出工時]]/交易處理資料__3[[#This Row],[上班時間]])</f>
        <v>0.13397129186602871</v>
      </c>
      <c r="O626" s="31" t="str">
        <f>IF(交易處理資料__3[[#This Row],[上班時間]]=0,"否","是")</f>
        <v>是</v>
      </c>
    </row>
    <row r="627" spans="1:15" hidden="1">
      <c r="A627" t="s">
        <v>75</v>
      </c>
      <c r="B627" t="s">
        <v>21</v>
      </c>
      <c r="C627">
        <v>3.2</v>
      </c>
      <c r="D627">
        <v>5.14</v>
      </c>
      <c r="E627" s="27">
        <v>62.25</v>
      </c>
      <c r="F627">
        <v>6.76</v>
      </c>
      <c r="G627">
        <v>1.32</v>
      </c>
      <c r="H627">
        <v>8.08</v>
      </c>
      <c r="I627">
        <v>83.66</v>
      </c>
      <c r="J627">
        <v>39.6</v>
      </c>
      <c r="K627" s="9">
        <v>45307</v>
      </c>
      <c r="L627">
        <f xml:space="preserve"> (交易處理資料__3[[#This Row],[售出工時]] * 60) / 5</f>
        <v>38.4</v>
      </c>
      <c r="M627" t="str">
        <f>VLOOKUP(交易處理資料__3[[#This Row],[人員代號]],團隊分組!$B$1:$C$52,2,FALSE)</f>
        <v>查修團隊B</v>
      </c>
      <c r="N627">
        <f>IF(交易處理資料__3[[#This Row],[上班時間]]=0,0,交易處理資料__3[[#This Row],[售出工時]]/交易處理資料__3[[#This Row],[上班時間]])</f>
        <v>0.39603960396039606</v>
      </c>
      <c r="O627" s="31" t="str">
        <f>IF(交易處理資料__3[[#This Row],[上班時間]]=0,"否","是")</f>
        <v>是</v>
      </c>
    </row>
    <row r="628" spans="1:15" hidden="1">
      <c r="A628" t="s">
        <v>75</v>
      </c>
      <c r="B628" t="s">
        <v>22</v>
      </c>
      <c r="C628">
        <v>0</v>
      </c>
      <c r="D628">
        <v>0</v>
      </c>
      <c r="E628" s="27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 s="9">
        <v>45307</v>
      </c>
      <c r="L628">
        <f xml:space="preserve"> (交易處理資料__3[[#This Row],[售出工時]] * 60) / 5</f>
        <v>0</v>
      </c>
      <c r="M628" t="str">
        <f>VLOOKUP(交易處理資料__3[[#This Row],[人員代號]],團隊分組!$B$1:$C$52,2,FALSE)</f>
        <v>快速保養團隊A</v>
      </c>
      <c r="N628">
        <f>IF(交易處理資料__3[[#This Row],[上班時間]]=0,0,交易處理資料__3[[#This Row],[售出工時]]/交易處理資料__3[[#This Row],[上班時間]])</f>
        <v>0</v>
      </c>
      <c r="O628" s="31" t="str">
        <f>IF(交易處理資料__3[[#This Row],[上班時間]]=0,"否","是")</f>
        <v>否</v>
      </c>
    </row>
    <row r="629" spans="1:15" hidden="1">
      <c r="A629" t="s">
        <v>75</v>
      </c>
      <c r="B629" t="s">
        <v>24</v>
      </c>
      <c r="C629">
        <v>11.02</v>
      </c>
      <c r="D629">
        <v>5.87</v>
      </c>
      <c r="E629" s="27">
        <v>187.84</v>
      </c>
      <c r="F629">
        <v>6.68</v>
      </c>
      <c r="G629">
        <v>0.93</v>
      </c>
      <c r="H629">
        <v>7.61</v>
      </c>
      <c r="I629">
        <v>87.78</v>
      </c>
      <c r="J629">
        <v>144.9</v>
      </c>
      <c r="K629" s="9">
        <v>45307</v>
      </c>
      <c r="L629">
        <f xml:space="preserve"> (交易處理資料__3[[#This Row],[售出工時]] * 60) / 5</f>
        <v>132.23999999999998</v>
      </c>
      <c r="M629" t="str">
        <f>VLOOKUP(交易處理資料__3[[#This Row],[人員代號]],團隊分組!$B$1:$C$52,2,FALSE)</f>
        <v>快速保養團隊A</v>
      </c>
      <c r="N629">
        <f>IF(交易處理資料__3[[#This Row],[上班時間]]=0,0,交易處理資料__3[[#This Row],[售出工時]]/交易處理資料__3[[#This Row],[上班時間]])</f>
        <v>1.4480946123521681</v>
      </c>
      <c r="O629" s="31" t="str">
        <f>IF(交易處理資料__3[[#This Row],[上班時間]]=0,"否","是")</f>
        <v>是</v>
      </c>
    </row>
    <row r="630" spans="1:15" hidden="1">
      <c r="A630" t="s">
        <v>75</v>
      </c>
      <c r="B630" t="s">
        <v>26</v>
      </c>
      <c r="C630">
        <v>0.55000000000000004</v>
      </c>
      <c r="D630">
        <v>0.95</v>
      </c>
      <c r="E630" s="27">
        <v>57.89</v>
      </c>
      <c r="F630">
        <v>2.6</v>
      </c>
      <c r="G630">
        <v>7.83</v>
      </c>
      <c r="H630">
        <v>10.43</v>
      </c>
      <c r="I630">
        <v>24.93</v>
      </c>
      <c r="J630">
        <v>5.27</v>
      </c>
      <c r="K630" s="9">
        <v>45307</v>
      </c>
      <c r="L630">
        <f xml:space="preserve"> (交易處理資料__3[[#This Row],[售出工時]] * 60) / 5</f>
        <v>6.6</v>
      </c>
      <c r="M630" t="str">
        <f>VLOOKUP(交易處理資料__3[[#This Row],[人員代號]],團隊分組!$B$1:$C$52,2,FALSE)</f>
        <v>查修團隊B</v>
      </c>
      <c r="N630">
        <f>IF(交易處理資料__3[[#This Row],[上班時間]]=0,0,交易處理資料__3[[#This Row],[售出工時]]/交易處理資料__3[[#This Row],[上班時間]])</f>
        <v>5.2732502396931932E-2</v>
      </c>
      <c r="O630" s="31" t="str">
        <f>IF(交易處理資料__3[[#This Row],[上班時間]]=0,"否","是")</f>
        <v>是</v>
      </c>
    </row>
    <row r="631" spans="1:15" hidden="1">
      <c r="A631" t="s">
        <v>75</v>
      </c>
      <c r="B631" t="s">
        <v>28</v>
      </c>
      <c r="C631">
        <v>9.08</v>
      </c>
      <c r="D631">
        <v>7.61</v>
      </c>
      <c r="E631" s="27">
        <v>119.36</v>
      </c>
      <c r="F631">
        <v>7.61</v>
      </c>
      <c r="G631">
        <v>0.77</v>
      </c>
      <c r="H631">
        <v>8.3800000000000008</v>
      </c>
      <c r="I631">
        <v>90.81</v>
      </c>
      <c r="J631">
        <v>108.39</v>
      </c>
      <c r="K631" s="9">
        <v>45307</v>
      </c>
      <c r="L631">
        <f xml:space="preserve"> (交易處理資料__3[[#This Row],[售出工時]] * 60) / 5</f>
        <v>108.96</v>
      </c>
      <c r="M631" t="str">
        <f>VLOOKUP(交易處理資料__3[[#This Row],[人員代號]],團隊分組!$B$1:$C$52,2,FALSE)</f>
        <v>快速保養團隊A</v>
      </c>
      <c r="N631">
        <f>IF(交易處理資料__3[[#This Row],[上班時間]]=0,0,交易處理資料__3[[#This Row],[售出工時]]/交易處理資料__3[[#This Row],[上班時間]])</f>
        <v>1.0835322195704056</v>
      </c>
      <c r="O631" s="31" t="str">
        <f>IF(交易處理資料__3[[#This Row],[上班時間]]=0,"否","是")</f>
        <v>是</v>
      </c>
    </row>
    <row r="632" spans="1:15" hidden="1">
      <c r="A632" t="s">
        <v>75</v>
      </c>
      <c r="B632" t="s">
        <v>29</v>
      </c>
      <c r="C632">
        <v>3</v>
      </c>
      <c r="D632">
        <v>5.49</v>
      </c>
      <c r="E632" s="27">
        <v>54.64</v>
      </c>
      <c r="F632">
        <v>7.7</v>
      </c>
      <c r="G632">
        <v>0.32</v>
      </c>
      <c r="H632">
        <v>8.02</v>
      </c>
      <c r="I632">
        <v>96.01</v>
      </c>
      <c r="J632">
        <v>37.409999999999997</v>
      </c>
      <c r="K632" s="9">
        <v>45307</v>
      </c>
      <c r="L632">
        <f xml:space="preserve"> (交易處理資料__3[[#This Row],[售出工時]] * 60) / 5</f>
        <v>36</v>
      </c>
      <c r="M632" t="str">
        <f>VLOOKUP(交易處理資料__3[[#This Row],[人員代號]],團隊分組!$B$1:$C$52,2,FALSE)</f>
        <v>查修團隊B</v>
      </c>
      <c r="N632">
        <f>IF(交易處理資料__3[[#This Row],[上班時間]]=0,0,交易處理資料__3[[#This Row],[售出工時]]/交易處理資料__3[[#This Row],[上班時間]])</f>
        <v>0.37406483790523692</v>
      </c>
      <c r="O632" s="31" t="str">
        <f>IF(交易處理資料__3[[#This Row],[上班時間]]=0,"否","是")</f>
        <v>是</v>
      </c>
    </row>
    <row r="633" spans="1:15" hidden="1">
      <c r="A633" t="s">
        <v>75</v>
      </c>
      <c r="B633" t="s">
        <v>30</v>
      </c>
      <c r="C633">
        <v>11.73</v>
      </c>
      <c r="D633">
        <v>9.6</v>
      </c>
      <c r="E633" s="27">
        <v>122.18</v>
      </c>
      <c r="F633">
        <v>9.7200000000000006</v>
      </c>
      <c r="G633">
        <v>0.27</v>
      </c>
      <c r="H633">
        <v>9.99</v>
      </c>
      <c r="I633">
        <v>97.3</v>
      </c>
      <c r="J633">
        <v>117.42</v>
      </c>
      <c r="K633" s="9">
        <v>45307</v>
      </c>
      <c r="L633">
        <f xml:space="preserve"> (交易處理資料__3[[#This Row],[售出工時]] * 60) / 5</f>
        <v>140.76000000000002</v>
      </c>
      <c r="M633" t="str">
        <f>VLOOKUP(交易處理資料__3[[#This Row],[人員代號]],團隊分組!$B$1:$C$52,2,FALSE)</f>
        <v>快速保養團隊B</v>
      </c>
      <c r="N633">
        <f>IF(交易處理資料__3[[#This Row],[上班時間]]=0,0,交易處理資料__3[[#This Row],[售出工時]]/交易處理資料__3[[#This Row],[上班時間]])</f>
        <v>1.1741741741741742</v>
      </c>
      <c r="O633" s="31" t="str">
        <f>IF(交易處理資料__3[[#This Row],[上班時間]]=0,"否","是")</f>
        <v>是</v>
      </c>
    </row>
    <row r="634" spans="1:15" hidden="1">
      <c r="A634" t="s">
        <v>75</v>
      </c>
      <c r="B634" t="s">
        <v>31</v>
      </c>
      <c r="C634">
        <v>0</v>
      </c>
      <c r="D634">
        <v>0</v>
      </c>
      <c r="E634" s="27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 s="9">
        <v>45307</v>
      </c>
      <c r="L634">
        <f xml:space="preserve"> (交易處理資料__3[[#This Row],[售出工時]] * 60) / 5</f>
        <v>0</v>
      </c>
      <c r="M634" t="str">
        <f>VLOOKUP(交易處理資料__3[[#This Row],[人員代號]],團隊分組!$B$1:$C$52,2,FALSE)</f>
        <v>快速保養團隊A</v>
      </c>
      <c r="N634">
        <f>IF(交易處理資料__3[[#This Row],[上班時間]]=0,0,交易處理資料__3[[#This Row],[售出工時]]/交易處理資料__3[[#This Row],[上班時間]])</f>
        <v>0</v>
      </c>
      <c r="O634" s="31" t="str">
        <f>IF(交易處理資料__3[[#This Row],[上班時間]]=0,"否","是")</f>
        <v>否</v>
      </c>
    </row>
    <row r="635" spans="1:15" hidden="1">
      <c r="A635" t="s">
        <v>75</v>
      </c>
      <c r="B635" t="s">
        <v>32</v>
      </c>
      <c r="C635">
        <v>11.16</v>
      </c>
      <c r="D635">
        <v>5.67</v>
      </c>
      <c r="E635" s="27">
        <v>196.82</v>
      </c>
      <c r="F635">
        <v>7.45</v>
      </c>
      <c r="G635">
        <v>0.69</v>
      </c>
      <c r="H635">
        <v>8.14</v>
      </c>
      <c r="I635">
        <v>91.52</v>
      </c>
      <c r="J635">
        <v>137.1</v>
      </c>
      <c r="K635" s="9">
        <v>45307</v>
      </c>
      <c r="L635">
        <f xml:space="preserve"> (交易處理資料__3[[#This Row],[售出工時]] * 60) / 5</f>
        <v>133.92000000000002</v>
      </c>
      <c r="M635" t="str">
        <f>VLOOKUP(交易處理資料__3[[#This Row],[人員代號]],團隊分組!$B$1:$C$52,2,FALSE)</f>
        <v>快速保養團隊B</v>
      </c>
      <c r="N635">
        <f>IF(交易處理資料__3[[#This Row],[上班時間]]=0,0,交易處理資料__3[[#This Row],[售出工時]]/交易處理資料__3[[#This Row],[上班時間]])</f>
        <v>1.3710073710073709</v>
      </c>
      <c r="O635" s="31" t="str">
        <f>IF(交易處理資料__3[[#This Row],[上班時間]]=0,"否","是")</f>
        <v>是</v>
      </c>
    </row>
    <row r="636" spans="1:15">
      <c r="A636" t="s">
        <v>75</v>
      </c>
      <c r="B636" t="s">
        <v>33</v>
      </c>
      <c r="C636">
        <v>0</v>
      </c>
      <c r="D636">
        <v>0</v>
      </c>
      <c r="E636" s="27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 s="9">
        <v>45307</v>
      </c>
      <c r="L636">
        <f xml:space="preserve"> (交易處理資料__3[[#This Row],[售出工時]] * 60) / 5</f>
        <v>0</v>
      </c>
      <c r="M636" t="str">
        <f>VLOOKUP(交易處理資料__3[[#This Row],[人員代號]],團隊分組!$B$1:$C$52,2,FALSE)</f>
        <v>快速保養團隊B</v>
      </c>
      <c r="N636">
        <f>IF(交易處理資料__3[[#This Row],[上班時間]]=0,0,交易處理資料__3[[#This Row],[售出工時]]/交易處理資料__3[[#This Row],[上班時間]])</f>
        <v>0</v>
      </c>
      <c r="O636" s="31" t="str">
        <f>IF(交易處理資料__3[[#This Row],[上班時間]]=0,"否","是")</f>
        <v>否</v>
      </c>
    </row>
    <row r="637" spans="1:15" hidden="1">
      <c r="A637" t="s">
        <v>75</v>
      </c>
      <c r="B637" t="s">
        <v>37</v>
      </c>
      <c r="C637">
        <v>5.66</v>
      </c>
      <c r="D637">
        <v>4.9800000000000004</v>
      </c>
      <c r="E637" s="27">
        <v>113.78</v>
      </c>
      <c r="F637">
        <v>10.78</v>
      </c>
      <c r="G637">
        <v>0.52</v>
      </c>
      <c r="H637">
        <v>11.3</v>
      </c>
      <c r="I637">
        <v>95.4</v>
      </c>
      <c r="J637">
        <v>50.15</v>
      </c>
      <c r="K637" s="9">
        <v>45307</v>
      </c>
      <c r="L637">
        <f xml:space="preserve"> (交易處理資料__3[[#This Row],[售出工時]] * 60) / 5</f>
        <v>67.92</v>
      </c>
      <c r="M637" t="str">
        <f>VLOOKUP(交易處理資料__3[[#This Row],[人員代號]],團隊分組!$B$1:$C$52,2,FALSE)</f>
        <v>查修團隊A</v>
      </c>
      <c r="N637">
        <f>IF(交易處理資料__3[[#This Row],[上班時間]]=0,0,交易處理資料__3[[#This Row],[售出工時]]/交易處理資料__3[[#This Row],[上班時間]])</f>
        <v>0.50088495575221237</v>
      </c>
      <c r="O637" s="31" t="str">
        <f>IF(交易處理資料__3[[#This Row],[上班時間]]=0,"否","是")</f>
        <v>是</v>
      </c>
    </row>
    <row r="638" spans="1:15" hidden="1">
      <c r="A638" t="s">
        <v>75</v>
      </c>
      <c r="B638" t="s">
        <v>38</v>
      </c>
      <c r="C638">
        <v>27.5</v>
      </c>
      <c r="D638">
        <v>9.7200000000000006</v>
      </c>
      <c r="E638" s="27">
        <v>282.92</v>
      </c>
      <c r="F638">
        <v>11.58</v>
      </c>
      <c r="G638">
        <v>1.01</v>
      </c>
      <c r="H638">
        <v>12.59</v>
      </c>
      <c r="I638">
        <v>91.98</v>
      </c>
      <c r="J638">
        <v>218.43</v>
      </c>
      <c r="K638" s="9">
        <v>45307</v>
      </c>
      <c r="L638">
        <f xml:space="preserve"> (交易處理資料__3[[#This Row],[售出工時]] * 60) / 5</f>
        <v>330</v>
      </c>
      <c r="M638" t="str">
        <f>VLOOKUP(交易處理資料__3[[#This Row],[人員代號]],團隊分組!$B$1:$C$52,2,FALSE)</f>
        <v>快速保養團隊A</v>
      </c>
      <c r="N638">
        <f>IF(交易處理資料__3[[#This Row],[上班時間]]=0,0,交易處理資料__3[[#This Row],[售出工時]]/交易處理資料__3[[#This Row],[上班時間]])</f>
        <v>2.1842732327243843</v>
      </c>
      <c r="O638" s="31" t="str">
        <f>IF(交易處理資料__3[[#This Row],[上班時間]]=0,"否","是")</f>
        <v>是</v>
      </c>
    </row>
    <row r="639" spans="1:15" hidden="1">
      <c r="A639" t="s">
        <v>75</v>
      </c>
      <c r="B639" t="s">
        <v>39</v>
      </c>
      <c r="C639">
        <v>4.16</v>
      </c>
      <c r="D639">
        <v>5.95</v>
      </c>
      <c r="E639" s="27">
        <v>70.02</v>
      </c>
      <c r="F639">
        <v>9.6300000000000008</v>
      </c>
      <c r="G639">
        <v>0.69</v>
      </c>
      <c r="H639">
        <v>10.32</v>
      </c>
      <c r="I639">
        <v>93.31</v>
      </c>
      <c r="J639">
        <v>40.369999999999997</v>
      </c>
      <c r="K639" s="9">
        <v>45307</v>
      </c>
      <c r="L639">
        <f xml:space="preserve"> (交易處理資料__3[[#This Row],[售出工時]] * 60) / 5</f>
        <v>49.92</v>
      </c>
      <c r="M639" t="str">
        <f>VLOOKUP(交易處理資料__3[[#This Row],[人員代號]],團隊分組!$B$1:$C$52,2,FALSE)</f>
        <v>查修團隊A</v>
      </c>
      <c r="N639">
        <f>IF(交易處理資料__3[[#This Row],[上班時間]]=0,0,交易處理資料__3[[#This Row],[售出工時]]/交易處理資料__3[[#This Row],[上班時間]])</f>
        <v>0.40310077519379844</v>
      </c>
      <c r="O639" s="31" t="str">
        <f>IF(交易處理資料__3[[#This Row],[上班時間]]=0,"否","是")</f>
        <v>是</v>
      </c>
    </row>
    <row r="640" spans="1:15" hidden="1">
      <c r="A640" t="s">
        <v>75</v>
      </c>
      <c r="B640" t="s">
        <v>42</v>
      </c>
      <c r="C640">
        <v>3.91</v>
      </c>
      <c r="D640">
        <v>3.44</v>
      </c>
      <c r="E640" s="27">
        <v>113.85</v>
      </c>
      <c r="F640">
        <v>7.89</v>
      </c>
      <c r="G640">
        <v>2.14</v>
      </c>
      <c r="H640">
        <v>10.029999999999999</v>
      </c>
      <c r="I640">
        <v>78.66</v>
      </c>
      <c r="J640">
        <v>39.049999999999997</v>
      </c>
      <c r="K640" s="9">
        <v>45307</v>
      </c>
      <c r="L640">
        <f xml:space="preserve"> (交易處理資料__3[[#This Row],[售出工時]] * 60) / 5</f>
        <v>46.92</v>
      </c>
      <c r="M640" t="str">
        <f>VLOOKUP(交易處理資料__3[[#This Row],[人員代號]],團隊分組!$B$1:$C$52,2,FALSE)</f>
        <v>快速保養團隊A</v>
      </c>
      <c r="N640">
        <f>IF(交易處理資料__3[[#This Row],[上班時間]]=0,0,交易處理資料__3[[#This Row],[售出工時]]/交易處理資料__3[[#This Row],[上班時間]])</f>
        <v>0.38983050847457629</v>
      </c>
      <c r="O640" s="31" t="str">
        <f>IF(交易處理資料__3[[#This Row],[上班時間]]=0,"否","是")</f>
        <v>是</v>
      </c>
    </row>
    <row r="641" spans="1:15" hidden="1">
      <c r="A641" t="s">
        <v>75</v>
      </c>
      <c r="B641" t="s">
        <v>46</v>
      </c>
      <c r="C641">
        <v>0</v>
      </c>
      <c r="D641">
        <v>0</v>
      </c>
      <c r="E641" s="27">
        <v>0</v>
      </c>
      <c r="F641">
        <v>4.71</v>
      </c>
      <c r="G641">
        <v>3.44</v>
      </c>
      <c r="H641">
        <v>8.15</v>
      </c>
      <c r="I641">
        <v>57.79</v>
      </c>
      <c r="J641">
        <v>0</v>
      </c>
      <c r="K641" s="9">
        <v>45307</v>
      </c>
      <c r="L641">
        <f xml:space="preserve"> (交易處理資料__3[[#This Row],[售出工時]] * 60) / 5</f>
        <v>0</v>
      </c>
      <c r="M641" t="str">
        <f>VLOOKUP(交易處理資料__3[[#This Row],[人員代號]],團隊分組!$B$1:$C$52,2,FALSE)</f>
        <v>查修團隊B</v>
      </c>
      <c r="N641">
        <f>IF(交易處理資料__3[[#This Row],[上班時間]]=0,0,交易處理資料__3[[#This Row],[售出工時]]/交易處理資料__3[[#This Row],[上班時間]])</f>
        <v>0</v>
      </c>
      <c r="O641" s="31" t="str">
        <f>IF(交易處理資料__3[[#This Row],[上班時間]]=0,"否","是")</f>
        <v>是</v>
      </c>
    </row>
    <row r="642" spans="1:15" hidden="1">
      <c r="A642" t="s">
        <v>75</v>
      </c>
      <c r="B642" t="s">
        <v>47</v>
      </c>
      <c r="C642">
        <v>4.33</v>
      </c>
      <c r="D642">
        <v>5.12</v>
      </c>
      <c r="E642" s="27">
        <v>84.63</v>
      </c>
      <c r="F642">
        <v>5.12</v>
      </c>
      <c r="G642">
        <v>3.66</v>
      </c>
      <c r="H642">
        <v>8.7799999999999994</v>
      </c>
      <c r="I642">
        <v>58.31</v>
      </c>
      <c r="J642">
        <v>49.35</v>
      </c>
      <c r="K642" s="9">
        <v>45307</v>
      </c>
      <c r="L642">
        <f xml:space="preserve"> (交易處理資料__3[[#This Row],[售出工時]] * 60) / 5</f>
        <v>51.96</v>
      </c>
      <c r="M642" t="str">
        <f>VLOOKUP(交易處理資料__3[[#This Row],[人員代號]],團隊分組!$B$1:$C$52,2,FALSE)</f>
        <v>查修團隊B</v>
      </c>
      <c r="N642">
        <f>IF(交易處理資料__3[[#This Row],[上班時間]]=0,0,交易處理資料__3[[#This Row],[售出工時]]/交易處理資料__3[[#This Row],[上班時間]])</f>
        <v>0.49316628701594539</v>
      </c>
      <c r="O642" s="31" t="str">
        <f>IF(交易處理資料__3[[#This Row],[上班時間]]=0,"否","是")</f>
        <v>是</v>
      </c>
    </row>
    <row r="643" spans="1:15" hidden="1">
      <c r="A643" t="s">
        <v>75</v>
      </c>
      <c r="B643" t="s">
        <v>48</v>
      </c>
      <c r="C643">
        <v>1.33</v>
      </c>
      <c r="D643">
        <v>2.68</v>
      </c>
      <c r="E643" s="27">
        <v>49.75</v>
      </c>
      <c r="F643">
        <v>6.78</v>
      </c>
      <c r="G643">
        <v>3.01</v>
      </c>
      <c r="H643">
        <v>9.7899999999999991</v>
      </c>
      <c r="I643">
        <v>69.25</v>
      </c>
      <c r="J643">
        <v>13.62</v>
      </c>
      <c r="K643" s="9">
        <v>45307</v>
      </c>
      <c r="L643">
        <f xml:space="preserve"> (交易處理資料__3[[#This Row],[售出工時]] * 60) / 5</f>
        <v>15.960000000000003</v>
      </c>
      <c r="M643" t="str">
        <f>VLOOKUP(交易處理資料__3[[#This Row],[人員代號]],團隊分組!$B$1:$C$52,2,FALSE)</f>
        <v>查修團隊A</v>
      </c>
      <c r="N643">
        <f>IF(交易處理資料__3[[#This Row],[上班時間]]=0,0,交易處理資料__3[[#This Row],[售出工時]]/交易處理資料__3[[#This Row],[上班時間]])</f>
        <v>0.13585291113381004</v>
      </c>
      <c r="O643" s="31" t="str">
        <f>IF(交易處理資料__3[[#This Row],[上班時間]]=0,"否","是")</f>
        <v>是</v>
      </c>
    </row>
    <row r="644" spans="1:15" hidden="1">
      <c r="A644" t="s">
        <v>75</v>
      </c>
      <c r="B644" t="s">
        <v>49</v>
      </c>
      <c r="C644">
        <v>6.43</v>
      </c>
      <c r="D644">
        <v>6.74</v>
      </c>
      <c r="E644" s="27">
        <v>95.49</v>
      </c>
      <c r="F644">
        <v>7</v>
      </c>
      <c r="G644">
        <v>0.76</v>
      </c>
      <c r="H644">
        <v>7.76</v>
      </c>
      <c r="I644">
        <v>90.21</v>
      </c>
      <c r="J644">
        <v>82.95</v>
      </c>
      <c r="K644" s="9">
        <v>45307</v>
      </c>
      <c r="L644">
        <f xml:space="preserve"> (交易處理資料__3[[#This Row],[售出工時]] * 60) / 5</f>
        <v>77.16</v>
      </c>
      <c r="M644" t="str">
        <f>VLOOKUP(交易處理資料__3[[#This Row],[人員代號]],團隊分組!$B$1:$C$52,2,FALSE)</f>
        <v>查修團隊A</v>
      </c>
      <c r="N644">
        <f>IF(交易處理資料__3[[#This Row],[上班時間]]=0,0,交易處理資料__3[[#This Row],[售出工時]]/交易處理資料__3[[#This Row],[上班時間]])</f>
        <v>0.82860824742268036</v>
      </c>
      <c r="O644" s="31" t="str">
        <f>IF(交易處理資料__3[[#This Row],[上班時間]]=0,"否","是")</f>
        <v>是</v>
      </c>
    </row>
    <row r="645" spans="1:15" hidden="1">
      <c r="A645" t="s">
        <v>75</v>
      </c>
      <c r="B645" t="s">
        <v>51</v>
      </c>
      <c r="C645">
        <v>0</v>
      </c>
      <c r="D645">
        <v>0</v>
      </c>
      <c r="E645" s="27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 s="9">
        <v>45307</v>
      </c>
      <c r="L645">
        <f xml:space="preserve"> (交易處理資料__3[[#This Row],[售出工時]] * 60) / 5</f>
        <v>0</v>
      </c>
      <c r="M645" t="str">
        <f>VLOOKUP(交易處理資料__3[[#This Row],[人員代號]],團隊分組!$B$1:$C$52,2,FALSE)</f>
        <v>無效數據</v>
      </c>
      <c r="N645">
        <f>IF(交易處理資料__3[[#This Row],[上班時間]]=0,0,交易處理資料__3[[#This Row],[售出工時]]/交易處理資料__3[[#This Row],[上班時間]])</f>
        <v>0</v>
      </c>
      <c r="O645" s="31" t="str">
        <f>IF(交易處理資料__3[[#This Row],[上班時間]]=0,"否","是")</f>
        <v>否</v>
      </c>
    </row>
    <row r="646" spans="1:15" hidden="1">
      <c r="A646" t="s">
        <v>75</v>
      </c>
      <c r="B646" t="s">
        <v>53</v>
      </c>
      <c r="C646">
        <v>2.5</v>
      </c>
      <c r="D646">
        <v>6.79</v>
      </c>
      <c r="E646" s="27">
        <v>36.81</v>
      </c>
      <c r="F646">
        <v>7.59</v>
      </c>
      <c r="G646">
        <v>0.22</v>
      </c>
      <c r="H646">
        <v>7.81</v>
      </c>
      <c r="I646">
        <v>97.18</v>
      </c>
      <c r="J646">
        <v>32.01</v>
      </c>
      <c r="K646" s="9">
        <v>45307</v>
      </c>
      <c r="L646">
        <f xml:space="preserve"> (交易處理資料__3[[#This Row],[售出工時]] * 60) / 5</f>
        <v>30</v>
      </c>
      <c r="M646" t="str">
        <f>VLOOKUP(交易處理資料__3[[#This Row],[人員代號]],團隊分組!$B$1:$C$52,2,FALSE)</f>
        <v>查修團隊A</v>
      </c>
      <c r="N646">
        <f>IF(交易處理資料__3[[#This Row],[上班時間]]=0,0,交易處理資料__3[[#This Row],[售出工時]]/交易處理資料__3[[#This Row],[上班時間]])</f>
        <v>0.32010243277848915</v>
      </c>
      <c r="O646" s="31" t="str">
        <f>IF(交易處理資料__3[[#This Row],[上班時間]]=0,"否","是")</f>
        <v>是</v>
      </c>
    </row>
    <row r="647" spans="1:15" hidden="1">
      <c r="A647" s="10" t="s">
        <v>73</v>
      </c>
      <c r="B647" t="s">
        <v>2</v>
      </c>
      <c r="C647">
        <v>1.01</v>
      </c>
      <c r="D647">
        <v>6.92</v>
      </c>
      <c r="E647" s="27">
        <v>14.59</v>
      </c>
      <c r="F647">
        <v>7.72</v>
      </c>
      <c r="G647">
        <v>0.28000000000000003</v>
      </c>
      <c r="H647">
        <v>8</v>
      </c>
      <c r="I647">
        <v>96.5</v>
      </c>
      <c r="J647">
        <v>12.63</v>
      </c>
      <c r="K647" s="9">
        <v>45308</v>
      </c>
      <c r="L647">
        <f xml:space="preserve"> (交易處理資料__3[[#This Row],[售出工時]] * 60) / 5</f>
        <v>12.120000000000001</v>
      </c>
      <c r="M647" t="str">
        <f>VLOOKUP(交易處理資料__3[[#This Row],[人員代號]],團隊分組!$B$1:$C$52,2,FALSE)</f>
        <v>噴漆維修組</v>
      </c>
      <c r="N647">
        <f>IF(交易處理資料__3[[#This Row],[上班時間]]=0,0,交易處理資料__3[[#This Row],[售出工時]]/交易處理資料__3[[#This Row],[上班時間]])</f>
        <v>0.12625</v>
      </c>
      <c r="O647" s="31" t="str">
        <f>IF(交易處理資料__3[[#This Row],[上班時間]]=0,"否","是")</f>
        <v>是</v>
      </c>
    </row>
    <row r="648" spans="1:15" hidden="1">
      <c r="A648" s="10" t="s">
        <v>73</v>
      </c>
      <c r="B648" t="s">
        <v>3</v>
      </c>
      <c r="C648">
        <v>1.1599999999999999</v>
      </c>
      <c r="D648">
        <v>7.95</v>
      </c>
      <c r="E648" s="27">
        <v>14.59</v>
      </c>
      <c r="F648">
        <v>7.7</v>
      </c>
      <c r="G648">
        <v>0.28000000000000003</v>
      </c>
      <c r="H648">
        <v>7.98</v>
      </c>
      <c r="I648">
        <v>96.49</v>
      </c>
      <c r="J648">
        <v>14.54</v>
      </c>
      <c r="K648" s="9">
        <v>45308</v>
      </c>
      <c r="L648">
        <f xml:space="preserve"> (交易處理資料__3[[#This Row],[售出工時]] * 60) / 5</f>
        <v>13.919999999999998</v>
      </c>
      <c r="M648" t="str">
        <f>VLOOKUP(交易處理資料__3[[#This Row],[人員代號]],團隊分組!$B$1:$C$52,2,FALSE)</f>
        <v>噴漆維修組</v>
      </c>
      <c r="N648">
        <f>IF(交易處理資料__3[[#This Row],[上班時間]]=0,0,交易處理資料__3[[#This Row],[售出工時]]/交易處理資料__3[[#This Row],[上班時間]])</f>
        <v>0.14536340852130325</v>
      </c>
      <c r="O648" s="31" t="str">
        <f>IF(交易處理資料__3[[#This Row],[上班時間]]=0,"否","是")</f>
        <v>是</v>
      </c>
    </row>
    <row r="649" spans="1:15" hidden="1">
      <c r="A649" s="10" t="s">
        <v>73</v>
      </c>
      <c r="B649" t="s">
        <v>4</v>
      </c>
      <c r="C649">
        <v>0.65</v>
      </c>
      <c r="D649">
        <v>1.8</v>
      </c>
      <c r="E649" s="27">
        <v>36.11</v>
      </c>
      <c r="F649">
        <v>3.8</v>
      </c>
      <c r="G649">
        <v>4.21</v>
      </c>
      <c r="H649">
        <v>8.01</v>
      </c>
      <c r="I649">
        <v>47.44</v>
      </c>
      <c r="J649">
        <v>8.11</v>
      </c>
      <c r="K649" s="9">
        <v>45308</v>
      </c>
      <c r="L649">
        <f xml:space="preserve"> (交易處理資料__3[[#This Row],[售出工時]] * 60) / 5</f>
        <v>7.8</v>
      </c>
      <c r="M649" t="str">
        <f>VLOOKUP(交易處理資料__3[[#This Row],[人員代號]],團隊分組!$B$1:$C$52,2,FALSE)</f>
        <v>噴漆維修組</v>
      </c>
      <c r="N649">
        <f>IF(交易處理資料__3[[#This Row],[上班時間]]=0,0,交易處理資料__3[[#This Row],[售出工時]]/交易處理資料__3[[#This Row],[上班時間]])</f>
        <v>8.1148564294631714E-2</v>
      </c>
      <c r="O649" s="31" t="str">
        <f>IF(交易處理資料__3[[#This Row],[上班時間]]=0,"否","是")</f>
        <v>是</v>
      </c>
    </row>
    <row r="650" spans="1:15" hidden="1">
      <c r="A650" s="10" t="s">
        <v>73</v>
      </c>
      <c r="B650" t="s">
        <v>5</v>
      </c>
      <c r="C650">
        <v>2.04</v>
      </c>
      <c r="D650">
        <v>4.96</v>
      </c>
      <c r="E650" s="27">
        <v>41.26</v>
      </c>
      <c r="F650">
        <v>7.7</v>
      </c>
      <c r="G650">
        <v>0.3</v>
      </c>
      <c r="H650">
        <v>8</v>
      </c>
      <c r="I650">
        <v>96.25</v>
      </c>
      <c r="J650">
        <v>25.58</v>
      </c>
      <c r="K650" s="9">
        <v>45308</v>
      </c>
      <c r="L650">
        <f xml:space="preserve"> (交易處理資料__3[[#This Row],[售出工時]] * 60) / 5</f>
        <v>24.48</v>
      </c>
      <c r="M650" t="str">
        <f>VLOOKUP(交易處理資料__3[[#This Row],[人員代號]],團隊分組!$B$1:$C$52,2,FALSE)</f>
        <v>噴漆維修組</v>
      </c>
      <c r="N650">
        <f>IF(交易處理資料__3[[#This Row],[上班時間]]=0,0,交易處理資料__3[[#This Row],[售出工時]]/交易處理資料__3[[#This Row],[上班時間]])</f>
        <v>0.255</v>
      </c>
      <c r="O650" s="31" t="str">
        <f>IF(交易處理資料__3[[#This Row],[上班時間]]=0,"否","是")</f>
        <v>是</v>
      </c>
    </row>
    <row r="651" spans="1:15" hidden="1">
      <c r="A651" s="10" t="s">
        <v>73</v>
      </c>
      <c r="B651" t="s">
        <v>6</v>
      </c>
      <c r="C651">
        <v>1.1599999999999999</v>
      </c>
      <c r="D651">
        <v>7.94</v>
      </c>
      <c r="E651" s="27">
        <v>14.6</v>
      </c>
      <c r="F651">
        <v>7.72</v>
      </c>
      <c r="G651">
        <v>0.26</v>
      </c>
      <c r="H651">
        <v>7.98</v>
      </c>
      <c r="I651">
        <v>96.74</v>
      </c>
      <c r="J651">
        <v>14.54</v>
      </c>
      <c r="K651" s="9">
        <v>45308</v>
      </c>
      <c r="L651">
        <f xml:space="preserve"> (交易處理資料__3[[#This Row],[售出工時]] * 60) / 5</f>
        <v>13.919999999999998</v>
      </c>
      <c r="M651" t="str">
        <f>VLOOKUP(交易處理資料__3[[#This Row],[人員代號]],團隊分組!$B$1:$C$52,2,FALSE)</f>
        <v>噴漆維修組</v>
      </c>
      <c r="N651">
        <f>IF(交易處理資料__3[[#This Row],[上班時間]]=0,0,交易處理資料__3[[#This Row],[售出工時]]/交易處理資料__3[[#This Row],[上班時間]])</f>
        <v>0.14536340852130325</v>
      </c>
      <c r="O651" s="31" t="str">
        <f>IF(交易處理資料__3[[#This Row],[上班時間]]=0,"否","是")</f>
        <v>是</v>
      </c>
    </row>
    <row r="652" spans="1:15" hidden="1">
      <c r="A652" s="10" t="s">
        <v>73</v>
      </c>
      <c r="B652" t="s">
        <v>7</v>
      </c>
      <c r="C652">
        <v>4.88</v>
      </c>
      <c r="D652">
        <v>7.73</v>
      </c>
      <c r="E652" s="27">
        <v>63.13</v>
      </c>
      <c r="F652">
        <v>7.68</v>
      </c>
      <c r="G652">
        <v>0.32</v>
      </c>
      <c r="H652">
        <v>8</v>
      </c>
      <c r="I652">
        <v>96</v>
      </c>
      <c r="J652">
        <v>61</v>
      </c>
      <c r="K652" s="9">
        <v>45308</v>
      </c>
      <c r="L652">
        <f xml:space="preserve"> (交易處理資料__3[[#This Row],[售出工時]] * 60) / 5</f>
        <v>58.56</v>
      </c>
      <c r="M652" t="str">
        <f>VLOOKUP(交易處理資料__3[[#This Row],[人員代號]],團隊分組!$B$1:$C$52,2,FALSE)</f>
        <v>噴漆維修組</v>
      </c>
      <c r="N652">
        <f>IF(交易處理資料__3[[#This Row],[上班時間]]=0,0,交易處理資料__3[[#This Row],[售出工時]]/交易處理資料__3[[#This Row],[上班時間]])</f>
        <v>0.61</v>
      </c>
      <c r="O652" s="31" t="str">
        <f>IF(交易處理資料__3[[#This Row],[上班時間]]=0,"否","是")</f>
        <v>是</v>
      </c>
    </row>
    <row r="653" spans="1:15" hidden="1">
      <c r="A653" s="10" t="s">
        <v>73</v>
      </c>
      <c r="B653" t="s">
        <v>8</v>
      </c>
      <c r="C653">
        <v>1.25</v>
      </c>
      <c r="D653">
        <v>3.47</v>
      </c>
      <c r="E653" s="27">
        <v>36.020000000000003</v>
      </c>
      <c r="F653">
        <v>3.8</v>
      </c>
      <c r="G653">
        <v>4.2300000000000004</v>
      </c>
      <c r="H653">
        <v>8.0299999999999994</v>
      </c>
      <c r="I653">
        <v>47.32</v>
      </c>
      <c r="J653">
        <v>15.57</v>
      </c>
      <c r="K653" s="9">
        <v>45308</v>
      </c>
      <c r="L653">
        <f xml:space="preserve"> (交易處理資料__3[[#This Row],[售出工時]] * 60) / 5</f>
        <v>15</v>
      </c>
      <c r="M653" t="str">
        <f>VLOOKUP(交易處理資料__3[[#This Row],[人員代號]],團隊分組!$B$1:$C$52,2,FALSE)</f>
        <v>噴漆維修組</v>
      </c>
      <c r="N653">
        <f>IF(交易處理資料__3[[#This Row],[上班時間]]=0,0,交易處理資料__3[[#This Row],[售出工時]]/交易處理資料__3[[#This Row],[上班時間]])</f>
        <v>0.15566625155666253</v>
      </c>
      <c r="O653" s="31" t="str">
        <f>IF(交易處理資料__3[[#This Row],[上班時間]]=0,"否","是")</f>
        <v>是</v>
      </c>
    </row>
    <row r="654" spans="1:15" hidden="1">
      <c r="A654" s="10" t="s">
        <v>73</v>
      </c>
      <c r="B654" t="s">
        <v>9</v>
      </c>
      <c r="C654">
        <v>2.76</v>
      </c>
      <c r="D654">
        <v>6.84</v>
      </c>
      <c r="E654" s="27">
        <v>40.35</v>
      </c>
      <c r="F654">
        <v>7.45</v>
      </c>
      <c r="G654">
        <v>0.57999999999999996</v>
      </c>
      <c r="H654">
        <v>8.0299999999999994</v>
      </c>
      <c r="I654">
        <v>92.78</v>
      </c>
      <c r="J654">
        <v>34.369999999999997</v>
      </c>
      <c r="K654" s="9">
        <v>45308</v>
      </c>
      <c r="L654">
        <f xml:space="preserve"> (交易處理資料__3[[#This Row],[售出工時]] * 60) / 5</f>
        <v>33.119999999999997</v>
      </c>
      <c r="M654" t="str">
        <f>VLOOKUP(交易處理資料__3[[#This Row],[人員代號]],團隊分組!$B$1:$C$52,2,FALSE)</f>
        <v>噴漆維修組</v>
      </c>
      <c r="N654">
        <f>IF(交易處理資料__3[[#This Row],[上班時間]]=0,0,交易處理資料__3[[#This Row],[售出工時]]/交易處理資料__3[[#This Row],[上班時間]])</f>
        <v>0.34371108343711082</v>
      </c>
      <c r="O654" s="31" t="str">
        <f>IF(交易處理資料__3[[#This Row],[上班時間]]=0,"否","是")</f>
        <v>是</v>
      </c>
    </row>
    <row r="655" spans="1:15" hidden="1">
      <c r="A655" t="s">
        <v>74</v>
      </c>
      <c r="B655" t="s">
        <v>11</v>
      </c>
      <c r="C655">
        <v>8.33</v>
      </c>
      <c r="D655">
        <v>6.95</v>
      </c>
      <c r="E655" s="27">
        <v>119.9</v>
      </c>
      <c r="F655">
        <v>6.86</v>
      </c>
      <c r="G655">
        <v>1.2</v>
      </c>
      <c r="H655">
        <v>8.06</v>
      </c>
      <c r="I655">
        <v>85.11</v>
      </c>
      <c r="J655">
        <v>103.39</v>
      </c>
      <c r="K655" s="9">
        <v>45308</v>
      </c>
      <c r="L655">
        <f xml:space="preserve"> (交易處理資料__3[[#This Row],[售出工時]] * 60) / 5</f>
        <v>99.960000000000008</v>
      </c>
      <c r="M655" t="str">
        <f>VLOOKUP(交易處理資料__3[[#This Row],[人員代號]],團隊分組!$B$1:$C$52,2,FALSE)</f>
        <v>鈑金維修組</v>
      </c>
      <c r="N655">
        <f>IF(交易處理資料__3[[#This Row],[上班時間]]=0,0,交易處理資料__3[[#This Row],[售出工時]]/交易處理資料__3[[#This Row],[上班時間]])</f>
        <v>1.033498759305211</v>
      </c>
      <c r="O655" s="31" t="str">
        <f>IF(交易處理資料__3[[#This Row],[上班時間]]=0,"否","是")</f>
        <v>是</v>
      </c>
    </row>
    <row r="656" spans="1:15" hidden="1">
      <c r="A656" t="s">
        <v>74</v>
      </c>
      <c r="B656" t="s">
        <v>13</v>
      </c>
      <c r="C656">
        <v>5.04</v>
      </c>
      <c r="D656">
        <v>7.51</v>
      </c>
      <c r="E656" s="27">
        <v>67.11</v>
      </c>
      <c r="F656">
        <v>5.24</v>
      </c>
      <c r="G656">
        <v>2.87</v>
      </c>
      <c r="H656">
        <v>8.11</v>
      </c>
      <c r="I656">
        <v>64.61</v>
      </c>
      <c r="J656">
        <v>62.15</v>
      </c>
      <c r="K656" s="9">
        <v>45308</v>
      </c>
      <c r="L656">
        <f xml:space="preserve"> (交易處理資料__3[[#This Row],[售出工時]] * 60) / 5</f>
        <v>60.48</v>
      </c>
      <c r="M656" t="str">
        <f>VLOOKUP(交易處理資料__3[[#This Row],[人員代號]],團隊分組!$B$1:$C$52,2,FALSE)</f>
        <v>鈑金維修組</v>
      </c>
      <c r="N656">
        <f>IF(交易處理資料__3[[#This Row],[上班時間]]=0,0,交易處理資料__3[[#This Row],[售出工時]]/交易處理資料__3[[#This Row],[上班時間]])</f>
        <v>0.62145499383477198</v>
      </c>
      <c r="O656" s="31" t="str">
        <f>IF(交易處理資料__3[[#This Row],[上班時間]]=0,"否","是")</f>
        <v>是</v>
      </c>
    </row>
    <row r="657" spans="1:15" hidden="1">
      <c r="A657" t="s">
        <v>74</v>
      </c>
      <c r="B657" t="s">
        <v>14</v>
      </c>
      <c r="C657">
        <v>4.0199999999999996</v>
      </c>
      <c r="D657">
        <v>7.91</v>
      </c>
      <c r="E657" s="27">
        <v>50.82</v>
      </c>
      <c r="F657">
        <v>2.31</v>
      </c>
      <c r="G657">
        <v>5.78</v>
      </c>
      <c r="H657">
        <v>8.09</v>
      </c>
      <c r="I657">
        <v>28.55</v>
      </c>
      <c r="J657">
        <v>49.69</v>
      </c>
      <c r="K657" s="9">
        <v>45308</v>
      </c>
      <c r="L657">
        <f xml:space="preserve"> (交易處理資料__3[[#This Row],[售出工時]] * 60) / 5</f>
        <v>48.239999999999995</v>
      </c>
      <c r="M657" t="str">
        <f>VLOOKUP(交易處理資料__3[[#This Row],[人員代號]],團隊分組!$B$1:$C$52,2,FALSE)</f>
        <v>鈑金維修組</v>
      </c>
      <c r="N657">
        <f>IF(交易處理資料__3[[#This Row],[上班時間]]=0,0,交易處理資料__3[[#This Row],[售出工時]]/交易處理資料__3[[#This Row],[上班時間]])</f>
        <v>0.49690976514215074</v>
      </c>
      <c r="O657" s="31" t="str">
        <f>IF(交易處理資料__3[[#This Row],[上班時間]]=0,"否","是")</f>
        <v>是</v>
      </c>
    </row>
    <row r="658" spans="1:15" hidden="1">
      <c r="A658" t="s">
        <v>75</v>
      </c>
      <c r="B658" t="s">
        <v>17</v>
      </c>
      <c r="C658">
        <v>11.16</v>
      </c>
      <c r="D658">
        <v>8.39</v>
      </c>
      <c r="E658" s="27">
        <v>133.09</v>
      </c>
      <c r="F658">
        <v>8.16</v>
      </c>
      <c r="G658">
        <v>1.49</v>
      </c>
      <c r="H658">
        <v>9.65</v>
      </c>
      <c r="I658">
        <v>84.56</v>
      </c>
      <c r="J658">
        <v>115.72</v>
      </c>
      <c r="K658" s="9">
        <v>45308</v>
      </c>
      <c r="L658">
        <f xml:space="preserve"> (交易處理資料__3[[#This Row],[售出工時]] * 60) / 5</f>
        <v>133.92000000000002</v>
      </c>
      <c r="M658" t="str">
        <f>VLOOKUP(交易處理資料__3[[#This Row],[人員代號]],團隊分組!$B$1:$C$52,2,FALSE)</f>
        <v>快速保養團隊A</v>
      </c>
      <c r="N658">
        <f>IF(交易處理資料__3[[#This Row],[上班時間]]=0,0,交易處理資料__3[[#This Row],[售出工時]]/交易處理資料__3[[#This Row],[上班時間]])</f>
        <v>1.1564766839378238</v>
      </c>
      <c r="O658" s="31" t="str">
        <f>IF(交易處理資料__3[[#This Row],[上班時間]]=0,"否","是")</f>
        <v>是</v>
      </c>
    </row>
    <row r="659" spans="1:15" hidden="1">
      <c r="A659" t="s">
        <v>75</v>
      </c>
      <c r="B659" t="s">
        <v>19</v>
      </c>
      <c r="C659">
        <v>3.93</v>
      </c>
      <c r="D659">
        <v>4.5199999999999996</v>
      </c>
      <c r="E659" s="27">
        <v>87.02</v>
      </c>
      <c r="F659">
        <v>7.23</v>
      </c>
      <c r="G659">
        <v>0.49</v>
      </c>
      <c r="H659">
        <v>7.72</v>
      </c>
      <c r="I659">
        <v>93.65</v>
      </c>
      <c r="J659">
        <v>50.95</v>
      </c>
      <c r="K659" s="9">
        <v>45308</v>
      </c>
      <c r="L659">
        <f xml:space="preserve"> (交易處理資料__3[[#This Row],[售出工時]] * 60) / 5</f>
        <v>47.160000000000004</v>
      </c>
      <c r="M659" t="str">
        <f>VLOOKUP(交易處理資料__3[[#This Row],[人員代號]],團隊分組!$B$1:$C$52,2,FALSE)</f>
        <v>查修團隊A</v>
      </c>
      <c r="N659">
        <f>IF(交易處理資料__3[[#This Row],[上班時間]]=0,0,交易處理資料__3[[#This Row],[售出工時]]/交易處理資料__3[[#This Row],[上班時間]])</f>
        <v>0.5090673575129534</v>
      </c>
      <c r="O659" s="31" t="str">
        <f>IF(交易處理資料__3[[#This Row],[上班時間]]=0,"否","是")</f>
        <v>是</v>
      </c>
    </row>
    <row r="660" spans="1:15" hidden="1">
      <c r="A660" t="s">
        <v>75</v>
      </c>
      <c r="B660" t="s">
        <v>20</v>
      </c>
      <c r="C660">
        <v>1</v>
      </c>
      <c r="D660">
        <v>0.98</v>
      </c>
      <c r="E660" s="27">
        <v>102.04</v>
      </c>
      <c r="F660">
        <v>0.93</v>
      </c>
      <c r="G660">
        <v>7.28</v>
      </c>
      <c r="H660">
        <v>8.2100000000000009</v>
      </c>
      <c r="I660">
        <v>11.33</v>
      </c>
      <c r="J660">
        <v>12.18</v>
      </c>
      <c r="K660" s="9">
        <v>45308</v>
      </c>
      <c r="L660">
        <f xml:space="preserve"> (交易處理資料__3[[#This Row],[售出工時]] * 60) / 5</f>
        <v>12</v>
      </c>
      <c r="M660" t="str">
        <f>VLOOKUP(交易處理資料__3[[#This Row],[人員代號]],團隊分組!$B$1:$C$52,2,FALSE)</f>
        <v>查修團隊B</v>
      </c>
      <c r="N660">
        <f>IF(交易處理資料__3[[#This Row],[上班時間]]=0,0,交易處理資料__3[[#This Row],[售出工時]]/交易處理資料__3[[#This Row],[上班時間]])</f>
        <v>0.12180267965895249</v>
      </c>
      <c r="O660" s="31" t="str">
        <f>IF(交易處理資料__3[[#This Row],[上班時間]]=0,"否","是")</f>
        <v>是</v>
      </c>
    </row>
    <row r="661" spans="1:15" hidden="1">
      <c r="A661" t="s">
        <v>75</v>
      </c>
      <c r="B661" t="s">
        <v>21</v>
      </c>
      <c r="C661">
        <v>3.29</v>
      </c>
      <c r="D661">
        <v>4.97</v>
      </c>
      <c r="E661" s="27">
        <v>66.33</v>
      </c>
      <c r="F661">
        <v>7.12</v>
      </c>
      <c r="G661">
        <v>1.1000000000000001</v>
      </c>
      <c r="H661">
        <v>8.2200000000000006</v>
      </c>
      <c r="I661">
        <v>86.62</v>
      </c>
      <c r="J661">
        <v>40.11</v>
      </c>
      <c r="K661" s="9">
        <v>45308</v>
      </c>
      <c r="L661">
        <f xml:space="preserve"> (交易處理資料__3[[#This Row],[售出工時]] * 60) / 5</f>
        <v>39.480000000000004</v>
      </c>
      <c r="M661" t="str">
        <f>VLOOKUP(交易處理資料__3[[#This Row],[人員代號]],團隊分組!$B$1:$C$52,2,FALSE)</f>
        <v>查修團隊B</v>
      </c>
      <c r="N661">
        <f>IF(交易處理資料__3[[#This Row],[上班時間]]=0,0,交易處理資料__3[[#This Row],[售出工時]]/交易處理資料__3[[#This Row],[上班時間]])</f>
        <v>0.40024330900243305</v>
      </c>
      <c r="O661" s="31" t="str">
        <f>IF(交易處理資料__3[[#This Row],[上班時間]]=0,"否","是")</f>
        <v>是</v>
      </c>
    </row>
    <row r="662" spans="1:15" hidden="1">
      <c r="A662" t="s">
        <v>75</v>
      </c>
      <c r="B662" t="s">
        <v>22</v>
      </c>
      <c r="C662">
        <v>0</v>
      </c>
      <c r="D662">
        <v>0</v>
      </c>
      <c r="E662" s="27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 s="9">
        <v>45308</v>
      </c>
      <c r="L662">
        <f xml:space="preserve"> (交易處理資料__3[[#This Row],[售出工時]] * 60) / 5</f>
        <v>0</v>
      </c>
      <c r="M662" t="str">
        <f>VLOOKUP(交易處理資料__3[[#This Row],[人員代號]],團隊分組!$B$1:$C$52,2,FALSE)</f>
        <v>快速保養團隊A</v>
      </c>
      <c r="N662">
        <f>IF(交易處理資料__3[[#This Row],[上班時間]]=0,0,交易處理資料__3[[#This Row],[售出工時]]/交易處理資料__3[[#This Row],[上班時間]])</f>
        <v>0</v>
      </c>
      <c r="O662" s="31" t="str">
        <f>IF(交易處理資料__3[[#This Row],[上班時間]]=0,"否","是")</f>
        <v>否</v>
      </c>
    </row>
    <row r="663" spans="1:15" hidden="1">
      <c r="A663" t="s">
        <v>75</v>
      </c>
      <c r="B663" t="s">
        <v>23</v>
      </c>
      <c r="C663">
        <v>12.77</v>
      </c>
      <c r="D663">
        <v>9.86</v>
      </c>
      <c r="E663" s="27">
        <v>129.51</v>
      </c>
      <c r="F663">
        <v>9.91</v>
      </c>
      <c r="G663">
        <v>0.34</v>
      </c>
      <c r="H663">
        <v>10.25</v>
      </c>
      <c r="I663">
        <v>96.68</v>
      </c>
      <c r="J663">
        <v>124.59</v>
      </c>
      <c r="K663" s="9">
        <v>45308</v>
      </c>
      <c r="L663">
        <f xml:space="preserve"> (交易處理資料__3[[#This Row],[售出工時]] * 60) / 5</f>
        <v>153.23999999999998</v>
      </c>
      <c r="M663" t="str">
        <f>VLOOKUP(交易處理資料__3[[#This Row],[人員代號]],團隊分組!$B$1:$C$52,2,FALSE)</f>
        <v>快速保養團隊B</v>
      </c>
      <c r="N663">
        <f>IF(交易處理資料__3[[#This Row],[上班時間]]=0,0,交易處理資料__3[[#This Row],[售出工時]]/交易處理資料__3[[#This Row],[上班時間]])</f>
        <v>1.2458536585365854</v>
      </c>
      <c r="O663" s="31" t="str">
        <f>IF(交易處理資料__3[[#This Row],[上班時間]]=0,"否","是")</f>
        <v>是</v>
      </c>
    </row>
    <row r="664" spans="1:15" hidden="1">
      <c r="A664" t="s">
        <v>75</v>
      </c>
      <c r="B664" t="s">
        <v>24</v>
      </c>
      <c r="C664">
        <v>6.75</v>
      </c>
      <c r="D664">
        <v>4</v>
      </c>
      <c r="E664" s="27">
        <v>168.75</v>
      </c>
      <c r="F664">
        <v>8.34</v>
      </c>
      <c r="G664">
        <v>0.52</v>
      </c>
      <c r="H664">
        <v>8.86</v>
      </c>
      <c r="I664">
        <v>94.13</v>
      </c>
      <c r="J664">
        <v>76.19</v>
      </c>
      <c r="K664" s="9">
        <v>45308</v>
      </c>
      <c r="L664">
        <f xml:space="preserve"> (交易處理資料__3[[#This Row],[售出工時]] * 60) / 5</f>
        <v>81</v>
      </c>
      <c r="M664" t="str">
        <f>VLOOKUP(交易處理資料__3[[#This Row],[人員代號]],團隊分組!$B$1:$C$52,2,FALSE)</f>
        <v>快速保養團隊A</v>
      </c>
      <c r="N664">
        <f>IF(交易處理資料__3[[#This Row],[上班時間]]=0,0,交易處理資料__3[[#This Row],[售出工時]]/交易處理資料__3[[#This Row],[上班時間]])</f>
        <v>0.7618510158013545</v>
      </c>
      <c r="O664" s="31" t="str">
        <f>IF(交易處理資料__3[[#This Row],[上班時間]]=0,"否","是")</f>
        <v>是</v>
      </c>
    </row>
    <row r="665" spans="1:15" hidden="1">
      <c r="A665" t="s">
        <v>75</v>
      </c>
      <c r="B665" t="s">
        <v>25</v>
      </c>
      <c r="C665">
        <v>2</v>
      </c>
      <c r="D665">
        <v>1.92</v>
      </c>
      <c r="E665" s="27">
        <v>104.16</v>
      </c>
      <c r="F665">
        <v>7.35</v>
      </c>
      <c r="G665">
        <v>1.2</v>
      </c>
      <c r="H665">
        <v>8.5500000000000007</v>
      </c>
      <c r="I665">
        <v>85.96</v>
      </c>
      <c r="J665">
        <v>23.39</v>
      </c>
      <c r="K665" s="9">
        <v>45308</v>
      </c>
      <c r="L665">
        <f xml:space="preserve"> (交易處理資料__3[[#This Row],[售出工時]] * 60) / 5</f>
        <v>24</v>
      </c>
      <c r="M665" t="str">
        <f>VLOOKUP(交易處理資料__3[[#This Row],[人員代號]],團隊分組!$B$1:$C$52,2,FALSE)</f>
        <v>查修團隊A</v>
      </c>
      <c r="N665">
        <f>IF(交易處理資料__3[[#This Row],[上班時間]]=0,0,交易處理資料__3[[#This Row],[售出工時]]/交易處理資料__3[[#This Row],[上班時間]])</f>
        <v>0.23391812865497075</v>
      </c>
      <c r="O665" s="31" t="str">
        <f>IF(交易處理資料__3[[#This Row],[上班時間]]=0,"否","是")</f>
        <v>是</v>
      </c>
    </row>
    <row r="666" spans="1:15" hidden="1">
      <c r="A666" t="s">
        <v>75</v>
      </c>
      <c r="B666" t="s">
        <v>26</v>
      </c>
      <c r="C666">
        <v>1.37</v>
      </c>
      <c r="D666">
        <v>5.03</v>
      </c>
      <c r="E666" s="27">
        <v>27.23</v>
      </c>
      <c r="F666">
        <v>7.57</v>
      </c>
      <c r="G666">
        <v>0.67</v>
      </c>
      <c r="H666">
        <v>8.24</v>
      </c>
      <c r="I666">
        <v>91.87</v>
      </c>
      <c r="J666">
        <v>16.63</v>
      </c>
      <c r="K666" s="9">
        <v>45308</v>
      </c>
      <c r="L666">
        <f xml:space="preserve"> (交易處理資料__3[[#This Row],[售出工時]] * 60) / 5</f>
        <v>16.440000000000001</v>
      </c>
      <c r="M666" t="str">
        <f>VLOOKUP(交易處理資料__3[[#This Row],[人員代號]],團隊分組!$B$1:$C$52,2,FALSE)</f>
        <v>查修團隊B</v>
      </c>
      <c r="N666">
        <f>IF(交易處理資料__3[[#This Row],[上班時間]]=0,0,交易處理資料__3[[#This Row],[售出工時]]/交易處理資料__3[[#This Row],[上班時間]])</f>
        <v>0.16626213592233011</v>
      </c>
      <c r="O666" s="31" t="str">
        <f>IF(交易處理資料__3[[#This Row],[上班時間]]=0,"否","是")</f>
        <v>是</v>
      </c>
    </row>
    <row r="667" spans="1:15" hidden="1">
      <c r="A667" t="s">
        <v>75</v>
      </c>
      <c r="B667" t="s">
        <v>28</v>
      </c>
      <c r="C667">
        <v>6.75</v>
      </c>
      <c r="D667">
        <v>4.72</v>
      </c>
      <c r="E667" s="27">
        <v>143</v>
      </c>
      <c r="F667">
        <v>9.3000000000000007</v>
      </c>
      <c r="G667">
        <v>0.7</v>
      </c>
      <c r="H667">
        <v>10</v>
      </c>
      <c r="I667">
        <v>93</v>
      </c>
      <c r="J667">
        <v>67.5</v>
      </c>
      <c r="K667" s="9">
        <v>45308</v>
      </c>
      <c r="L667">
        <f xml:space="preserve"> (交易處理資料__3[[#This Row],[售出工時]] * 60) / 5</f>
        <v>81</v>
      </c>
      <c r="M667" t="str">
        <f>VLOOKUP(交易處理資料__3[[#This Row],[人員代號]],團隊分組!$B$1:$C$52,2,FALSE)</f>
        <v>快速保養團隊A</v>
      </c>
      <c r="N667">
        <f>IF(交易處理資料__3[[#This Row],[上班時間]]=0,0,交易處理資料__3[[#This Row],[售出工時]]/交易處理資料__3[[#This Row],[上班時間]])</f>
        <v>0.67500000000000004</v>
      </c>
      <c r="O667" s="31" t="str">
        <f>IF(交易處理資料__3[[#This Row],[上班時間]]=0,"否","是")</f>
        <v>是</v>
      </c>
    </row>
    <row r="668" spans="1:15" hidden="1">
      <c r="A668" t="s">
        <v>75</v>
      </c>
      <c r="B668" t="s">
        <v>29</v>
      </c>
      <c r="C668">
        <v>8.91</v>
      </c>
      <c r="D668">
        <v>7.72</v>
      </c>
      <c r="E668" s="27">
        <v>115.5</v>
      </c>
      <c r="F668">
        <v>7.17</v>
      </c>
      <c r="G668">
        <v>0.91</v>
      </c>
      <c r="H668">
        <v>8.08</v>
      </c>
      <c r="I668">
        <v>88.74</v>
      </c>
      <c r="J668">
        <v>110.35</v>
      </c>
      <c r="K668" s="9">
        <v>45308</v>
      </c>
      <c r="L668">
        <f xml:space="preserve"> (交易處理資料__3[[#This Row],[售出工時]] * 60) / 5</f>
        <v>106.92</v>
      </c>
      <c r="M668" t="str">
        <f>VLOOKUP(交易處理資料__3[[#This Row],[人員代號]],團隊分組!$B$1:$C$52,2,FALSE)</f>
        <v>查修團隊B</v>
      </c>
      <c r="N668">
        <f>IF(交易處理資料__3[[#This Row],[上班時間]]=0,0,交易處理資料__3[[#This Row],[售出工時]]/交易處理資料__3[[#This Row],[上班時間]])</f>
        <v>1.1027227722772277</v>
      </c>
      <c r="O668" s="31" t="str">
        <f>IF(交易處理資料__3[[#This Row],[上班時間]]=0,"否","是")</f>
        <v>是</v>
      </c>
    </row>
    <row r="669" spans="1:15" hidden="1">
      <c r="A669" t="s">
        <v>75</v>
      </c>
      <c r="B669" t="s">
        <v>31</v>
      </c>
      <c r="C669">
        <v>0</v>
      </c>
      <c r="D669">
        <v>0</v>
      </c>
      <c r="E669" s="27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 s="9">
        <v>45308</v>
      </c>
      <c r="L669">
        <f xml:space="preserve"> (交易處理資料__3[[#This Row],[售出工時]] * 60) / 5</f>
        <v>0</v>
      </c>
      <c r="M669" t="str">
        <f>VLOOKUP(交易處理資料__3[[#This Row],[人員代號]],團隊分組!$B$1:$C$52,2,FALSE)</f>
        <v>快速保養團隊A</v>
      </c>
      <c r="N669">
        <f>IF(交易處理資料__3[[#This Row],[上班時間]]=0,0,交易處理資料__3[[#This Row],[售出工時]]/交易處理資料__3[[#This Row],[上班時間]])</f>
        <v>0</v>
      </c>
      <c r="O669" s="31" t="str">
        <f>IF(交易處理資料__3[[#This Row],[上班時間]]=0,"否","是")</f>
        <v>否</v>
      </c>
    </row>
    <row r="670" spans="1:15">
      <c r="A670" t="s">
        <v>75</v>
      </c>
      <c r="B670" t="s">
        <v>33</v>
      </c>
      <c r="C670">
        <v>0</v>
      </c>
      <c r="D670">
        <v>0</v>
      </c>
      <c r="E670" s="27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 s="9">
        <v>45308</v>
      </c>
      <c r="L670">
        <f xml:space="preserve"> (交易處理資料__3[[#This Row],[售出工時]] * 60) / 5</f>
        <v>0</v>
      </c>
      <c r="M670" t="str">
        <f>VLOOKUP(交易處理資料__3[[#This Row],[人員代號]],團隊分組!$B$1:$C$52,2,FALSE)</f>
        <v>快速保養團隊B</v>
      </c>
      <c r="N670">
        <f>IF(交易處理資料__3[[#This Row],[上班時間]]=0,0,交易處理資料__3[[#This Row],[售出工時]]/交易處理資料__3[[#This Row],[上班時間]])</f>
        <v>0</v>
      </c>
      <c r="O670" s="31" t="str">
        <f>IF(交易處理資料__3[[#This Row],[上班時間]]=0,"否","是")</f>
        <v>否</v>
      </c>
    </row>
    <row r="671" spans="1:15" hidden="1">
      <c r="A671" t="s">
        <v>75</v>
      </c>
      <c r="B671" t="s">
        <v>34</v>
      </c>
      <c r="C671">
        <v>6.33</v>
      </c>
      <c r="D671">
        <v>5.58</v>
      </c>
      <c r="E671" s="27">
        <v>113.5</v>
      </c>
      <c r="F671">
        <v>9.43</v>
      </c>
      <c r="G671">
        <v>0.84</v>
      </c>
      <c r="H671">
        <v>10.27</v>
      </c>
      <c r="I671">
        <v>91.82</v>
      </c>
      <c r="J671">
        <v>61.67</v>
      </c>
      <c r="K671" s="9">
        <v>45308</v>
      </c>
      <c r="L671">
        <f xml:space="preserve"> (交易處理資料__3[[#This Row],[售出工時]] * 60) / 5</f>
        <v>75.960000000000008</v>
      </c>
      <c r="M671" t="str">
        <f>VLOOKUP(交易處理資料__3[[#This Row],[人員代號]],團隊分組!$B$1:$C$52,2,FALSE)</f>
        <v>快速保養團隊A</v>
      </c>
      <c r="N671">
        <f>IF(交易處理資料__3[[#This Row],[上班時間]]=0,0,交易處理資料__3[[#This Row],[售出工時]]/交易處理資料__3[[#This Row],[上班時間]])</f>
        <v>0.61635832521908474</v>
      </c>
      <c r="O671" s="31" t="str">
        <f>IF(交易處理資料__3[[#This Row],[上班時間]]=0,"否","是")</f>
        <v>是</v>
      </c>
    </row>
    <row r="672" spans="1:15" hidden="1">
      <c r="A672" t="s">
        <v>75</v>
      </c>
      <c r="B672" t="s">
        <v>35</v>
      </c>
      <c r="C672">
        <v>0</v>
      </c>
      <c r="D672">
        <v>0</v>
      </c>
      <c r="E672" s="27">
        <v>0</v>
      </c>
      <c r="F672">
        <v>5.33</v>
      </c>
      <c r="G672">
        <v>3.7</v>
      </c>
      <c r="H672">
        <v>9.0299999999999994</v>
      </c>
      <c r="I672">
        <v>59.03</v>
      </c>
      <c r="J672">
        <v>0</v>
      </c>
      <c r="K672" s="9">
        <v>45308</v>
      </c>
      <c r="L672">
        <f xml:space="preserve"> (交易處理資料__3[[#This Row],[售出工時]] * 60) / 5</f>
        <v>0</v>
      </c>
      <c r="M672" t="str">
        <f>VLOOKUP(交易處理資料__3[[#This Row],[人員代號]],團隊分組!$B$1:$C$52,2,FALSE)</f>
        <v>查修團隊B</v>
      </c>
      <c r="N672">
        <f>IF(交易處理資料__3[[#This Row],[上班時間]]=0,0,交易處理資料__3[[#This Row],[售出工時]]/交易處理資料__3[[#This Row],[上班時間]])</f>
        <v>0</v>
      </c>
      <c r="O672" s="31" t="str">
        <f>IF(交易處理資料__3[[#This Row],[上班時間]]=0,"否","是")</f>
        <v>是</v>
      </c>
    </row>
    <row r="673" spans="1:15" hidden="1">
      <c r="A673" t="s">
        <v>75</v>
      </c>
      <c r="B673" t="s">
        <v>36</v>
      </c>
      <c r="C673">
        <v>1.08</v>
      </c>
      <c r="D673">
        <v>7.5</v>
      </c>
      <c r="E673" s="27">
        <v>14.48</v>
      </c>
      <c r="F673">
        <v>6.03</v>
      </c>
      <c r="G673">
        <v>2.3199999999999998</v>
      </c>
      <c r="H673">
        <v>8.35</v>
      </c>
      <c r="I673">
        <v>72.22</v>
      </c>
      <c r="J673">
        <v>13.01</v>
      </c>
      <c r="K673" s="9">
        <v>45308</v>
      </c>
      <c r="L673">
        <f xml:space="preserve"> (交易處理資料__3[[#This Row],[售出工時]] * 60) / 5</f>
        <v>12.960000000000003</v>
      </c>
      <c r="M673" t="str">
        <f>VLOOKUP(交易處理資料__3[[#This Row],[人員代號]],團隊分組!$B$1:$C$52,2,FALSE)</f>
        <v>查修團隊B</v>
      </c>
      <c r="N673">
        <f>IF(交易處理資料__3[[#This Row],[上班時間]]=0,0,交易處理資料__3[[#This Row],[售出工時]]/交易處理資料__3[[#This Row],[上班時間]])</f>
        <v>0.12934131736526946</v>
      </c>
      <c r="O673" s="31" t="str">
        <f>IF(交易處理資料__3[[#This Row],[上班時間]]=0,"否","是")</f>
        <v>是</v>
      </c>
    </row>
    <row r="674" spans="1:15" hidden="1">
      <c r="A674" t="s">
        <v>75</v>
      </c>
      <c r="B674" t="s">
        <v>37</v>
      </c>
      <c r="C674">
        <v>3</v>
      </c>
      <c r="D674">
        <v>3.98</v>
      </c>
      <c r="E674" s="27">
        <v>75.37</v>
      </c>
      <c r="F674">
        <v>6.94</v>
      </c>
      <c r="G674">
        <v>0.86</v>
      </c>
      <c r="H674">
        <v>7.8</v>
      </c>
      <c r="I674">
        <v>88.97</v>
      </c>
      <c r="J674">
        <v>38.46</v>
      </c>
      <c r="K674" s="9">
        <v>45308</v>
      </c>
      <c r="L674">
        <f xml:space="preserve"> (交易處理資料__3[[#This Row],[售出工時]] * 60) / 5</f>
        <v>36</v>
      </c>
      <c r="M674" t="str">
        <f>VLOOKUP(交易處理資料__3[[#This Row],[人員代號]],團隊分組!$B$1:$C$52,2,FALSE)</f>
        <v>查修團隊A</v>
      </c>
      <c r="N674">
        <f>IF(交易處理資料__3[[#This Row],[上班時間]]=0,0,交易處理資料__3[[#This Row],[售出工時]]/交易處理資料__3[[#This Row],[上班時間]])</f>
        <v>0.38461538461538464</v>
      </c>
      <c r="O674" s="31" t="str">
        <f>IF(交易處理資料__3[[#This Row],[上班時間]]=0,"否","是")</f>
        <v>是</v>
      </c>
    </row>
    <row r="675" spans="1:15" hidden="1">
      <c r="A675" t="s">
        <v>75</v>
      </c>
      <c r="B675" t="s">
        <v>38</v>
      </c>
      <c r="C675">
        <v>22.25</v>
      </c>
      <c r="D675">
        <v>8.0399999999999991</v>
      </c>
      <c r="E675" s="27">
        <v>276.74</v>
      </c>
      <c r="F675">
        <v>11.73</v>
      </c>
      <c r="G675">
        <v>0.43</v>
      </c>
      <c r="H675">
        <v>12.16</v>
      </c>
      <c r="I675">
        <v>96.46</v>
      </c>
      <c r="J675">
        <v>182.98</v>
      </c>
      <c r="K675" s="9">
        <v>45308</v>
      </c>
      <c r="L675">
        <f xml:space="preserve"> (交易處理資料__3[[#This Row],[售出工時]] * 60) / 5</f>
        <v>267</v>
      </c>
      <c r="M675" t="str">
        <f>VLOOKUP(交易處理資料__3[[#This Row],[人員代號]],團隊分組!$B$1:$C$52,2,FALSE)</f>
        <v>快速保養團隊A</v>
      </c>
      <c r="N675">
        <f>IF(交易處理資料__3[[#This Row],[上班時間]]=0,0,交易處理資料__3[[#This Row],[售出工時]]/交易處理資料__3[[#This Row],[上班時間]])</f>
        <v>1.8297697368421053</v>
      </c>
      <c r="O675" s="31" t="str">
        <f>IF(交易處理資料__3[[#This Row],[上班時間]]=0,"否","是")</f>
        <v>是</v>
      </c>
    </row>
    <row r="676" spans="1:15" hidden="1">
      <c r="A676" t="s">
        <v>75</v>
      </c>
      <c r="B676" t="s">
        <v>41</v>
      </c>
      <c r="C676">
        <v>0</v>
      </c>
      <c r="D676">
        <v>0</v>
      </c>
      <c r="E676" s="27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 s="9">
        <v>45308</v>
      </c>
      <c r="L676">
        <f xml:space="preserve"> (交易處理資料__3[[#This Row],[售出工時]] * 60) / 5</f>
        <v>0</v>
      </c>
      <c r="M676" t="str">
        <f>VLOOKUP(交易處理資料__3[[#This Row],[人員代號]],團隊分組!$B$1:$C$52,2,FALSE)</f>
        <v>快速保養團隊A</v>
      </c>
      <c r="N676">
        <f>IF(交易處理資料__3[[#This Row],[上班時間]]=0,0,交易處理資料__3[[#This Row],[售出工時]]/交易處理資料__3[[#This Row],[上班時間]])</f>
        <v>0</v>
      </c>
      <c r="O676" s="31" t="str">
        <f>IF(交易處理資料__3[[#This Row],[上班時間]]=0,"否","是")</f>
        <v>否</v>
      </c>
    </row>
    <row r="677" spans="1:15" hidden="1">
      <c r="A677" t="s">
        <v>75</v>
      </c>
      <c r="B677" t="s">
        <v>43</v>
      </c>
      <c r="C677">
        <v>0.42</v>
      </c>
      <c r="D677">
        <v>0.52</v>
      </c>
      <c r="E677" s="27">
        <v>80.760000000000005</v>
      </c>
      <c r="F677">
        <v>7.48</v>
      </c>
      <c r="G677">
        <v>0.55000000000000004</v>
      </c>
      <c r="H677">
        <v>8.0299999999999994</v>
      </c>
      <c r="I677">
        <v>93.15</v>
      </c>
      <c r="J677">
        <v>5.23</v>
      </c>
      <c r="K677" s="9">
        <v>45308</v>
      </c>
      <c r="L677">
        <f xml:space="preserve"> (交易處理資料__3[[#This Row],[售出工時]] * 60) / 5</f>
        <v>5.04</v>
      </c>
      <c r="M677" t="str">
        <f>VLOOKUP(交易處理資料__3[[#This Row],[人員代號]],團隊分組!$B$1:$C$52,2,FALSE)</f>
        <v>查修團隊B</v>
      </c>
      <c r="N677">
        <f>IF(交易處理資料__3[[#This Row],[上班時間]]=0,0,交易處理資料__3[[#This Row],[售出工時]]/交易處理資料__3[[#This Row],[上班時間]])</f>
        <v>5.2303860523038606E-2</v>
      </c>
      <c r="O677" s="31" t="str">
        <f>IF(交易處理資料__3[[#This Row],[上班時間]]=0,"否","是")</f>
        <v>是</v>
      </c>
    </row>
    <row r="678" spans="1:15" hidden="1">
      <c r="A678" t="s">
        <v>75</v>
      </c>
      <c r="B678" t="s">
        <v>44</v>
      </c>
      <c r="C678">
        <v>6.83</v>
      </c>
      <c r="D678">
        <v>7.82</v>
      </c>
      <c r="E678" s="27">
        <v>87.42</v>
      </c>
      <c r="F678">
        <v>10.33</v>
      </c>
      <c r="G678">
        <v>0.72</v>
      </c>
      <c r="H678">
        <v>11.05</v>
      </c>
      <c r="I678">
        <v>93.48</v>
      </c>
      <c r="J678">
        <v>61.87</v>
      </c>
      <c r="K678" s="9">
        <v>45308</v>
      </c>
      <c r="L678">
        <f xml:space="preserve"> (交易處理資料__3[[#This Row],[售出工時]] * 60) / 5</f>
        <v>81.960000000000008</v>
      </c>
      <c r="M678" t="str">
        <f>VLOOKUP(交易處理資料__3[[#This Row],[人員代號]],團隊分組!$B$1:$C$52,2,FALSE)</f>
        <v>快速保養團隊B</v>
      </c>
      <c r="N678">
        <f>IF(交易處理資料__3[[#This Row],[上班時間]]=0,0,交易處理資料__3[[#This Row],[售出工時]]/交易處理資料__3[[#This Row],[上班時間]])</f>
        <v>0.61809954751131213</v>
      </c>
      <c r="O678" s="31" t="str">
        <f>IF(交易處理資料__3[[#This Row],[上班時間]]=0,"否","是")</f>
        <v>是</v>
      </c>
    </row>
    <row r="679" spans="1:15" hidden="1">
      <c r="A679" t="s">
        <v>75</v>
      </c>
      <c r="B679" t="s">
        <v>45</v>
      </c>
      <c r="C679">
        <v>6.58</v>
      </c>
      <c r="D679">
        <v>4.84</v>
      </c>
      <c r="E679" s="27">
        <v>136.01</v>
      </c>
      <c r="F679">
        <v>10.210000000000001</v>
      </c>
      <c r="G679">
        <v>0.31</v>
      </c>
      <c r="H679">
        <v>10.52</v>
      </c>
      <c r="I679">
        <v>97.05</v>
      </c>
      <c r="J679">
        <v>62.58</v>
      </c>
      <c r="K679" s="9">
        <v>45308</v>
      </c>
      <c r="L679">
        <f xml:space="preserve"> (交易處理資料__3[[#This Row],[售出工時]] * 60) / 5</f>
        <v>78.960000000000008</v>
      </c>
      <c r="M679" t="str">
        <f>VLOOKUP(交易處理資料__3[[#This Row],[人員代號]],團隊分組!$B$1:$C$52,2,FALSE)</f>
        <v>快速保養團隊A</v>
      </c>
      <c r="N679">
        <f>IF(交易處理資料__3[[#This Row],[上班時間]]=0,0,交易處理資料__3[[#This Row],[售出工時]]/交易處理資料__3[[#This Row],[上班時間]])</f>
        <v>0.62547528517110274</v>
      </c>
      <c r="O679" s="31" t="str">
        <f>IF(交易處理資料__3[[#This Row],[上班時間]]=0,"否","是")</f>
        <v>是</v>
      </c>
    </row>
    <row r="680" spans="1:15" hidden="1">
      <c r="A680" t="s">
        <v>75</v>
      </c>
      <c r="B680" t="s">
        <v>46</v>
      </c>
      <c r="C680">
        <v>3.91</v>
      </c>
      <c r="D680">
        <v>6.66</v>
      </c>
      <c r="E680" s="27">
        <v>58.8</v>
      </c>
      <c r="F680">
        <v>6.51</v>
      </c>
      <c r="G680">
        <v>2.2000000000000002</v>
      </c>
      <c r="H680">
        <v>8.7100000000000009</v>
      </c>
      <c r="I680">
        <v>74.739999999999995</v>
      </c>
      <c r="J680">
        <v>44.97</v>
      </c>
      <c r="K680" s="9">
        <v>45308</v>
      </c>
      <c r="L680">
        <f xml:space="preserve"> (交易處理資料__3[[#This Row],[售出工時]] * 60) / 5</f>
        <v>46.92</v>
      </c>
      <c r="M680" t="str">
        <f>VLOOKUP(交易處理資料__3[[#This Row],[人員代號]],團隊分組!$B$1:$C$52,2,FALSE)</f>
        <v>查修團隊B</v>
      </c>
      <c r="N680">
        <f>IF(交易處理資料__3[[#This Row],[上班時間]]=0,0,交易處理資料__3[[#This Row],[售出工時]]/交易處理資料__3[[#This Row],[上班時間]])</f>
        <v>0.44890929965556831</v>
      </c>
      <c r="O680" s="31" t="str">
        <f>IF(交易處理資料__3[[#This Row],[上班時間]]=0,"否","是")</f>
        <v>是</v>
      </c>
    </row>
    <row r="681" spans="1:15" hidden="1">
      <c r="A681" t="s">
        <v>75</v>
      </c>
      <c r="B681" t="s">
        <v>47</v>
      </c>
      <c r="C681">
        <v>0</v>
      </c>
      <c r="D681">
        <v>0</v>
      </c>
      <c r="E681" s="27">
        <v>0</v>
      </c>
      <c r="F681">
        <v>2.58</v>
      </c>
      <c r="G681">
        <v>5.53</v>
      </c>
      <c r="H681">
        <v>8.11</v>
      </c>
      <c r="I681">
        <v>31.81</v>
      </c>
      <c r="J681">
        <v>0</v>
      </c>
      <c r="K681" s="9">
        <v>45308</v>
      </c>
      <c r="L681">
        <f xml:space="preserve"> (交易處理資料__3[[#This Row],[售出工時]] * 60) / 5</f>
        <v>0</v>
      </c>
      <c r="M681" t="str">
        <f>VLOOKUP(交易處理資料__3[[#This Row],[人員代號]],團隊分組!$B$1:$C$52,2,FALSE)</f>
        <v>查修團隊B</v>
      </c>
      <c r="N681">
        <f>IF(交易處理資料__3[[#This Row],[上班時間]]=0,0,交易處理資料__3[[#This Row],[售出工時]]/交易處理資料__3[[#This Row],[上班時間]])</f>
        <v>0</v>
      </c>
      <c r="O681" s="31" t="str">
        <f>IF(交易處理資料__3[[#This Row],[上班時間]]=0,"否","是")</f>
        <v>是</v>
      </c>
    </row>
    <row r="682" spans="1:15" hidden="1">
      <c r="A682" t="s">
        <v>75</v>
      </c>
      <c r="B682" t="s">
        <v>48</v>
      </c>
      <c r="C682">
        <v>0</v>
      </c>
      <c r="D682">
        <v>0</v>
      </c>
      <c r="E682" s="27">
        <v>0</v>
      </c>
      <c r="F682">
        <v>3.34</v>
      </c>
      <c r="G682">
        <v>4.5199999999999996</v>
      </c>
      <c r="H682">
        <v>7.86</v>
      </c>
      <c r="I682">
        <v>42.49</v>
      </c>
      <c r="J682">
        <v>0</v>
      </c>
      <c r="K682" s="9">
        <v>45308</v>
      </c>
      <c r="L682">
        <f xml:space="preserve"> (交易處理資料__3[[#This Row],[售出工時]] * 60) / 5</f>
        <v>0</v>
      </c>
      <c r="M682" t="str">
        <f>VLOOKUP(交易處理資料__3[[#This Row],[人員代號]],團隊分組!$B$1:$C$52,2,FALSE)</f>
        <v>查修團隊A</v>
      </c>
      <c r="N682">
        <f>IF(交易處理資料__3[[#This Row],[上班時間]]=0,0,交易處理資料__3[[#This Row],[售出工時]]/交易處理資料__3[[#This Row],[上班時間]])</f>
        <v>0</v>
      </c>
      <c r="O682" s="31" t="str">
        <f>IF(交易處理資料__3[[#This Row],[上班時間]]=0,"否","是")</f>
        <v>是</v>
      </c>
    </row>
    <row r="683" spans="1:15" hidden="1">
      <c r="A683" t="s">
        <v>75</v>
      </c>
      <c r="B683" t="s">
        <v>49</v>
      </c>
      <c r="C683">
        <v>3.57</v>
      </c>
      <c r="D683">
        <v>3.77</v>
      </c>
      <c r="E683" s="27">
        <v>94.69</v>
      </c>
      <c r="F683">
        <v>7.28</v>
      </c>
      <c r="G683">
        <v>0.48</v>
      </c>
      <c r="H683">
        <v>7.76</v>
      </c>
      <c r="I683">
        <v>93.81</v>
      </c>
      <c r="J683">
        <v>46.01</v>
      </c>
      <c r="K683" s="9">
        <v>45308</v>
      </c>
      <c r="L683">
        <f xml:space="preserve"> (交易處理資料__3[[#This Row],[售出工時]] * 60) / 5</f>
        <v>42.839999999999996</v>
      </c>
      <c r="M683" t="str">
        <f>VLOOKUP(交易處理資料__3[[#This Row],[人員代號]],團隊分組!$B$1:$C$52,2,FALSE)</f>
        <v>查修團隊A</v>
      </c>
      <c r="N683">
        <f>IF(交易處理資料__3[[#This Row],[上班時間]]=0,0,交易處理資料__3[[#This Row],[售出工時]]/交易處理資料__3[[#This Row],[上班時間]])</f>
        <v>0.46005154639175255</v>
      </c>
      <c r="O683" s="31" t="str">
        <f>IF(交易處理資料__3[[#This Row],[上班時間]]=0,"否","是")</f>
        <v>是</v>
      </c>
    </row>
    <row r="684" spans="1:15" hidden="1">
      <c r="A684" t="s">
        <v>75</v>
      </c>
      <c r="B684" t="s">
        <v>50</v>
      </c>
      <c r="C684">
        <v>6</v>
      </c>
      <c r="D684">
        <v>5.68</v>
      </c>
      <c r="E684" s="27">
        <v>105.63</v>
      </c>
      <c r="F684">
        <v>7.9</v>
      </c>
      <c r="G684">
        <v>0.49</v>
      </c>
      <c r="H684">
        <v>8.39</v>
      </c>
      <c r="I684">
        <v>94.16</v>
      </c>
      <c r="J684">
        <v>71.510000000000005</v>
      </c>
      <c r="K684" s="9">
        <v>45308</v>
      </c>
      <c r="L684">
        <f xml:space="preserve"> (交易處理資料__3[[#This Row],[售出工時]] * 60) / 5</f>
        <v>72</v>
      </c>
      <c r="M684" t="str">
        <f>VLOOKUP(交易處理資料__3[[#This Row],[人員代號]],團隊分組!$B$1:$C$52,2,FALSE)</f>
        <v>快速保養團隊B</v>
      </c>
      <c r="N684">
        <f>IF(交易處理資料__3[[#This Row],[上班時間]]=0,0,交易處理資料__3[[#This Row],[售出工時]]/交易處理資料__3[[#This Row],[上班時間]])</f>
        <v>0.71513706793802145</v>
      </c>
      <c r="O684" s="31" t="str">
        <f>IF(交易處理資料__3[[#This Row],[上班時間]]=0,"否","是")</f>
        <v>是</v>
      </c>
    </row>
    <row r="685" spans="1:15" hidden="1">
      <c r="A685" t="s">
        <v>75</v>
      </c>
      <c r="B685" t="s">
        <v>51</v>
      </c>
      <c r="C685">
        <v>0</v>
      </c>
      <c r="D685">
        <v>0</v>
      </c>
      <c r="E685" s="27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 s="9">
        <v>45308</v>
      </c>
      <c r="L685">
        <f xml:space="preserve"> (交易處理資料__3[[#This Row],[售出工時]] * 60) / 5</f>
        <v>0</v>
      </c>
      <c r="M685" t="str">
        <f>VLOOKUP(交易處理資料__3[[#This Row],[人員代號]],團隊分組!$B$1:$C$52,2,FALSE)</f>
        <v>無效數據</v>
      </c>
      <c r="N685">
        <f>IF(交易處理資料__3[[#This Row],[上班時間]]=0,0,交易處理資料__3[[#This Row],[售出工時]]/交易處理資料__3[[#This Row],[上班時間]])</f>
        <v>0</v>
      </c>
      <c r="O685" s="31" t="str">
        <f>IF(交易處理資料__3[[#This Row],[上班時間]]=0,"否","是")</f>
        <v>否</v>
      </c>
    </row>
    <row r="686" spans="1:15" hidden="1">
      <c r="A686" t="s">
        <v>75</v>
      </c>
      <c r="B686" t="s">
        <v>52</v>
      </c>
      <c r="C686">
        <v>1.58</v>
      </c>
      <c r="D686">
        <v>3.5</v>
      </c>
      <c r="E686" s="27">
        <v>45.23</v>
      </c>
      <c r="F686">
        <v>9.65</v>
      </c>
      <c r="G686">
        <v>0.34</v>
      </c>
      <c r="H686">
        <v>9.99</v>
      </c>
      <c r="I686">
        <v>96.6</v>
      </c>
      <c r="J686">
        <v>15.85</v>
      </c>
      <c r="K686" s="9">
        <v>45308</v>
      </c>
      <c r="L686">
        <f xml:space="preserve"> (交易處理資料__3[[#This Row],[售出工時]] * 60) / 5</f>
        <v>18.96</v>
      </c>
      <c r="M686" t="str">
        <f>VLOOKUP(交易處理資料__3[[#This Row],[人員代號]],團隊分組!$B$1:$C$52,2,FALSE)</f>
        <v>查修團隊B</v>
      </c>
      <c r="N686">
        <f>IF(交易處理資料__3[[#This Row],[上班時間]]=0,0,交易處理資料__3[[#This Row],[售出工時]]/交易處理資料__3[[#This Row],[上班時間]])</f>
        <v>0.15815815815815817</v>
      </c>
      <c r="O686" s="31" t="str">
        <f>IF(交易處理資料__3[[#This Row],[上班時間]]=0,"否","是")</f>
        <v>是</v>
      </c>
    </row>
    <row r="687" spans="1:15" hidden="1">
      <c r="A687" s="10" t="s">
        <v>73</v>
      </c>
      <c r="B687" t="s">
        <v>1</v>
      </c>
      <c r="C687">
        <v>0</v>
      </c>
      <c r="D687">
        <v>0</v>
      </c>
      <c r="E687" s="27">
        <v>0</v>
      </c>
      <c r="F687">
        <v>7.22</v>
      </c>
      <c r="G687">
        <v>0.82</v>
      </c>
      <c r="H687">
        <v>8.0399999999999991</v>
      </c>
      <c r="I687">
        <v>89.8</v>
      </c>
      <c r="J687">
        <v>0</v>
      </c>
      <c r="K687" s="9">
        <v>45309</v>
      </c>
      <c r="L687">
        <f xml:space="preserve"> (交易處理資料__3[[#This Row],[售出工時]] * 60) / 5</f>
        <v>0</v>
      </c>
      <c r="M687" t="str">
        <f>VLOOKUP(交易處理資料__3[[#This Row],[人員代號]],團隊分組!$B$1:$C$52,2,FALSE)</f>
        <v>噴漆維修組</v>
      </c>
      <c r="N687">
        <f>IF(交易處理資料__3[[#This Row],[上班時間]]=0,0,交易處理資料__3[[#This Row],[售出工時]]/交易處理資料__3[[#This Row],[上班時間]])</f>
        <v>0</v>
      </c>
      <c r="O687" s="31" t="str">
        <f>IF(交易處理資料__3[[#This Row],[上班時間]]=0,"否","是")</f>
        <v>是</v>
      </c>
    </row>
    <row r="688" spans="1:15" hidden="1">
      <c r="A688" s="10" t="s">
        <v>73</v>
      </c>
      <c r="B688" t="s">
        <v>2</v>
      </c>
      <c r="C688">
        <v>1.91</v>
      </c>
      <c r="D688">
        <v>1.03</v>
      </c>
      <c r="E688" s="27">
        <v>186.08</v>
      </c>
      <c r="F688">
        <v>10.19</v>
      </c>
      <c r="G688">
        <v>0.43</v>
      </c>
      <c r="H688">
        <v>10.62</v>
      </c>
      <c r="I688">
        <v>95.95</v>
      </c>
      <c r="J688">
        <v>18.05</v>
      </c>
      <c r="K688" s="9">
        <v>45309</v>
      </c>
      <c r="L688">
        <f xml:space="preserve"> (交易處理資料__3[[#This Row],[售出工時]] * 60) / 5</f>
        <v>22.919999999999998</v>
      </c>
      <c r="M688" t="str">
        <f>VLOOKUP(交易處理資料__3[[#This Row],[人員代號]],團隊分組!$B$1:$C$52,2,FALSE)</f>
        <v>噴漆維修組</v>
      </c>
      <c r="N688">
        <f>IF(交易處理資料__3[[#This Row],[上班時間]]=0,0,交易處理資料__3[[#This Row],[售出工時]]/交易處理資料__3[[#This Row],[上班時間]])</f>
        <v>0.17984934086629004</v>
      </c>
      <c r="O688" s="31" t="str">
        <f>IF(交易處理資料__3[[#This Row],[上班時間]]=0,"否","是")</f>
        <v>是</v>
      </c>
    </row>
    <row r="689" spans="1:15" hidden="1">
      <c r="A689" s="10" t="s">
        <v>73</v>
      </c>
      <c r="B689" t="s">
        <v>3</v>
      </c>
      <c r="C689">
        <v>0</v>
      </c>
      <c r="D689">
        <v>0</v>
      </c>
      <c r="E689" s="27">
        <v>0</v>
      </c>
      <c r="F689">
        <v>10.19</v>
      </c>
      <c r="G689">
        <v>0.43</v>
      </c>
      <c r="H689">
        <v>10.62</v>
      </c>
      <c r="I689">
        <v>95.95</v>
      </c>
      <c r="J689">
        <v>0</v>
      </c>
      <c r="K689" s="9">
        <v>45309</v>
      </c>
      <c r="L689">
        <f xml:space="preserve"> (交易處理資料__3[[#This Row],[售出工時]] * 60) / 5</f>
        <v>0</v>
      </c>
      <c r="M689" t="str">
        <f>VLOOKUP(交易處理資料__3[[#This Row],[人員代號]],團隊分組!$B$1:$C$52,2,FALSE)</f>
        <v>噴漆維修組</v>
      </c>
      <c r="N689">
        <f>IF(交易處理資料__3[[#This Row],[上班時間]]=0,0,交易處理資料__3[[#This Row],[售出工時]]/交易處理資料__3[[#This Row],[上班時間]])</f>
        <v>0</v>
      </c>
      <c r="O689" s="31" t="str">
        <f>IF(交易處理資料__3[[#This Row],[上班時間]]=0,"否","是")</f>
        <v>是</v>
      </c>
    </row>
    <row r="690" spans="1:15" hidden="1">
      <c r="A690" s="10" t="s">
        <v>73</v>
      </c>
      <c r="B690" t="s">
        <v>4</v>
      </c>
      <c r="C690">
        <v>1.29</v>
      </c>
      <c r="D690">
        <v>3.74</v>
      </c>
      <c r="E690" s="27">
        <v>34.49</v>
      </c>
      <c r="F690">
        <v>7.25</v>
      </c>
      <c r="G690">
        <v>0.78</v>
      </c>
      <c r="H690">
        <v>8.0299999999999994</v>
      </c>
      <c r="I690">
        <v>90.29</v>
      </c>
      <c r="J690">
        <v>16.059999999999999</v>
      </c>
      <c r="K690" s="9">
        <v>45309</v>
      </c>
      <c r="L690">
        <f xml:space="preserve"> (交易處理資料__3[[#This Row],[售出工時]] * 60) / 5</f>
        <v>15.48</v>
      </c>
      <c r="M690" t="str">
        <f>VLOOKUP(交易處理資料__3[[#This Row],[人員代號]],團隊分組!$B$1:$C$52,2,FALSE)</f>
        <v>噴漆維修組</v>
      </c>
      <c r="N690">
        <f>IF(交易處理資料__3[[#This Row],[上班時間]]=0,0,交易處理資料__3[[#This Row],[售出工時]]/交易處理資料__3[[#This Row],[上班時間]])</f>
        <v>0.16064757160647572</v>
      </c>
      <c r="O690" s="31" t="str">
        <f>IF(交易處理資料__3[[#This Row],[上班時間]]=0,"否","是")</f>
        <v>是</v>
      </c>
    </row>
    <row r="691" spans="1:15" hidden="1">
      <c r="A691" s="10" t="s">
        <v>73</v>
      </c>
      <c r="B691" t="s">
        <v>5</v>
      </c>
      <c r="C691">
        <v>0</v>
      </c>
      <c r="D691">
        <v>0</v>
      </c>
      <c r="E691" s="27">
        <v>0</v>
      </c>
      <c r="F691">
        <v>10.199999999999999</v>
      </c>
      <c r="G691">
        <v>0.37</v>
      </c>
      <c r="H691">
        <v>10.57</v>
      </c>
      <c r="I691">
        <v>96.5</v>
      </c>
      <c r="J691">
        <v>0</v>
      </c>
      <c r="K691" s="9">
        <v>45309</v>
      </c>
      <c r="L691">
        <f xml:space="preserve"> (交易處理資料__3[[#This Row],[售出工時]] * 60) / 5</f>
        <v>0</v>
      </c>
      <c r="M691" t="str">
        <f>VLOOKUP(交易處理資料__3[[#This Row],[人員代號]],團隊分組!$B$1:$C$52,2,FALSE)</f>
        <v>噴漆維修組</v>
      </c>
      <c r="N691">
        <f>IF(交易處理資料__3[[#This Row],[上班時間]]=0,0,交易處理資料__3[[#This Row],[售出工時]]/交易處理資料__3[[#This Row],[上班時間]])</f>
        <v>0</v>
      </c>
      <c r="O691" s="31" t="str">
        <f>IF(交易處理資料__3[[#This Row],[上班時間]]=0,"否","是")</f>
        <v>是</v>
      </c>
    </row>
    <row r="692" spans="1:15" hidden="1">
      <c r="A692" s="10" t="s">
        <v>73</v>
      </c>
      <c r="B692" t="s">
        <v>6</v>
      </c>
      <c r="C692">
        <v>0</v>
      </c>
      <c r="D692">
        <v>0</v>
      </c>
      <c r="E692" s="27">
        <v>0</v>
      </c>
      <c r="F692">
        <v>7.77</v>
      </c>
      <c r="G692">
        <v>0.36</v>
      </c>
      <c r="H692">
        <v>8.1300000000000008</v>
      </c>
      <c r="I692">
        <v>95.57</v>
      </c>
      <c r="J692">
        <v>0</v>
      </c>
      <c r="K692" s="9">
        <v>45309</v>
      </c>
      <c r="L692">
        <f xml:space="preserve"> (交易處理資料__3[[#This Row],[售出工時]] * 60) / 5</f>
        <v>0</v>
      </c>
      <c r="M692" t="str">
        <f>VLOOKUP(交易處理資料__3[[#This Row],[人員代號]],團隊分組!$B$1:$C$52,2,FALSE)</f>
        <v>噴漆維修組</v>
      </c>
      <c r="N692">
        <f>IF(交易處理資料__3[[#This Row],[上班時間]]=0,0,交易處理資料__3[[#This Row],[售出工時]]/交易處理資料__3[[#This Row],[上班時間]])</f>
        <v>0</v>
      </c>
      <c r="O692" s="31" t="str">
        <f>IF(交易處理資料__3[[#This Row],[上班時間]]=0,"否","是")</f>
        <v>是</v>
      </c>
    </row>
    <row r="693" spans="1:15" hidden="1">
      <c r="A693" s="10" t="s">
        <v>73</v>
      </c>
      <c r="B693" t="s">
        <v>7</v>
      </c>
      <c r="C693">
        <v>0</v>
      </c>
      <c r="D693">
        <v>0</v>
      </c>
      <c r="E693" s="27">
        <v>0</v>
      </c>
      <c r="F693">
        <v>10.220000000000001</v>
      </c>
      <c r="G693">
        <v>0.36</v>
      </c>
      <c r="H693">
        <v>10.58</v>
      </c>
      <c r="I693">
        <v>96.6</v>
      </c>
      <c r="J693">
        <v>0</v>
      </c>
      <c r="K693" s="9">
        <v>45309</v>
      </c>
      <c r="L693">
        <f xml:space="preserve"> (交易處理資料__3[[#This Row],[售出工時]] * 60) / 5</f>
        <v>0</v>
      </c>
      <c r="M693" t="str">
        <f>VLOOKUP(交易處理資料__3[[#This Row],[人員代號]],團隊分組!$B$1:$C$52,2,FALSE)</f>
        <v>噴漆維修組</v>
      </c>
      <c r="N693">
        <f>IF(交易處理資料__3[[#This Row],[上班時間]]=0,0,交易處理資料__3[[#This Row],[售出工時]]/交易處理資料__3[[#This Row],[上班時間]])</f>
        <v>0</v>
      </c>
      <c r="O693" s="31" t="str">
        <f>IF(交易處理資料__3[[#This Row],[上班時間]]=0,"否","是")</f>
        <v>是</v>
      </c>
    </row>
    <row r="694" spans="1:15" hidden="1">
      <c r="A694" s="10" t="s">
        <v>73</v>
      </c>
      <c r="B694" t="s">
        <v>8</v>
      </c>
      <c r="C694">
        <v>0</v>
      </c>
      <c r="D694">
        <v>0</v>
      </c>
      <c r="E694" s="27">
        <v>0</v>
      </c>
      <c r="F694">
        <v>9.5</v>
      </c>
      <c r="G694">
        <v>0.53</v>
      </c>
      <c r="H694">
        <v>10.029999999999999</v>
      </c>
      <c r="I694">
        <v>94.72</v>
      </c>
      <c r="J694">
        <v>0</v>
      </c>
      <c r="K694" s="9">
        <v>45309</v>
      </c>
      <c r="L694">
        <f xml:space="preserve"> (交易處理資料__3[[#This Row],[售出工時]] * 60) / 5</f>
        <v>0</v>
      </c>
      <c r="M694" t="str">
        <f>VLOOKUP(交易處理資料__3[[#This Row],[人員代號]],團隊分組!$B$1:$C$52,2,FALSE)</f>
        <v>噴漆維修組</v>
      </c>
      <c r="N694">
        <f>IF(交易處理資料__3[[#This Row],[上班時間]]=0,0,交易處理資料__3[[#This Row],[售出工時]]/交易處理資料__3[[#This Row],[上班時間]])</f>
        <v>0</v>
      </c>
      <c r="O694" s="31" t="str">
        <f>IF(交易處理資料__3[[#This Row],[上班時間]]=0,"否","是")</f>
        <v>是</v>
      </c>
    </row>
    <row r="695" spans="1:15" hidden="1">
      <c r="A695" t="s">
        <v>74</v>
      </c>
      <c r="B695" t="s">
        <v>11</v>
      </c>
      <c r="C695">
        <v>5.5</v>
      </c>
      <c r="D695">
        <v>6.85</v>
      </c>
      <c r="E695" s="27">
        <v>80.290000000000006</v>
      </c>
      <c r="F695">
        <v>5.69</v>
      </c>
      <c r="G695">
        <v>2.68</v>
      </c>
      <c r="H695">
        <v>8.3699999999999992</v>
      </c>
      <c r="I695">
        <v>67.98</v>
      </c>
      <c r="J695">
        <v>65.709999999999994</v>
      </c>
      <c r="K695" s="9">
        <v>45309</v>
      </c>
      <c r="L695">
        <f xml:space="preserve"> (交易處理資料__3[[#This Row],[售出工時]] * 60) / 5</f>
        <v>66</v>
      </c>
      <c r="M695" t="str">
        <f>VLOOKUP(交易處理資料__3[[#This Row],[人員代號]],團隊分組!$B$1:$C$52,2,FALSE)</f>
        <v>鈑金維修組</v>
      </c>
      <c r="N695">
        <f>IF(交易處理資料__3[[#This Row],[上班時間]]=0,0,交易處理資料__3[[#This Row],[售出工時]]/交易處理資料__3[[#This Row],[上班時間]])</f>
        <v>0.65710872162485068</v>
      </c>
      <c r="O695" s="31" t="str">
        <f>IF(交易處理資料__3[[#This Row],[上班時間]]=0,"否","是")</f>
        <v>是</v>
      </c>
    </row>
    <row r="696" spans="1:15" hidden="1">
      <c r="A696" t="s">
        <v>74</v>
      </c>
      <c r="B696" t="s">
        <v>13</v>
      </c>
      <c r="C696">
        <v>2.08</v>
      </c>
      <c r="D696">
        <v>0.35</v>
      </c>
      <c r="E696" s="27">
        <v>594.28</v>
      </c>
      <c r="F696">
        <v>6.59</v>
      </c>
      <c r="G696">
        <v>1.51</v>
      </c>
      <c r="H696">
        <v>8.1</v>
      </c>
      <c r="I696">
        <v>81.36</v>
      </c>
      <c r="J696">
        <v>25.68</v>
      </c>
      <c r="K696" s="9">
        <v>45309</v>
      </c>
      <c r="L696">
        <f xml:space="preserve"> (交易處理資料__3[[#This Row],[售出工時]] * 60) / 5</f>
        <v>24.96</v>
      </c>
      <c r="M696" t="str">
        <f>VLOOKUP(交易處理資料__3[[#This Row],[人員代號]],團隊分組!$B$1:$C$52,2,FALSE)</f>
        <v>鈑金維修組</v>
      </c>
      <c r="N696">
        <f>IF(交易處理資料__3[[#This Row],[上班時間]]=0,0,交易處理資料__3[[#This Row],[售出工時]]/交易處理資料__3[[#This Row],[上班時間]])</f>
        <v>0.25679012345679014</v>
      </c>
      <c r="O696" s="31" t="str">
        <f>IF(交易處理資料__3[[#This Row],[上班時間]]=0,"否","是")</f>
        <v>是</v>
      </c>
    </row>
    <row r="697" spans="1:15" hidden="1">
      <c r="A697" t="s">
        <v>74</v>
      </c>
      <c r="B697" t="s">
        <v>14</v>
      </c>
      <c r="C697">
        <v>2.58</v>
      </c>
      <c r="D697">
        <v>0.95</v>
      </c>
      <c r="E697" s="27">
        <v>271.57</v>
      </c>
      <c r="F697">
        <v>6.05</v>
      </c>
      <c r="G697">
        <v>2.02</v>
      </c>
      <c r="H697">
        <v>8.07</v>
      </c>
      <c r="I697">
        <v>74.97</v>
      </c>
      <c r="J697">
        <v>31.97</v>
      </c>
      <c r="K697" s="9">
        <v>45309</v>
      </c>
      <c r="L697">
        <f xml:space="preserve"> (交易處理資料__3[[#This Row],[售出工時]] * 60) / 5</f>
        <v>30.96</v>
      </c>
      <c r="M697" t="str">
        <f>VLOOKUP(交易處理資料__3[[#This Row],[人員代號]],團隊分組!$B$1:$C$52,2,FALSE)</f>
        <v>鈑金維修組</v>
      </c>
      <c r="N697">
        <f>IF(交易處理資料__3[[#This Row],[上班時間]]=0,0,交易處理資料__3[[#This Row],[售出工時]]/交易處理資料__3[[#This Row],[上班時間]])</f>
        <v>0.31970260223048325</v>
      </c>
      <c r="O697" s="31" t="str">
        <f>IF(交易處理資料__3[[#This Row],[上班時間]]=0,"否","是")</f>
        <v>是</v>
      </c>
    </row>
    <row r="698" spans="1:15" hidden="1">
      <c r="A698" t="s">
        <v>74</v>
      </c>
      <c r="B698" t="s">
        <v>15</v>
      </c>
      <c r="C698">
        <v>4.09</v>
      </c>
      <c r="D698">
        <v>2.76</v>
      </c>
      <c r="E698" s="27">
        <v>148.18</v>
      </c>
      <c r="F698">
        <v>6.07</v>
      </c>
      <c r="G698">
        <v>2.0099999999999998</v>
      </c>
      <c r="H698">
        <v>8.08</v>
      </c>
      <c r="I698">
        <v>75.12</v>
      </c>
      <c r="J698">
        <v>50.62</v>
      </c>
      <c r="K698" s="9">
        <v>45309</v>
      </c>
      <c r="L698">
        <f xml:space="preserve"> (交易處理資料__3[[#This Row],[售出工時]] * 60) / 5</f>
        <v>49.08</v>
      </c>
      <c r="M698" t="str">
        <f>VLOOKUP(交易處理資料__3[[#This Row],[人員代號]],團隊分組!$B$1:$C$52,2,FALSE)</f>
        <v>鈑金維修組</v>
      </c>
      <c r="N698">
        <f>IF(交易處理資料__3[[#This Row],[上班時間]]=0,0,交易處理資料__3[[#This Row],[售出工時]]/交易處理資料__3[[#This Row],[上班時間]])</f>
        <v>0.50618811881188119</v>
      </c>
      <c r="O698" s="31" t="str">
        <f>IF(交易處理資料__3[[#This Row],[上班時間]]=0,"否","是")</f>
        <v>是</v>
      </c>
    </row>
    <row r="699" spans="1:15" hidden="1">
      <c r="A699" t="s">
        <v>75</v>
      </c>
      <c r="B699" t="s">
        <v>17</v>
      </c>
      <c r="C699">
        <v>8.33</v>
      </c>
      <c r="D699">
        <v>4.13</v>
      </c>
      <c r="E699" s="27">
        <v>201.77</v>
      </c>
      <c r="F699">
        <v>7.08</v>
      </c>
      <c r="G699">
        <v>0.92</v>
      </c>
      <c r="H699">
        <v>8</v>
      </c>
      <c r="I699">
        <v>88.5</v>
      </c>
      <c r="J699">
        <v>104.17</v>
      </c>
      <c r="K699" s="9">
        <v>45309</v>
      </c>
      <c r="L699">
        <f xml:space="preserve"> (交易處理資料__3[[#This Row],[售出工時]] * 60) / 5</f>
        <v>99.960000000000008</v>
      </c>
      <c r="M699" t="str">
        <f>VLOOKUP(交易處理資料__3[[#This Row],[人員代號]],團隊分組!$B$1:$C$52,2,FALSE)</f>
        <v>快速保養團隊A</v>
      </c>
      <c r="N699">
        <f>IF(交易處理資料__3[[#This Row],[上班時間]]=0,0,交易處理資料__3[[#This Row],[售出工時]]/交易處理資料__3[[#This Row],[上班時間]])</f>
        <v>1.04125</v>
      </c>
      <c r="O699" s="31" t="str">
        <f>IF(交易處理資料__3[[#This Row],[上班時間]]=0,"否","是")</f>
        <v>是</v>
      </c>
    </row>
    <row r="700" spans="1:15" hidden="1">
      <c r="A700" t="s">
        <v>75</v>
      </c>
      <c r="B700" t="s">
        <v>18</v>
      </c>
      <c r="C700">
        <v>1.5</v>
      </c>
      <c r="D700">
        <v>1.1499999999999999</v>
      </c>
      <c r="E700" s="27">
        <v>130.43</v>
      </c>
      <c r="F700">
        <v>8.02</v>
      </c>
      <c r="G700">
        <v>1.18</v>
      </c>
      <c r="H700">
        <v>9.1999999999999993</v>
      </c>
      <c r="I700">
        <v>87.17</v>
      </c>
      <c r="J700">
        <v>16.3</v>
      </c>
      <c r="K700" s="9">
        <v>45309</v>
      </c>
      <c r="L700">
        <f xml:space="preserve"> (交易處理資料__3[[#This Row],[售出工時]] * 60) / 5</f>
        <v>18</v>
      </c>
      <c r="M700" t="str">
        <f>VLOOKUP(交易處理資料__3[[#This Row],[人員代號]],團隊分組!$B$1:$C$52,2,FALSE)</f>
        <v>查修團隊B</v>
      </c>
      <c r="N700">
        <f>IF(交易處理資料__3[[#This Row],[上班時間]]=0,0,交易處理資料__3[[#This Row],[售出工時]]/交易處理資料__3[[#This Row],[上班時間]])</f>
        <v>0.16304347826086957</v>
      </c>
      <c r="O700" s="31" t="str">
        <f>IF(交易處理資料__3[[#This Row],[上班時間]]=0,"否","是")</f>
        <v>是</v>
      </c>
    </row>
    <row r="701" spans="1:15" hidden="1">
      <c r="A701" t="s">
        <v>75</v>
      </c>
      <c r="B701" t="s">
        <v>19</v>
      </c>
      <c r="C701">
        <v>0.83</v>
      </c>
      <c r="D701">
        <v>0.84</v>
      </c>
      <c r="E701" s="27">
        <v>98.8</v>
      </c>
      <c r="F701">
        <v>8.94</v>
      </c>
      <c r="G701">
        <v>0.37</v>
      </c>
      <c r="H701">
        <v>9.31</v>
      </c>
      <c r="I701">
        <v>96.03</v>
      </c>
      <c r="J701">
        <v>8.92</v>
      </c>
      <c r="K701" s="9">
        <v>45309</v>
      </c>
      <c r="L701">
        <f xml:space="preserve"> (交易處理資料__3[[#This Row],[售出工時]] * 60) / 5</f>
        <v>9.9599999999999991</v>
      </c>
      <c r="M701" t="str">
        <f>VLOOKUP(交易處理資料__3[[#This Row],[人員代號]],團隊分組!$B$1:$C$52,2,FALSE)</f>
        <v>查修團隊A</v>
      </c>
      <c r="N701">
        <f>IF(交易處理資料__3[[#This Row],[上班時間]]=0,0,交易處理資料__3[[#This Row],[售出工時]]/交易處理資料__3[[#This Row],[上班時間]])</f>
        <v>8.9151450053705686E-2</v>
      </c>
      <c r="O701" s="31" t="str">
        <f>IF(交易處理資料__3[[#This Row],[上班時間]]=0,"否","是")</f>
        <v>是</v>
      </c>
    </row>
    <row r="702" spans="1:15" hidden="1">
      <c r="A702" t="s">
        <v>75</v>
      </c>
      <c r="B702" t="s">
        <v>20</v>
      </c>
      <c r="C702">
        <v>2.56</v>
      </c>
      <c r="D702">
        <v>5.37</v>
      </c>
      <c r="E702" s="27">
        <v>47.73</v>
      </c>
      <c r="F702">
        <v>4.1500000000000004</v>
      </c>
      <c r="G702">
        <v>5.13</v>
      </c>
      <c r="H702">
        <v>9.2799999999999994</v>
      </c>
      <c r="I702">
        <v>44.72</v>
      </c>
      <c r="J702">
        <v>27.62</v>
      </c>
      <c r="K702" s="9">
        <v>45309</v>
      </c>
      <c r="L702">
        <f xml:space="preserve"> (交易處理資料__3[[#This Row],[售出工時]] * 60) / 5</f>
        <v>30.72</v>
      </c>
      <c r="M702" t="str">
        <f>VLOOKUP(交易處理資料__3[[#This Row],[人員代號]],團隊分組!$B$1:$C$52,2,FALSE)</f>
        <v>查修團隊B</v>
      </c>
      <c r="N702">
        <f>IF(交易處理資料__3[[#This Row],[上班時間]]=0,0,交易處理資料__3[[#This Row],[售出工時]]/交易處理資料__3[[#This Row],[上班時間]])</f>
        <v>0.27586206896551729</v>
      </c>
      <c r="O702" s="31" t="str">
        <f>IF(交易處理資料__3[[#This Row],[上班時間]]=0,"否","是")</f>
        <v>是</v>
      </c>
    </row>
    <row r="703" spans="1:15" hidden="1">
      <c r="A703" t="s">
        <v>75</v>
      </c>
      <c r="B703" t="s">
        <v>21</v>
      </c>
      <c r="C703">
        <v>7.75</v>
      </c>
      <c r="D703">
        <v>8.65</v>
      </c>
      <c r="E703" s="27">
        <v>89.59</v>
      </c>
      <c r="F703">
        <v>6.82</v>
      </c>
      <c r="G703">
        <v>2.39</v>
      </c>
      <c r="H703">
        <v>9.2100000000000009</v>
      </c>
      <c r="I703">
        <v>74.05</v>
      </c>
      <c r="J703">
        <v>84.15</v>
      </c>
      <c r="K703" s="9">
        <v>45309</v>
      </c>
      <c r="L703">
        <f xml:space="preserve"> (交易處理資料__3[[#This Row],[售出工時]] * 60) / 5</f>
        <v>93</v>
      </c>
      <c r="M703" t="str">
        <f>VLOOKUP(交易處理資料__3[[#This Row],[人員代號]],團隊分組!$B$1:$C$52,2,FALSE)</f>
        <v>查修團隊B</v>
      </c>
      <c r="N703">
        <f>IF(交易處理資料__3[[#This Row],[上班時間]]=0,0,交易處理資料__3[[#This Row],[售出工時]]/交易處理資料__3[[#This Row],[上班時間]])</f>
        <v>0.8414766558089033</v>
      </c>
      <c r="O703" s="31" t="str">
        <f>IF(交易處理資料__3[[#This Row],[上班時間]]=0,"否","是")</f>
        <v>是</v>
      </c>
    </row>
    <row r="704" spans="1:15" hidden="1">
      <c r="A704" t="s">
        <v>75</v>
      </c>
      <c r="B704" t="s">
        <v>22</v>
      </c>
      <c r="C704">
        <v>0</v>
      </c>
      <c r="D704">
        <v>0</v>
      </c>
      <c r="E704" s="27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 s="9">
        <v>45309</v>
      </c>
      <c r="L704">
        <f xml:space="preserve"> (交易處理資料__3[[#This Row],[售出工時]] * 60) / 5</f>
        <v>0</v>
      </c>
      <c r="M704" t="str">
        <f>VLOOKUP(交易處理資料__3[[#This Row],[人員代號]],團隊分組!$B$1:$C$52,2,FALSE)</f>
        <v>快速保養團隊A</v>
      </c>
      <c r="N704">
        <f>IF(交易處理資料__3[[#This Row],[上班時間]]=0,0,交易處理資料__3[[#This Row],[售出工時]]/交易處理資料__3[[#This Row],[上班時間]])</f>
        <v>0</v>
      </c>
      <c r="O704" s="31" t="str">
        <f>IF(交易處理資料__3[[#This Row],[上班時間]]=0,"否","是")</f>
        <v>否</v>
      </c>
    </row>
    <row r="705" spans="1:15" hidden="1">
      <c r="A705" t="s">
        <v>75</v>
      </c>
      <c r="B705" t="s">
        <v>23</v>
      </c>
      <c r="C705">
        <v>4.16</v>
      </c>
      <c r="D705">
        <v>1.32</v>
      </c>
      <c r="E705" s="27">
        <v>315.64999999999998</v>
      </c>
      <c r="F705">
        <v>9.4700000000000006</v>
      </c>
      <c r="G705">
        <v>1.21</v>
      </c>
      <c r="H705">
        <v>10.68</v>
      </c>
      <c r="I705">
        <v>88.67</v>
      </c>
      <c r="J705">
        <v>39.01</v>
      </c>
      <c r="K705" s="9">
        <v>45309</v>
      </c>
      <c r="L705">
        <f xml:space="preserve"> (交易處理資料__3[[#This Row],[售出工時]] * 60) / 5</f>
        <v>49.92</v>
      </c>
      <c r="M705" t="str">
        <f>VLOOKUP(交易處理資料__3[[#This Row],[人員代號]],團隊分組!$B$1:$C$52,2,FALSE)</f>
        <v>快速保養團隊B</v>
      </c>
      <c r="N705">
        <f>IF(交易處理資料__3[[#This Row],[上班時間]]=0,0,交易處理資料__3[[#This Row],[售出工時]]/交易處理資料__3[[#This Row],[上班時間]])</f>
        <v>0.38951310861423222</v>
      </c>
      <c r="O705" s="31" t="str">
        <f>IF(交易處理資料__3[[#This Row],[上班時間]]=0,"否","是")</f>
        <v>是</v>
      </c>
    </row>
    <row r="706" spans="1:15" hidden="1">
      <c r="A706" t="s">
        <v>75</v>
      </c>
      <c r="B706" t="s">
        <v>25</v>
      </c>
      <c r="C706">
        <v>1.25</v>
      </c>
      <c r="D706">
        <v>2.78</v>
      </c>
      <c r="E706" s="27">
        <v>44.96</v>
      </c>
      <c r="F706">
        <v>7.1</v>
      </c>
      <c r="G706">
        <v>2.9</v>
      </c>
      <c r="H706">
        <v>10</v>
      </c>
      <c r="I706">
        <v>71</v>
      </c>
      <c r="J706">
        <v>12.5</v>
      </c>
      <c r="K706" s="9">
        <v>45309</v>
      </c>
      <c r="L706">
        <f xml:space="preserve"> (交易處理資料__3[[#This Row],[售出工時]] * 60) / 5</f>
        <v>15</v>
      </c>
      <c r="M706" t="str">
        <f>VLOOKUP(交易處理資料__3[[#This Row],[人員代號]],團隊分組!$B$1:$C$52,2,FALSE)</f>
        <v>查修團隊A</v>
      </c>
      <c r="N706">
        <f>IF(交易處理資料__3[[#This Row],[上班時間]]=0,0,交易處理資料__3[[#This Row],[售出工時]]/交易處理資料__3[[#This Row],[上班時間]])</f>
        <v>0.125</v>
      </c>
      <c r="O706" s="31" t="str">
        <f>IF(交易處理資料__3[[#This Row],[上班時間]]=0,"否","是")</f>
        <v>是</v>
      </c>
    </row>
    <row r="707" spans="1:15" hidden="1">
      <c r="A707" t="s">
        <v>75</v>
      </c>
      <c r="B707" t="s">
        <v>26</v>
      </c>
      <c r="C707">
        <v>2.2400000000000002</v>
      </c>
      <c r="D707">
        <v>7.57</v>
      </c>
      <c r="E707" s="27">
        <v>29.59</v>
      </c>
      <c r="F707">
        <v>4.62</v>
      </c>
      <c r="G707">
        <v>4.7</v>
      </c>
      <c r="H707">
        <v>9.32</v>
      </c>
      <c r="I707">
        <v>49.57</v>
      </c>
      <c r="J707">
        <v>24.03</v>
      </c>
      <c r="K707" s="9">
        <v>45309</v>
      </c>
      <c r="L707">
        <f xml:space="preserve"> (交易處理資料__3[[#This Row],[售出工時]] * 60) / 5</f>
        <v>26.880000000000003</v>
      </c>
      <c r="M707" t="str">
        <f>VLOOKUP(交易處理資料__3[[#This Row],[人員代號]],團隊分組!$B$1:$C$52,2,FALSE)</f>
        <v>查修團隊B</v>
      </c>
      <c r="N707">
        <f>IF(交易處理資料__3[[#This Row],[上班時間]]=0,0,交易處理資料__3[[#This Row],[售出工時]]/交易處理資料__3[[#This Row],[上班時間]])</f>
        <v>0.24034334763948501</v>
      </c>
      <c r="O707" s="31" t="str">
        <f>IF(交易處理資料__3[[#This Row],[上班時間]]=0,"否","是")</f>
        <v>是</v>
      </c>
    </row>
    <row r="708" spans="1:15" hidden="1">
      <c r="A708" t="s">
        <v>75</v>
      </c>
      <c r="B708" t="s">
        <v>27</v>
      </c>
      <c r="C708">
        <v>8.75</v>
      </c>
      <c r="D708">
        <v>6.43</v>
      </c>
      <c r="E708" s="27">
        <v>136.08000000000001</v>
      </c>
      <c r="F708">
        <v>7.51</v>
      </c>
      <c r="G708">
        <v>1.42</v>
      </c>
      <c r="H708">
        <v>8.93</v>
      </c>
      <c r="I708">
        <v>84.1</v>
      </c>
      <c r="J708">
        <v>97.98</v>
      </c>
      <c r="K708" s="9">
        <v>45309</v>
      </c>
      <c r="L708">
        <f xml:space="preserve"> (交易處理資料__3[[#This Row],[售出工時]] * 60) / 5</f>
        <v>105</v>
      </c>
      <c r="M708" t="str">
        <f>VLOOKUP(交易處理資料__3[[#This Row],[人員代號]],團隊分組!$B$1:$C$52,2,FALSE)</f>
        <v>快速保養團隊B</v>
      </c>
      <c r="N708">
        <f>IF(交易處理資料__3[[#This Row],[上班時間]]=0,0,交易處理資料__3[[#This Row],[售出工時]]/交易處理資料__3[[#This Row],[上班時間]])</f>
        <v>0.97984322508398658</v>
      </c>
      <c r="O708" s="31" t="str">
        <f>IF(交易處理資料__3[[#This Row],[上班時間]]=0,"否","是")</f>
        <v>是</v>
      </c>
    </row>
    <row r="709" spans="1:15" hidden="1">
      <c r="A709" t="s">
        <v>75</v>
      </c>
      <c r="B709" t="s">
        <v>29</v>
      </c>
      <c r="C709">
        <v>0.75</v>
      </c>
      <c r="D709">
        <v>0.52</v>
      </c>
      <c r="E709" s="27">
        <v>144.22999999999999</v>
      </c>
      <c r="F709">
        <v>6.2</v>
      </c>
      <c r="G709">
        <v>2.85</v>
      </c>
      <c r="H709">
        <v>9.0500000000000007</v>
      </c>
      <c r="I709">
        <v>68.510000000000005</v>
      </c>
      <c r="J709">
        <v>8.2899999999999991</v>
      </c>
      <c r="K709" s="9">
        <v>45309</v>
      </c>
      <c r="L709">
        <f xml:space="preserve"> (交易處理資料__3[[#This Row],[售出工時]] * 60) / 5</f>
        <v>9</v>
      </c>
      <c r="M709" t="str">
        <f>VLOOKUP(交易處理資料__3[[#This Row],[人員代號]],團隊分組!$B$1:$C$52,2,FALSE)</f>
        <v>查修團隊B</v>
      </c>
      <c r="N709">
        <f>IF(交易處理資料__3[[#This Row],[上班時間]]=0,0,交易處理資料__3[[#This Row],[售出工時]]/交易處理資料__3[[#This Row],[上班時間]])</f>
        <v>8.2872928176795577E-2</v>
      </c>
      <c r="O709" s="31" t="str">
        <f>IF(交易處理資料__3[[#This Row],[上班時間]]=0,"否","是")</f>
        <v>是</v>
      </c>
    </row>
    <row r="710" spans="1:15" hidden="1">
      <c r="A710" t="s">
        <v>75</v>
      </c>
      <c r="B710" t="s">
        <v>31</v>
      </c>
      <c r="C710">
        <v>0</v>
      </c>
      <c r="D710">
        <v>0</v>
      </c>
      <c r="E710" s="27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 s="9">
        <v>45309</v>
      </c>
      <c r="L710">
        <f xml:space="preserve"> (交易處理資料__3[[#This Row],[售出工時]] * 60) / 5</f>
        <v>0</v>
      </c>
      <c r="M710" t="str">
        <f>VLOOKUP(交易處理資料__3[[#This Row],[人員代號]],團隊分組!$B$1:$C$52,2,FALSE)</f>
        <v>快速保養團隊A</v>
      </c>
      <c r="N710">
        <f>IF(交易處理資料__3[[#This Row],[上班時間]]=0,0,交易處理資料__3[[#This Row],[售出工時]]/交易處理資料__3[[#This Row],[上班時間]])</f>
        <v>0</v>
      </c>
      <c r="O710" s="31" t="str">
        <f>IF(交易處理資料__3[[#This Row],[上班時間]]=0,"否","是")</f>
        <v>否</v>
      </c>
    </row>
    <row r="711" spans="1:15" hidden="1">
      <c r="A711" t="s">
        <v>75</v>
      </c>
      <c r="B711" t="s">
        <v>32</v>
      </c>
      <c r="C711">
        <v>13.51</v>
      </c>
      <c r="D711">
        <v>6.9</v>
      </c>
      <c r="E711" s="27">
        <v>195.84</v>
      </c>
      <c r="F711">
        <v>7.47</v>
      </c>
      <c r="G711">
        <v>1.43</v>
      </c>
      <c r="H711">
        <v>8.9</v>
      </c>
      <c r="I711">
        <v>83.93</v>
      </c>
      <c r="J711">
        <v>151.84</v>
      </c>
      <c r="K711" s="9">
        <v>45309</v>
      </c>
      <c r="L711">
        <f xml:space="preserve"> (交易處理資料__3[[#This Row],[售出工時]] * 60) / 5</f>
        <v>162.12</v>
      </c>
      <c r="M711" t="str">
        <f>VLOOKUP(交易處理資料__3[[#This Row],[人員代號]],團隊分組!$B$1:$C$52,2,FALSE)</f>
        <v>快速保養團隊B</v>
      </c>
      <c r="N711">
        <f>IF(交易處理資料__3[[#This Row],[上班時間]]=0,0,交易處理資料__3[[#This Row],[售出工時]]/交易處理資料__3[[#This Row],[上班時間]])</f>
        <v>1.5179775280898875</v>
      </c>
      <c r="O711" s="31" t="str">
        <f>IF(交易處理資料__3[[#This Row],[上班時間]]=0,"否","是")</f>
        <v>是</v>
      </c>
    </row>
    <row r="712" spans="1:15">
      <c r="A712" t="s">
        <v>75</v>
      </c>
      <c r="B712" t="s">
        <v>33</v>
      </c>
      <c r="C712">
        <v>0</v>
      </c>
      <c r="D712">
        <v>0</v>
      </c>
      <c r="E712" s="27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 s="9">
        <v>45309</v>
      </c>
      <c r="L712">
        <f xml:space="preserve"> (交易處理資料__3[[#This Row],[售出工時]] * 60) / 5</f>
        <v>0</v>
      </c>
      <c r="M712" t="str">
        <f>VLOOKUP(交易處理資料__3[[#This Row],[人員代號]],團隊分組!$B$1:$C$52,2,FALSE)</f>
        <v>快速保養團隊B</v>
      </c>
      <c r="N712">
        <f>IF(交易處理資料__3[[#This Row],[上班時間]]=0,0,交易處理資料__3[[#This Row],[售出工時]]/交易處理資料__3[[#This Row],[上班時間]])</f>
        <v>0</v>
      </c>
      <c r="O712" s="31" t="str">
        <f>IF(交易處理資料__3[[#This Row],[上班時間]]=0,"否","是")</f>
        <v>否</v>
      </c>
    </row>
    <row r="713" spans="1:15" hidden="1">
      <c r="A713" t="s">
        <v>75</v>
      </c>
      <c r="B713" t="s">
        <v>36</v>
      </c>
      <c r="C713">
        <v>4.0199999999999996</v>
      </c>
      <c r="D713">
        <v>4.21</v>
      </c>
      <c r="E713" s="27">
        <v>95.56</v>
      </c>
      <c r="F713">
        <v>2.52</v>
      </c>
      <c r="G713">
        <v>6.71</v>
      </c>
      <c r="H713">
        <v>9.23</v>
      </c>
      <c r="I713">
        <v>27.3</v>
      </c>
      <c r="J713">
        <v>43.59</v>
      </c>
      <c r="K713" s="9">
        <v>45309</v>
      </c>
      <c r="L713">
        <f xml:space="preserve"> (交易處理資料__3[[#This Row],[售出工時]] * 60) / 5</f>
        <v>48.239999999999995</v>
      </c>
      <c r="M713" t="str">
        <f>VLOOKUP(交易處理資料__3[[#This Row],[人員代號]],團隊分組!$B$1:$C$52,2,FALSE)</f>
        <v>查修團隊B</v>
      </c>
      <c r="N713">
        <f>IF(交易處理資料__3[[#This Row],[上班時間]]=0,0,交易處理資料__3[[#This Row],[售出工時]]/交易處理資料__3[[#This Row],[上班時間]])</f>
        <v>0.43553629469122418</v>
      </c>
      <c r="O713" s="31" t="str">
        <f>IF(交易處理資料__3[[#This Row],[上班時間]]=0,"否","是")</f>
        <v>是</v>
      </c>
    </row>
    <row r="714" spans="1:15" hidden="1">
      <c r="A714" t="s">
        <v>75</v>
      </c>
      <c r="B714" t="s">
        <v>37</v>
      </c>
      <c r="C714">
        <v>2.2599999999999998</v>
      </c>
      <c r="D714">
        <v>3.09</v>
      </c>
      <c r="E714" s="27">
        <v>73.13</v>
      </c>
      <c r="F714">
        <v>5.56</v>
      </c>
      <c r="G714">
        <v>2.0699999999999998</v>
      </c>
      <c r="H714">
        <v>7.63</v>
      </c>
      <c r="I714">
        <v>72.87</v>
      </c>
      <c r="J714">
        <v>29.62</v>
      </c>
      <c r="K714" s="9">
        <v>45309</v>
      </c>
      <c r="L714">
        <f xml:space="preserve"> (交易處理資料__3[[#This Row],[售出工時]] * 60) / 5</f>
        <v>27.119999999999997</v>
      </c>
      <c r="M714" t="str">
        <f>VLOOKUP(交易處理資料__3[[#This Row],[人員代號]],團隊分組!$B$1:$C$52,2,FALSE)</f>
        <v>查修團隊A</v>
      </c>
      <c r="N714">
        <f>IF(交易處理資料__3[[#This Row],[上班時間]]=0,0,交易處理資料__3[[#This Row],[售出工時]]/交易處理資料__3[[#This Row],[上班時間]])</f>
        <v>0.29619921363040624</v>
      </c>
      <c r="O714" s="31" t="str">
        <f>IF(交易處理資料__3[[#This Row],[上班時間]]=0,"否","是")</f>
        <v>是</v>
      </c>
    </row>
    <row r="715" spans="1:15" hidden="1">
      <c r="A715" t="s">
        <v>75</v>
      </c>
      <c r="B715" t="s">
        <v>39</v>
      </c>
      <c r="C715">
        <v>3.16</v>
      </c>
      <c r="D715">
        <v>8.48</v>
      </c>
      <c r="E715" s="27">
        <v>37.340000000000003</v>
      </c>
      <c r="F715">
        <v>6.63</v>
      </c>
      <c r="G715">
        <v>3.36</v>
      </c>
      <c r="H715">
        <v>9.99</v>
      </c>
      <c r="I715">
        <v>66.37</v>
      </c>
      <c r="J715">
        <v>31.7</v>
      </c>
      <c r="K715" s="9">
        <v>45309</v>
      </c>
      <c r="L715">
        <f xml:space="preserve"> (交易處理資料__3[[#This Row],[售出工時]] * 60) / 5</f>
        <v>37.92</v>
      </c>
      <c r="M715" t="str">
        <f>VLOOKUP(交易處理資料__3[[#This Row],[人員代號]],團隊分組!$B$1:$C$52,2,FALSE)</f>
        <v>查修團隊A</v>
      </c>
      <c r="N715">
        <f>IF(交易處理資料__3[[#This Row],[上班時間]]=0,0,交易處理資料__3[[#This Row],[售出工時]]/交易處理資料__3[[#This Row],[上班時間]])</f>
        <v>0.31631631631631635</v>
      </c>
      <c r="O715" s="31" t="str">
        <f>IF(交易處理資料__3[[#This Row],[上班時間]]=0,"否","是")</f>
        <v>是</v>
      </c>
    </row>
    <row r="716" spans="1:15" hidden="1">
      <c r="A716" t="s">
        <v>75</v>
      </c>
      <c r="B716" t="s">
        <v>42</v>
      </c>
      <c r="C716">
        <v>5.96</v>
      </c>
      <c r="D716">
        <v>5.35</v>
      </c>
      <c r="E716" s="27">
        <v>111.52</v>
      </c>
      <c r="F716">
        <v>5.45</v>
      </c>
      <c r="G716">
        <v>2.52</v>
      </c>
      <c r="H716">
        <v>7.97</v>
      </c>
      <c r="I716">
        <v>68.38</v>
      </c>
      <c r="J716">
        <v>74.86</v>
      </c>
      <c r="K716" s="9">
        <v>45309</v>
      </c>
      <c r="L716">
        <f xml:space="preserve"> (交易處理資料__3[[#This Row],[售出工時]] * 60) / 5</f>
        <v>71.52000000000001</v>
      </c>
      <c r="M716" t="str">
        <f>VLOOKUP(交易處理資料__3[[#This Row],[人員代號]],團隊分組!$B$1:$C$52,2,FALSE)</f>
        <v>快速保養團隊A</v>
      </c>
      <c r="N716">
        <f>IF(交易處理資料__3[[#This Row],[上班時間]]=0,0,交易處理資料__3[[#This Row],[售出工時]]/交易處理資料__3[[#This Row],[上班時間]])</f>
        <v>0.74780426599749061</v>
      </c>
      <c r="O716" s="31" t="str">
        <f>IF(交易處理資料__3[[#This Row],[上班時間]]=0,"否","是")</f>
        <v>是</v>
      </c>
    </row>
    <row r="717" spans="1:15" hidden="1">
      <c r="A717" t="s">
        <v>75</v>
      </c>
      <c r="B717" t="s">
        <v>43</v>
      </c>
      <c r="C717">
        <v>0.83</v>
      </c>
      <c r="D717">
        <v>2.37</v>
      </c>
      <c r="E717" s="27">
        <v>35.020000000000003</v>
      </c>
      <c r="F717">
        <v>4.41</v>
      </c>
      <c r="G717">
        <v>2.59</v>
      </c>
      <c r="H717">
        <v>7</v>
      </c>
      <c r="I717">
        <v>63</v>
      </c>
      <c r="J717">
        <v>11.86</v>
      </c>
      <c r="K717" s="9">
        <v>45309</v>
      </c>
      <c r="L717">
        <f xml:space="preserve"> (交易處理資料__3[[#This Row],[售出工時]] * 60) / 5</f>
        <v>9.9599999999999991</v>
      </c>
      <c r="M717" t="str">
        <f>VLOOKUP(交易處理資料__3[[#This Row],[人員代號]],團隊分組!$B$1:$C$52,2,FALSE)</f>
        <v>查修團隊B</v>
      </c>
      <c r="N717">
        <f>IF(交易處理資料__3[[#This Row],[上班時間]]=0,0,交易處理資料__3[[#This Row],[售出工時]]/交易處理資料__3[[#This Row],[上班時間]])</f>
        <v>0.11857142857142856</v>
      </c>
      <c r="O717" s="31" t="str">
        <f>IF(交易處理資料__3[[#This Row],[上班時間]]=0,"否","是")</f>
        <v>是</v>
      </c>
    </row>
    <row r="718" spans="1:15" hidden="1">
      <c r="A718" t="s">
        <v>75</v>
      </c>
      <c r="B718" t="s">
        <v>45</v>
      </c>
      <c r="C718">
        <v>13.43</v>
      </c>
      <c r="D718">
        <v>10.02</v>
      </c>
      <c r="E718" s="27">
        <v>134.09</v>
      </c>
      <c r="F718">
        <v>10.3</v>
      </c>
      <c r="G718">
        <v>0.02</v>
      </c>
      <c r="H718">
        <v>10.32</v>
      </c>
      <c r="I718">
        <v>99.81</v>
      </c>
      <c r="J718">
        <v>130.19999999999999</v>
      </c>
      <c r="K718" s="9">
        <v>45309</v>
      </c>
      <c r="L718">
        <f xml:space="preserve"> (交易處理資料__3[[#This Row],[售出工時]] * 60) / 5</f>
        <v>161.16</v>
      </c>
      <c r="M718" t="str">
        <f>VLOOKUP(交易處理資料__3[[#This Row],[人員代號]],團隊分組!$B$1:$C$52,2,FALSE)</f>
        <v>快速保養團隊A</v>
      </c>
      <c r="N718">
        <f>IF(交易處理資料__3[[#This Row],[上班時間]]=0,0,交易處理資料__3[[#This Row],[售出工時]]/交易處理資料__3[[#This Row],[上班時間]])</f>
        <v>1.3013565891472867</v>
      </c>
      <c r="O718" s="31" t="str">
        <f>IF(交易處理資料__3[[#This Row],[上班時間]]=0,"否","是")</f>
        <v>是</v>
      </c>
    </row>
    <row r="719" spans="1:15" hidden="1">
      <c r="A719" t="s">
        <v>75</v>
      </c>
      <c r="B719" t="s">
        <v>46</v>
      </c>
      <c r="C719">
        <v>4.83</v>
      </c>
      <c r="D719">
        <v>3.97</v>
      </c>
      <c r="E719" s="27">
        <v>121.74</v>
      </c>
      <c r="F719">
        <v>6.83</v>
      </c>
      <c r="G719">
        <v>2.2599999999999998</v>
      </c>
      <c r="H719">
        <v>9.09</v>
      </c>
      <c r="I719">
        <v>75.14</v>
      </c>
      <c r="J719">
        <v>53.17</v>
      </c>
      <c r="K719" s="9">
        <v>45309</v>
      </c>
      <c r="L719">
        <f xml:space="preserve"> (交易處理資料__3[[#This Row],[售出工時]] * 60) / 5</f>
        <v>57.96</v>
      </c>
      <c r="M719" t="str">
        <f>VLOOKUP(交易處理資料__3[[#This Row],[人員代號]],團隊分組!$B$1:$C$52,2,FALSE)</f>
        <v>查修團隊B</v>
      </c>
      <c r="N719">
        <f>IF(交易處理資料__3[[#This Row],[上班時間]]=0,0,交易處理資料__3[[#This Row],[售出工時]]/交易處理資料__3[[#This Row],[上班時間]])</f>
        <v>0.53135313531353134</v>
      </c>
      <c r="O719" s="31" t="str">
        <f>IF(交易處理資料__3[[#This Row],[上班時間]]=0,"否","是")</f>
        <v>是</v>
      </c>
    </row>
    <row r="720" spans="1:15" hidden="1">
      <c r="A720" t="s">
        <v>75</v>
      </c>
      <c r="B720" t="s">
        <v>47</v>
      </c>
      <c r="C720">
        <v>3.33</v>
      </c>
      <c r="D720">
        <v>4.1900000000000004</v>
      </c>
      <c r="E720" s="27">
        <v>79.55</v>
      </c>
      <c r="F720">
        <v>5.99</v>
      </c>
      <c r="G720">
        <v>3.04</v>
      </c>
      <c r="H720">
        <v>9.0299999999999994</v>
      </c>
      <c r="I720">
        <v>66.33</v>
      </c>
      <c r="J720">
        <v>36.909999999999997</v>
      </c>
      <c r="K720" s="9">
        <v>45309</v>
      </c>
      <c r="L720">
        <f xml:space="preserve"> (交易處理資料__3[[#This Row],[售出工時]] * 60) / 5</f>
        <v>39.96</v>
      </c>
      <c r="M720" t="str">
        <f>VLOOKUP(交易處理資料__3[[#This Row],[人員代號]],團隊分組!$B$1:$C$52,2,FALSE)</f>
        <v>查修團隊B</v>
      </c>
      <c r="N720">
        <f>IF(交易處理資料__3[[#This Row],[上班時間]]=0,0,交易處理資料__3[[#This Row],[售出工時]]/交易處理資料__3[[#This Row],[上班時間]])</f>
        <v>0.36877076411960136</v>
      </c>
      <c r="O720" s="31" t="str">
        <f>IF(交易處理資料__3[[#This Row],[上班時間]]=0,"否","是")</f>
        <v>是</v>
      </c>
    </row>
    <row r="721" spans="1:15" hidden="1">
      <c r="A721" t="s">
        <v>75</v>
      </c>
      <c r="B721" t="s">
        <v>49</v>
      </c>
      <c r="C721">
        <v>0.91</v>
      </c>
      <c r="D721">
        <v>0.95</v>
      </c>
      <c r="E721" s="27">
        <v>95.78</v>
      </c>
      <c r="F721">
        <v>8.76</v>
      </c>
      <c r="G721">
        <v>0.37</v>
      </c>
      <c r="H721">
        <v>9.1300000000000008</v>
      </c>
      <c r="I721">
        <v>95.95</v>
      </c>
      <c r="J721">
        <v>9.9700000000000006</v>
      </c>
      <c r="K721" s="9">
        <v>45309</v>
      </c>
      <c r="L721">
        <f xml:space="preserve"> (交易處理資料__3[[#This Row],[售出工時]] * 60) / 5</f>
        <v>10.92</v>
      </c>
      <c r="M721" t="str">
        <f>VLOOKUP(交易處理資料__3[[#This Row],[人員代號]],團隊分組!$B$1:$C$52,2,FALSE)</f>
        <v>查修團隊A</v>
      </c>
      <c r="N721">
        <f>IF(交易處理資料__3[[#This Row],[上班時間]]=0,0,交易處理資料__3[[#This Row],[售出工時]]/交易處理資料__3[[#This Row],[上班時間]])</f>
        <v>9.9671412924424968E-2</v>
      </c>
      <c r="O721" s="31" t="str">
        <f>IF(交易處理資料__3[[#This Row],[上班時間]]=0,"否","是")</f>
        <v>是</v>
      </c>
    </row>
    <row r="722" spans="1:15" hidden="1">
      <c r="A722" t="s">
        <v>75</v>
      </c>
      <c r="B722" t="s">
        <v>50</v>
      </c>
      <c r="C722">
        <v>13.66</v>
      </c>
      <c r="D722">
        <v>6.72</v>
      </c>
      <c r="E722" s="27">
        <v>203.37</v>
      </c>
      <c r="F722">
        <v>9.8000000000000007</v>
      </c>
      <c r="G722">
        <v>0.22</v>
      </c>
      <c r="H722">
        <v>10.02</v>
      </c>
      <c r="I722">
        <v>97.8</v>
      </c>
      <c r="J722">
        <v>136.38999999999999</v>
      </c>
      <c r="K722" s="9">
        <v>45309</v>
      </c>
      <c r="L722">
        <f xml:space="preserve"> (交易處理資料__3[[#This Row],[售出工時]] * 60) / 5</f>
        <v>163.92000000000002</v>
      </c>
      <c r="M722" t="str">
        <f>VLOOKUP(交易處理資料__3[[#This Row],[人員代號]],團隊分組!$B$1:$C$52,2,FALSE)</f>
        <v>快速保養團隊B</v>
      </c>
      <c r="N722">
        <f>IF(交易處理資料__3[[#This Row],[上班時間]]=0,0,交易處理資料__3[[#This Row],[售出工時]]/交易處理資料__3[[#This Row],[上班時間]])</f>
        <v>1.3632734530938124</v>
      </c>
      <c r="O722" s="31" t="str">
        <f>IF(交易處理資料__3[[#This Row],[上班時間]]=0,"否","是")</f>
        <v>是</v>
      </c>
    </row>
    <row r="723" spans="1:15" hidden="1">
      <c r="A723" t="s">
        <v>75</v>
      </c>
      <c r="B723" t="s">
        <v>51</v>
      </c>
      <c r="C723">
        <v>0</v>
      </c>
      <c r="D723">
        <v>0</v>
      </c>
      <c r="E723" s="27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 s="9">
        <v>45309</v>
      </c>
      <c r="L723">
        <f xml:space="preserve"> (交易處理資料__3[[#This Row],[售出工時]] * 60) / 5</f>
        <v>0</v>
      </c>
      <c r="M723" t="str">
        <f>VLOOKUP(交易處理資料__3[[#This Row],[人員代號]],團隊分組!$B$1:$C$52,2,FALSE)</f>
        <v>無效數據</v>
      </c>
      <c r="N723">
        <f>IF(交易處理資料__3[[#This Row],[上班時間]]=0,0,交易處理資料__3[[#This Row],[售出工時]]/交易處理資料__3[[#This Row],[上班時間]])</f>
        <v>0</v>
      </c>
      <c r="O723" s="31" t="str">
        <f>IF(交易處理資料__3[[#This Row],[上班時間]]=0,"否","是")</f>
        <v>否</v>
      </c>
    </row>
    <row r="724" spans="1:15" hidden="1">
      <c r="A724" t="s">
        <v>75</v>
      </c>
      <c r="B724" t="s">
        <v>52</v>
      </c>
      <c r="C724">
        <v>3.83</v>
      </c>
      <c r="D724">
        <v>6.7</v>
      </c>
      <c r="E724" s="27">
        <v>57.21</v>
      </c>
      <c r="F724">
        <v>7.72</v>
      </c>
      <c r="G724">
        <v>1.26</v>
      </c>
      <c r="H724">
        <v>8.98</v>
      </c>
      <c r="I724">
        <v>85.97</v>
      </c>
      <c r="J724">
        <v>42.69</v>
      </c>
      <c r="K724" s="9">
        <v>45309</v>
      </c>
      <c r="L724">
        <f xml:space="preserve"> (交易處理資料__3[[#This Row],[售出工時]] * 60) / 5</f>
        <v>45.96</v>
      </c>
      <c r="M724" t="str">
        <f>VLOOKUP(交易處理資料__3[[#This Row],[人員代號]],團隊分組!$B$1:$C$52,2,FALSE)</f>
        <v>查修團隊B</v>
      </c>
      <c r="N724">
        <f>IF(交易處理資料__3[[#This Row],[上班時間]]=0,0,交易處理資料__3[[#This Row],[售出工時]]/交易處理資料__3[[#This Row],[上班時間]])</f>
        <v>0.42650334075723828</v>
      </c>
      <c r="O724" s="31" t="str">
        <f>IF(交易處理資料__3[[#This Row],[上班時間]]=0,"否","是")</f>
        <v>是</v>
      </c>
    </row>
    <row r="725" spans="1:15" hidden="1">
      <c r="A725" s="10" t="s">
        <v>73</v>
      </c>
      <c r="B725" t="s">
        <v>1</v>
      </c>
      <c r="C725">
        <v>4.5</v>
      </c>
      <c r="D725">
        <v>7.04</v>
      </c>
      <c r="E725" s="27">
        <v>63.92</v>
      </c>
      <c r="F725">
        <v>5.03</v>
      </c>
      <c r="G725">
        <v>3.02</v>
      </c>
      <c r="H725">
        <v>8.0500000000000007</v>
      </c>
      <c r="I725">
        <v>62.48</v>
      </c>
      <c r="J725">
        <v>55.9</v>
      </c>
      <c r="K725" s="9">
        <v>45310</v>
      </c>
      <c r="L725">
        <f xml:space="preserve"> (交易處理資料__3[[#This Row],[售出工時]] * 60) / 5</f>
        <v>54</v>
      </c>
      <c r="M725" t="str">
        <f>VLOOKUP(交易處理資料__3[[#This Row],[人員代號]],團隊分組!$B$1:$C$52,2,FALSE)</f>
        <v>噴漆維修組</v>
      </c>
      <c r="N725">
        <f>IF(交易處理資料__3[[#This Row],[上班時間]]=0,0,交易處理資料__3[[#This Row],[售出工時]]/交易處理資料__3[[#This Row],[上班時間]])</f>
        <v>0.55900621118012417</v>
      </c>
      <c r="O725" s="31" t="str">
        <f>IF(交易處理資料__3[[#This Row],[上班時間]]=0,"否","是")</f>
        <v>是</v>
      </c>
    </row>
    <row r="726" spans="1:15" hidden="1">
      <c r="A726" s="10" t="s">
        <v>73</v>
      </c>
      <c r="B726" t="s">
        <v>4</v>
      </c>
      <c r="C726">
        <v>1.32</v>
      </c>
      <c r="D726">
        <v>3.8</v>
      </c>
      <c r="E726" s="27">
        <v>34.729999999999997</v>
      </c>
      <c r="F726">
        <v>3.55</v>
      </c>
      <c r="G726">
        <v>4.5999999999999996</v>
      </c>
      <c r="H726">
        <v>8.15</v>
      </c>
      <c r="I726">
        <v>43.56</v>
      </c>
      <c r="J726">
        <v>16.2</v>
      </c>
      <c r="K726" s="9">
        <v>45310</v>
      </c>
      <c r="L726">
        <f xml:space="preserve"> (交易處理資料__3[[#This Row],[售出工時]] * 60) / 5</f>
        <v>15.84</v>
      </c>
      <c r="M726" t="str">
        <f>VLOOKUP(交易處理資料__3[[#This Row],[人員代號]],團隊分組!$B$1:$C$52,2,FALSE)</f>
        <v>噴漆維修組</v>
      </c>
      <c r="N726">
        <f>IF(交易處理資料__3[[#This Row],[上班時間]]=0,0,交易處理資料__3[[#This Row],[售出工時]]/交易處理資料__3[[#This Row],[上班時間]])</f>
        <v>0.16196319018404909</v>
      </c>
      <c r="O726" s="31" t="str">
        <f>IF(交易處理資料__3[[#This Row],[上班時間]]=0,"否","是")</f>
        <v>是</v>
      </c>
    </row>
    <row r="727" spans="1:15" hidden="1">
      <c r="A727" s="10" t="s">
        <v>73</v>
      </c>
      <c r="B727" t="s">
        <v>5</v>
      </c>
      <c r="C727">
        <v>4.08</v>
      </c>
      <c r="D727">
        <v>5</v>
      </c>
      <c r="E727" s="27">
        <v>81.599999999999994</v>
      </c>
      <c r="F727">
        <v>6.43</v>
      </c>
      <c r="G727">
        <v>1.67</v>
      </c>
      <c r="H727">
        <v>8.1</v>
      </c>
      <c r="I727">
        <v>79.38</v>
      </c>
      <c r="J727">
        <v>50.37</v>
      </c>
      <c r="K727" s="9">
        <v>45310</v>
      </c>
      <c r="L727">
        <f xml:space="preserve"> (交易處理資料__3[[#This Row],[售出工時]] * 60) / 5</f>
        <v>48.96</v>
      </c>
      <c r="M727" t="str">
        <f>VLOOKUP(交易處理資料__3[[#This Row],[人員代號]],團隊分組!$B$1:$C$52,2,FALSE)</f>
        <v>噴漆維修組</v>
      </c>
      <c r="N727">
        <f>IF(交易處理資料__3[[#This Row],[上班時間]]=0,0,交易處理資料__3[[#This Row],[售出工時]]/交易處理資料__3[[#This Row],[上班時間]])</f>
        <v>0.50370370370370376</v>
      </c>
      <c r="O727" s="31" t="str">
        <f>IF(交易處理資料__3[[#This Row],[上班時間]]=0,"否","是")</f>
        <v>是</v>
      </c>
    </row>
    <row r="728" spans="1:15" hidden="1">
      <c r="A728" s="10" t="s">
        <v>73</v>
      </c>
      <c r="B728" t="s">
        <v>7</v>
      </c>
      <c r="C728">
        <v>4.08</v>
      </c>
      <c r="D728">
        <v>5</v>
      </c>
      <c r="E728" s="27">
        <v>81.599999999999994</v>
      </c>
      <c r="F728">
        <v>6.43</v>
      </c>
      <c r="G728">
        <v>1.68</v>
      </c>
      <c r="H728">
        <v>8.11</v>
      </c>
      <c r="I728">
        <v>79.28</v>
      </c>
      <c r="J728">
        <v>50.31</v>
      </c>
      <c r="K728" s="9">
        <v>45310</v>
      </c>
      <c r="L728">
        <f xml:space="preserve"> (交易處理資料__3[[#This Row],[售出工時]] * 60) / 5</f>
        <v>48.96</v>
      </c>
      <c r="M728" t="str">
        <f>VLOOKUP(交易處理資料__3[[#This Row],[人員代號]],團隊分組!$B$1:$C$52,2,FALSE)</f>
        <v>噴漆維修組</v>
      </c>
      <c r="N728">
        <f>IF(交易處理資料__3[[#This Row],[上班時間]]=0,0,交易處理資料__3[[#This Row],[售出工時]]/交易處理資料__3[[#This Row],[上班時間]])</f>
        <v>0.50308261405672017</v>
      </c>
      <c r="O728" s="31" t="str">
        <f>IF(交易處理資料__3[[#This Row],[上班時間]]=0,"否","是")</f>
        <v>是</v>
      </c>
    </row>
    <row r="729" spans="1:15" hidden="1">
      <c r="A729" s="10" t="s">
        <v>73</v>
      </c>
      <c r="B729" t="s">
        <v>9</v>
      </c>
      <c r="C729">
        <v>4.58</v>
      </c>
      <c r="D729">
        <v>7.14</v>
      </c>
      <c r="E729" s="27">
        <v>64.19</v>
      </c>
      <c r="F729">
        <v>6.95</v>
      </c>
      <c r="G729">
        <v>1.1000000000000001</v>
      </c>
      <c r="H729">
        <v>8.0500000000000007</v>
      </c>
      <c r="I729">
        <v>86.34</v>
      </c>
      <c r="J729">
        <v>56.94</v>
      </c>
      <c r="K729" s="9">
        <v>45310</v>
      </c>
      <c r="L729">
        <f xml:space="preserve"> (交易處理資料__3[[#This Row],[售出工時]] * 60) / 5</f>
        <v>54.96</v>
      </c>
      <c r="M729" t="str">
        <f>VLOOKUP(交易處理資料__3[[#This Row],[人員代號]],團隊分組!$B$1:$C$52,2,FALSE)</f>
        <v>噴漆維修組</v>
      </c>
      <c r="N729">
        <f>IF(交易處理資料__3[[#This Row],[上班時間]]=0,0,交易處理資料__3[[#This Row],[售出工時]]/交易處理資料__3[[#This Row],[上班時間]])</f>
        <v>0.56894409937888191</v>
      </c>
      <c r="O729" s="31" t="str">
        <f>IF(交易處理資料__3[[#This Row],[上班時間]]=0,"否","是")</f>
        <v>是</v>
      </c>
    </row>
    <row r="730" spans="1:15" hidden="1">
      <c r="A730" t="s">
        <v>74</v>
      </c>
      <c r="B730" t="s">
        <v>11</v>
      </c>
      <c r="C730">
        <v>0</v>
      </c>
      <c r="D730">
        <v>0</v>
      </c>
      <c r="E730" s="27">
        <v>0</v>
      </c>
      <c r="F730">
        <v>6.22</v>
      </c>
      <c r="G730">
        <v>1.83</v>
      </c>
      <c r="H730">
        <v>8.0500000000000007</v>
      </c>
      <c r="I730">
        <v>77.27</v>
      </c>
      <c r="J730">
        <v>0</v>
      </c>
      <c r="K730" s="9">
        <v>45310</v>
      </c>
      <c r="L730">
        <f xml:space="preserve"> (交易處理資料__3[[#This Row],[售出工時]] * 60) / 5</f>
        <v>0</v>
      </c>
      <c r="M730" t="str">
        <f>VLOOKUP(交易處理資料__3[[#This Row],[人員代號]],團隊分組!$B$1:$C$52,2,FALSE)</f>
        <v>鈑金維修組</v>
      </c>
      <c r="N730">
        <f>IF(交易處理資料__3[[#This Row],[上班時間]]=0,0,交易處理資料__3[[#This Row],[售出工時]]/交易處理資料__3[[#This Row],[上班時間]])</f>
        <v>0</v>
      </c>
      <c r="O730" s="31" t="str">
        <f>IF(交易處理資料__3[[#This Row],[上班時間]]=0,"否","是")</f>
        <v>是</v>
      </c>
    </row>
    <row r="731" spans="1:15" hidden="1">
      <c r="A731" t="s">
        <v>74</v>
      </c>
      <c r="B731" t="s">
        <v>12</v>
      </c>
      <c r="C731">
        <v>4.25</v>
      </c>
      <c r="D731">
        <v>3.58</v>
      </c>
      <c r="E731" s="27">
        <v>118.71</v>
      </c>
      <c r="F731">
        <v>6.75</v>
      </c>
      <c r="G731">
        <v>1.28</v>
      </c>
      <c r="H731">
        <v>8.0299999999999994</v>
      </c>
      <c r="I731">
        <v>84.06</v>
      </c>
      <c r="J731">
        <v>52.93</v>
      </c>
      <c r="K731" s="9">
        <v>45310</v>
      </c>
      <c r="L731">
        <f xml:space="preserve"> (交易處理資料__3[[#This Row],[售出工時]] * 60) / 5</f>
        <v>51</v>
      </c>
      <c r="M731" t="str">
        <f>VLOOKUP(交易處理資料__3[[#This Row],[人員代號]],團隊分組!$B$1:$C$52,2,FALSE)</f>
        <v>鈑金維修組</v>
      </c>
      <c r="N731">
        <f>IF(交易處理資料__3[[#This Row],[上班時間]]=0,0,交易處理資料__3[[#This Row],[售出工時]]/交易處理資料__3[[#This Row],[上班時間]])</f>
        <v>0.52926525529265256</v>
      </c>
      <c r="O731" s="31" t="str">
        <f>IF(交易處理資料__3[[#This Row],[上班時間]]=0,"否","是")</f>
        <v>是</v>
      </c>
    </row>
    <row r="732" spans="1:15" hidden="1">
      <c r="A732" t="s">
        <v>74</v>
      </c>
      <c r="B732" t="s">
        <v>14</v>
      </c>
      <c r="C732">
        <v>3.52</v>
      </c>
      <c r="D732">
        <v>2.77</v>
      </c>
      <c r="E732" s="27">
        <v>127.07</v>
      </c>
      <c r="F732">
        <v>5.92</v>
      </c>
      <c r="G732">
        <v>2.13</v>
      </c>
      <c r="H732">
        <v>8.0500000000000007</v>
      </c>
      <c r="I732">
        <v>73.540000000000006</v>
      </c>
      <c r="J732">
        <v>43.73</v>
      </c>
      <c r="K732" s="9">
        <v>45310</v>
      </c>
      <c r="L732">
        <f xml:space="preserve"> (交易處理資料__3[[#This Row],[售出工時]] * 60) / 5</f>
        <v>42.239999999999995</v>
      </c>
      <c r="M732" t="str">
        <f>VLOOKUP(交易處理資料__3[[#This Row],[人員代號]],團隊分組!$B$1:$C$52,2,FALSE)</f>
        <v>鈑金維修組</v>
      </c>
      <c r="N732">
        <f>IF(交易處理資料__3[[#This Row],[上班時間]]=0,0,交易處理資料__3[[#This Row],[售出工時]]/交易處理資料__3[[#This Row],[上班時間]])</f>
        <v>0.4372670807453416</v>
      </c>
      <c r="O732" s="31" t="str">
        <f>IF(交易處理資料__3[[#This Row],[上班時間]]=0,"否","是")</f>
        <v>是</v>
      </c>
    </row>
    <row r="733" spans="1:15" hidden="1">
      <c r="A733" t="s">
        <v>74</v>
      </c>
      <c r="B733" t="s">
        <v>15</v>
      </c>
      <c r="C733">
        <v>3.15</v>
      </c>
      <c r="D733">
        <v>2.5</v>
      </c>
      <c r="E733" s="27">
        <v>126</v>
      </c>
      <c r="F733">
        <v>5.92</v>
      </c>
      <c r="G733">
        <v>2.13</v>
      </c>
      <c r="H733">
        <v>8.0500000000000007</v>
      </c>
      <c r="I733">
        <v>73.540000000000006</v>
      </c>
      <c r="J733">
        <v>39.130000000000003</v>
      </c>
      <c r="K733" s="9">
        <v>45310</v>
      </c>
      <c r="L733">
        <f xml:space="preserve"> (交易處理資料__3[[#This Row],[售出工時]] * 60) / 5</f>
        <v>37.799999999999997</v>
      </c>
      <c r="M733" t="str">
        <f>VLOOKUP(交易處理資料__3[[#This Row],[人員代號]],團隊分組!$B$1:$C$52,2,FALSE)</f>
        <v>鈑金維修組</v>
      </c>
      <c r="N733">
        <f>IF(交易處理資料__3[[#This Row],[上班時間]]=0,0,交易處理資料__3[[#This Row],[售出工時]]/交易處理資料__3[[#This Row],[上班時間]])</f>
        <v>0.39130434782608692</v>
      </c>
      <c r="O733" s="31" t="str">
        <f>IF(交易處理資料__3[[#This Row],[上班時間]]=0,"否","是")</f>
        <v>是</v>
      </c>
    </row>
    <row r="734" spans="1:15" hidden="1">
      <c r="A734" t="s">
        <v>75</v>
      </c>
      <c r="B734" t="s">
        <v>17</v>
      </c>
      <c r="C734">
        <v>10.33</v>
      </c>
      <c r="D734">
        <v>5.55</v>
      </c>
      <c r="E734" s="27">
        <v>186.12</v>
      </c>
      <c r="F734">
        <v>6.97</v>
      </c>
      <c r="G734">
        <v>1.2</v>
      </c>
      <c r="H734">
        <v>8.17</v>
      </c>
      <c r="I734">
        <v>85.31</v>
      </c>
      <c r="J734">
        <v>126.44</v>
      </c>
      <c r="K734" s="9">
        <v>45310</v>
      </c>
      <c r="L734">
        <f xml:space="preserve"> (交易處理資料__3[[#This Row],[售出工時]] * 60) / 5</f>
        <v>123.96</v>
      </c>
      <c r="M734" t="str">
        <f>VLOOKUP(交易處理資料__3[[#This Row],[人員代號]],團隊分組!$B$1:$C$52,2,FALSE)</f>
        <v>快速保養團隊A</v>
      </c>
      <c r="N734">
        <f>IF(交易處理資料__3[[#This Row],[上班時間]]=0,0,交易處理資料__3[[#This Row],[售出工時]]/交易處理資料__3[[#This Row],[上班時間]])</f>
        <v>1.2643818849449204</v>
      </c>
      <c r="O734" s="31" t="str">
        <f>IF(交易處理資料__3[[#This Row],[上班時間]]=0,"否","是")</f>
        <v>是</v>
      </c>
    </row>
    <row r="735" spans="1:15" hidden="1">
      <c r="A735" t="s">
        <v>75</v>
      </c>
      <c r="B735" t="s">
        <v>20</v>
      </c>
      <c r="C735">
        <v>2.69</v>
      </c>
      <c r="D735">
        <v>6.45</v>
      </c>
      <c r="E735" s="27">
        <v>41.75</v>
      </c>
      <c r="F735">
        <v>4.5</v>
      </c>
      <c r="G735">
        <v>3.67</v>
      </c>
      <c r="H735">
        <v>8.17</v>
      </c>
      <c r="I735">
        <v>55.08</v>
      </c>
      <c r="J735">
        <v>32.97</v>
      </c>
      <c r="K735" s="9">
        <v>45310</v>
      </c>
      <c r="L735">
        <f xml:space="preserve"> (交易處理資料__3[[#This Row],[售出工時]] * 60) / 5</f>
        <v>32.28</v>
      </c>
      <c r="M735" t="str">
        <f>VLOOKUP(交易處理資料__3[[#This Row],[人員代號]],團隊分組!$B$1:$C$52,2,FALSE)</f>
        <v>查修團隊B</v>
      </c>
      <c r="N735">
        <f>IF(交易處理資料__3[[#This Row],[上班時間]]=0,0,交易處理資料__3[[#This Row],[售出工時]]/交易處理資料__3[[#This Row],[上班時間]])</f>
        <v>0.3292533659730722</v>
      </c>
      <c r="O735" s="31" t="str">
        <f>IF(交易處理資料__3[[#This Row],[上班時間]]=0,"否","是")</f>
        <v>是</v>
      </c>
    </row>
    <row r="736" spans="1:15" hidden="1">
      <c r="A736" t="s">
        <v>75</v>
      </c>
      <c r="B736" t="s">
        <v>21</v>
      </c>
      <c r="C736">
        <v>7.25</v>
      </c>
      <c r="D736">
        <v>7.43</v>
      </c>
      <c r="E736" s="27">
        <v>97.57</v>
      </c>
      <c r="F736">
        <v>6.47</v>
      </c>
      <c r="G736">
        <v>1.68</v>
      </c>
      <c r="H736">
        <v>8.15</v>
      </c>
      <c r="I736">
        <v>79.39</v>
      </c>
      <c r="J736">
        <v>88.96</v>
      </c>
      <c r="K736" s="9">
        <v>45310</v>
      </c>
      <c r="L736">
        <f xml:space="preserve"> (交易處理資料__3[[#This Row],[售出工時]] * 60) / 5</f>
        <v>87</v>
      </c>
      <c r="M736" t="str">
        <f>VLOOKUP(交易處理資料__3[[#This Row],[人員代號]],團隊分組!$B$1:$C$52,2,FALSE)</f>
        <v>查修團隊B</v>
      </c>
      <c r="N736">
        <f>IF(交易處理資料__3[[#This Row],[上班時間]]=0,0,交易處理資料__3[[#This Row],[售出工時]]/交易處理資料__3[[#This Row],[上班時間]])</f>
        <v>0.88957055214723924</v>
      </c>
      <c r="O736" s="31" t="str">
        <f>IF(交易處理資料__3[[#This Row],[上班時間]]=0,"否","是")</f>
        <v>是</v>
      </c>
    </row>
    <row r="737" spans="1:15" hidden="1">
      <c r="A737" t="s">
        <v>75</v>
      </c>
      <c r="B737" t="s">
        <v>22</v>
      </c>
      <c r="C737">
        <v>0</v>
      </c>
      <c r="D737">
        <v>0</v>
      </c>
      <c r="E737" s="2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 s="9">
        <v>45310</v>
      </c>
      <c r="L737">
        <f xml:space="preserve"> (交易處理資料__3[[#This Row],[售出工時]] * 60) / 5</f>
        <v>0</v>
      </c>
      <c r="M737" t="str">
        <f>VLOOKUP(交易處理資料__3[[#This Row],[人員代號]],團隊分組!$B$1:$C$52,2,FALSE)</f>
        <v>快速保養團隊A</v>
      </c>
      <c r="N737">
        <f>IF(交易處理資料__3[[#This Row],[上班時間]]=0,0,交易處理資料__3[[#This Row],[售出工時]]/交易處理資料__3[[#This Row],[上班時間]])</f>
        <v>0</v>
      </c>
      <c r="O737" s="31" t="str">
        <f>IF(交易處理資料__3[[#This Row],[上班時間]]=0,"否","是")</f>
        <v>否</v>
      </c>
    </row>
    <row r="738" spans="1:15" hidden="1">
      <c r="A738" t="s">
        <v>75</v>
      </c>
      <c r="B738" t="s">
        <v>25</v>
      </c>
      <c r="C738">
        <v>3.33</v>
      </c>
      <c r="D738">
        <v>5.6</v>
      </c>
      <c r="E738" s="27">
        <v>59.52</v>
      </c>
      <c r="F738">
        <v>5.87</v>
      </c>
      <c r="G738">
        <v>2.4900000000000002</v>
      </c>
      <c r="H738">
        <v>8.36</v>
      </c>
      <c r="I738">
        <v>70.22</v>
      </c>
      <c r="J738">
        <v>39.869999999999997</v>
      </c>
      <c r="K738" s="9">
        <v>45310</v>
      </c>
      <c r="L738">
        <f xml:space="preserve"> (交易處理資料__3[[#This Row],[售出工時]] * 60) / 5</f>
        <v>39.96</v>
      </c>
      <c r="M738" t="str">
        <f>VLOOKUP(交易處理資料__3[[#This Row],[人員代號]],團隊分組!$B$1:$C$52,2,FALSE)</f>
        <v>查修團隊A</v>
      </c>
      <c r="N738">
        <f>IF(交易處理資料__3[[#This Row],[上班時間]]=0,0,交易處理資料__3[[#This Row],[售出工時]]/交易處理資料__3[[#This Row],[上班時間]])</f>
        <v>0.39832535885167469</v>
      </c>
      <c r="O738" s="31" t="str">
        <f>IF(交易處理資料__3[[#This Row],[上班時間]]=0,"否","是")</f>
        <v>是</v>
      </c>
    </row>
    <row r="739" spans="1:15" hidden="1">
      <c r="A739" t="s">
        <v>75</v>
      </c>
      <c r="B739" t="s">
        <v>26</v>
      </c>
      <c r="C739">
        <v>1</v>
      </c>
      <c r="D739">
        <v>1.27</v>
      </c>
      <c r="E739" s="27">
        <v>78.739999999999995</v>
      </c>
      <c r="F739">
        <v>3.19</v>
      </c>
      <c r="G739">
        <v>4.9800000000000004</v>
      </c>
      <c r="H739">
        <v>8.17</v>
      </c>
      <c r="I739">
        <v>39.049999999999997</v>
      </c>
      <c r="J739">
        <v>12.24</v>
      </c>
      <c r="K739" s="9">
        <v>45310</v>
      </c>
      <c r="L739">
        <f xml:space="preserve"> (交易處理資料__3[[#This Row],[售出工時]] * 60) / 5</f>
        <v>12</v>
      </c>
      <c r="M739" t="str">
        <f>VLOOKUP(交易處理資料__3[[#This Row],[人員代號]],團隊分組!$B$1:$C$52,2,FALSE)</f>
        <v>查修團隊B</v>
      </c>
      <c r="N739">
        <f>IF(交易處理資料__3[[#This Row],[上班時間]]=0,0,交易處理資料__3[[#This Row],[售出工時]]/交易處理資料__3[[#This Row],[上班時間]])</f>
        <v>0.12239902080783353</v>
      </c>
      <c r="O739" s="31" t="str">
        <f>IF(交易處理資料__3[[#This Row],[上班時間]]=0,"否","是")</f>
        <v>是</v>
      </c>
    </row>
    <row r="740" spans="1:15" hidden="1">
      <c r="A740" t="s">
        <v>75</v>
      </c>
      <c r="B740" t="s">
        <v>29</v>
      </c>
      <c r="C740">
        <v>1</v>
      </c>
      <c r="D740">
        <v>1.17</v>
      </c>
      <c r="E740" s="27">
        <v>85.47</v>
      </c>
      <c r="F740">
        <v>6.55</v>
      </c>
      <c r="G740">
        <v>1.61</v>
      </c>
      <c r="H740">
        <v>8.16</v>
      </c>
      <c r="I740">
        <v>80.27</v>
      </c>
      <c r="J740">
        <v>12.25</v>
      </c>
      <c r="K740" s="9">
        <v>45310</v>
      </c>
      <c r="L740">
        <f xml:space="preserve"> (交易處理資料__3[[#This Row],[售出工時]] * 60) / 5</f>
        <v>12</v>
      </c>
      <c r="M740" t="str">
        <f>VLOOKUP(交易處理資料__3[[#This Row],[人員代號]],團隊分組!$B$1:$C$52,2,FALSE)</f>
        <v>查修團隊B</v>
      </c>
      <c r="N740">
        <f>IF(交易處理資料__3[[#This Row],[上班時間]]=0,0,交易處理資料__3[[#This Row],[售出工時]]/交易處理資料__3[[#This Row],[上班時間]])</f>
        <v>0.12254901960784313</v>
      </c>
      <c r="O740" s="31" t="str">
        <f>IF(交易處理資料__3[[#This Row],[上班時間]]=0,"否","是")</f>
        <v>是</v>
      </c>
    </row>
    <row r="741" spans="1:15" hidden="1">
      <c r="A741" t="s">
        <v>75</v>
      </c>
      <c r="B741" t="s">
        <v>31</v>
      </c>
      <c r="C741">
        <v>0</v>
      </c>
      <c r="D741">
        <v>0</v>
      </c>
      <c r="E741" s="27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 s="9">
        <v>45310</v>
      </c>
      <c r="L741">
        <f xml:space="preserve"> (交易處理資料__3[[#This Row],[售出工時]] * 60) / 5</f>
        <v>0</v>
      </c>
      <c r="M741" t="str">
        <f>VLOOKUP(交易處理資料__3[[#This Row],[人員代號]],團隊分組!$B$1:$C$52,2,FALSE)</f>
        <v>快速保養團隊A</v>
      </c>
      <c r="N741">
        <f>IF(交易處理資料__3[[#This Row],[上班時間]]=0,0,交易處理資料__3[[#This Row],[售出工時]]/交易處理資料__3[[#This Row],[上班時間]])</f>
        <v>0</v>
      </c>
      <c r="O741" s="31" t="str">
        <f>IF(交易處理資料__3[[#This Row],[上班時間]]=0,"否","是")</f>
        <v>否</v>
      </c>
    </row>
    <row r="742" spans="1:15">
      <c r="A742" t="s">
        <v>75</v>
      </c>
      <c r="B742" t="s">
        <v>33</v>
      </c>
      <c r="C742">
        <v>0</v>
      </c>
      <c r="D742">
        <v>0</v>
      </c>
      <c r="E742" s="27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 s="9">
        <v>45310</v>
      </c>
      <c r="L742">
        <f xml:space="preserve"> (交易處理資料__3[[#This Row],[售出工時]] * 60) / 5</f>
        <v>0</v>
      </c>
      <c r="M742" t="str">
        <f>VLOOKUP(交易處理資料__3[[#This Row],[人員代號]],團隊分組!$B$1:$C$52,2,FALSE)</f>
        <v>快速保養團隊B</v>
      </c>
      <c r="N742">
        <f>IF(交易處理資料__3[[#This Row],[上班時間]]=0,0,交易處理資料__3[[#This Row],[售出工時]]/交易處理資料__3[[#This Row],[上班時間]])</f>
        <v>0</v>
      </c>
      <c r="O742" s="31" t="str">
        <f>IF(交易處理資料__3[[#This Row],[上班時間]]=0,"否","是")</f>
        <v>否</v>
      </c>
    </row>
    <row r="743" spans="1:15" hidden="1">
      <c r="A743" t="s">
        <v>75</v>
      </c>
      <c r="B743" t="s">
        <v>36</v>
      </c>
      <c r="C743">
        <v>0</v>
      </c>
      <c r="D743">
        <v>0</v>
      </c>
      <c r="E743" s="27">
        <v>0</v>
      </c>
      <c r="F743">
        <v>2.4500000000000002</v>
      </c>
      <c r="G743">
        <v>5.86</v>
      </c>
      <c r="H743">
        <v>8.31</v>
      </c>
      <c r="I743">
        <v>29.48</v>
      </c>
      <c r="J743">
        <v>0</v>
      </c>
      <c r="K743" s="9">
        <v>45310</v>
      </c>
      <c r="L743">
        <f xml:space="preserve"> (交易處理資料__3[[#This Row],[售出工時]] * 60) / 5</f>
        <v>0</v>
      </c>
      <c r="M743" t="str">
        <f>VLOOKUP(交易處理資料__3[[#This Row],[人員代號]],團隊分組!$B$1:$C$52,2,FALSE)</f>
        <v>查修團隊B</v>
      </c>
      <c r="N743">
        <f>IF(交易處理資料__3[[#This Row],[上班時間]]=0,0,交易處理資料__3[[#This Row],[售出工時]]/交易處理資料__3[[#This Row],[上班時間]])</f>
        <v>0</v>
      </c>
      <c r="O743" s="31" t="str">
        <f>IF(交易處理資料__3[[#This Row],[上班時間]]=0,"否","是")</f>
        <v>是</v>
      </c>
    </row>
    <row r="744" spans="1:15" hidden="1">
      <c r="A744" t="s">
        <v>75</v>
      </c>
      <c r="B744" t="s">
        <v>37</v>
      </c>
      <c r="C744">
        <v>4.74</v>
      </c>
      <c r="D744">
        <v>7.58</v>
      </c>
      <c r="E744" s="27">
        <v>62.53</v>
      </c>
      <c r="F744">
        <v>7.75</v>
      </c>
      <c r="G744">
        <v>2.17</v>
      </c>
      <c r="H744">
        <v>9.92</v>
      </c>
      <c r="I744">
        <v>78.13</v>
      </c>
      <c r="J744">
        <v>47.78</v>
      </c>
      <c r="K744" s="9">
        <v>45310</v>
      </c>
      <c r="L744">
        <f xml:space="preserve"> (交易處理資料__3[[#This Row],[售出工時]] * 60) / 5</f>
        <v>56.88000000000001</v>
      </c>
      <c r="M744" t="str">
        <f>VLOOKUP(交易處理資料__3[[#This Row],[人員代號]],團隊分組!$B$1:$C$52,2,FALSE)</f>
        <v>查修團隊A</v>
      </c>
      <c r="N744">
        <f>IF(交易處理資料__3[[#This Row],[上班時間]]=0,0,交易處理資料__3[[#This Row],[售出工時]]/交易處理資料__3[[#This Row],[上班時間]])</f>
        <v>0.47782258064516131</v>
      </c>
      <c r="O744" s="31" t="str">
        <f>IF(交易處理資料__3[[#This Row],[上班時間]]=0,"否","是")</f>
        <v>是</v>
      </c>
    </row>
    <row r="745" spans="1:15" hidden="1">
      <c r="A745" t="s">
        <v>75</v>
      </c>
      <c r="B745" t="s">
        <v>38</v>
      </c>
      <c r="C745">
        <v>23.15</v>
      </c>
      <c r="D745">
        <v>10.7</v>
      </c>
      <c r="E745" s="27">
        <v>216.35</v>
      </c>
      <c r="F745">
        <v>9.73</v>
      </c>
      <c r="G745">
        <v>1.51</v>
      </c>
      <c r="H745">
        <v>11.24</v>
      </c>
      <c r="I745">
        <v>86.57</v>
      </c>
      <c r="J745">
        <v>205.96</v>
      </c>
      <c r="K745" s="9">
        <v>45310</v>
      </c>
      <c r="L745">
        <f xml:space="preserve"> (交易處理資料__3[[#This Row],[售出工時]] * 60) / 5</f>
        <v>277.8</v>
      </c>
      <c r="M745" t="str">
        <f>VLOOKUP(交易處理資料__3[[#This Row],[人員代號]],團隊分組!$B$1:$C$52,2,FALSE)</f>
        <v>快速保養團隊A</v>
      </c>
      <c r="N745">
        <f>IF(交易處理資料__3[[#This Row],[上班時間]]=0,0,交易處理資料__3[[#This Row],[售出工時]]/交易處理資料__3[[#This Row],[上班時間]])</f>
        <v>2.0596085409252667</v>
      </c>
      <c r="O745" s="31" t="str">
        <f>IF(交易處理資料__3[[#This Row],[上班時間]]=0,"否","是")</f>
        <v>是</v>
      </c>
    </row>
    <row r="746" spans="1:15" hidden="1">
      <c r="A746" t="s">
        <v>75</v>
      </c>
      <c r="B746" t="s">
        <v>41</v>
      </c>
      <c r="C746">
        <v>14.41</v>
      </c>
      <c r="D746">
        <v>7.45</v>
      </c>
      <c r="E746" s="27">
        <v>193.51</v>
      </c>
      <c r="F746">
        <v>7.12</v>
      </c>
      <c r="G746">
        <v>1.01</v>
      </c>
      <c r="H746">
        <v>8.1300000000000008</v>
      </c>
      <c r="I746">
        <v>87.58</v>
      </c>
      <c r="J746">
        <v>177.33</v>
      </c>
      <c r="K746" s="9">
        <v>45310</v>
      </c>
      <c r="L746">
        <f xml:space="preserve"> (交易處理資料__3[[#This Row],[售出工時]] * 60) / 5</f>
        <v>172.92000000000002</v>
      </c>
      <c r="M746" t="str">
        <f>VLOOKUP(交易處理資料__3[[#This Row],[人員代號]],團隊分組!$B$1:$C$52,2,FALSE)</f>
        <v>快速保養團隊A</v>
      </c>
      <c r="N746">
        <f>IF(交易處理資料__3[[#This Row],[上班時間]]=0,0,交易處理資料__3[[#This Row],[售出工時]]/交易處理資料__3[[#This Row],[上班時間]])</f>
        <v>1.7724477244772445</v>
      </c>
      <c r="O746" s="31" t="str">
        <f>IF(交易處理資料__3[[#This Row],[上班時間]]=0,"否","是")</f>
        <v>是</v>
      </c>
    </row>
    <row r="747" spans="1:15" hidden="1">
      <c r="A747" t="s">
        <v>75</v>
      </c>
      <c r="B747" t="s">
        <v>42</v>
      </c>
      <c r="C747">
        <v>7.32</v>
      </c>
      <c r="D747">
        <v>7.02</v>
      </c>
      <c r="E747" s="27">
        <v>104.32</v>
      </c>
      <c r="F747">
        <v>5.37</v>
      </c>
      <c r="G747">
        <v>2.56</v>
      </c>
      <c r="H747">
        <v>7.93</v>
      </c>
      <c r="I747">
        <v>67.72</v>
      </c>
      <c r="J747">
        <v>92.35</v>
      </c>
      <c r="K747" s="9">
        <v>45310</v>
      </c>
      <c r="L747">
        <f xml:space="preserve"> (交易處理資料__3[[#This Row],[售出工時]] * 60) / 5</f>
        <v>87.84</v>
      </c>
      <c r="M747" t="str">
        <f>VLOOKUP(交易處理資料__3[[#This Row],[人員代號]],團隊分組!$B$1:$C$52,2,FALSE)</f>
        <v>快速保養團隊A</v>
      </c>
      <c r="N747">
        <f>IF(交易處理資料__3[[#This Row],[上班時間]]=0,0,交易處理資料__3[[#This Row],[售出工時]]/交易處理資料__3[[#This Row],[上班時間]])</f>
        <v>0.92307692307692313</v>
      </c>
      <c r="O747" s="31" t="str">
        <f>IF(交易處理資料__3[[#This Row],[上班時間]]=0,"否","是")</f>
        <v>是</v>
      </c>
    </row>
    <row r="748" spans="1:15" hidden="1">
      <c r="A748" t="s">
        <v>75</v>
      </c>
      <c r="B748" t="s">
        <v>43</v>
      </c>
      <c r="C748">
        <v>1.66</v>
      </c>
      <c r="D748">
        <v>4.1500000000000004</v>
      </c>
      <c r="E748" s="27">
        <v>40.159999999999997</v>
      </c>
      <c r="F748">
        <v>6.02</v>
      </c>
      <c r="G748">
        <v>2.14</v>
      </c>
      <c r="H748">
        <v>8.16</v>
      </c>
      <c r="I748">
        <v>73.77</v>
      </c>
      <c r="J748">
        <v>20.420000000000002</v>
      </c>
      <c r="K748" s="9">
        <v>45310</v>
      </c>
      <c r="L748">
        <f xml:space="preserve"> (交易處理資料__3[[#This Row],[售出工時]] * 60) / 5</f>
        <v>19.919999999999998</v>
      </c>
      <c r="M748" t="str">
        <f>VLOOKUP(交易處理資料__3[[#This Row],[人員代號]],團隊分組!$B$1:$C$52,2,FALSE)</f>
        <v>查修團隊B</v>
      </c>
      <c r="N748">
        <f>IF(交易處理資料__3[[#This Row],[上班時間]]=0,0,交易處理資料__3[[#This Row],[售出工時]]/交易處理資料__3[[#This Row],[上班時間]])</f>
        <v>0.20343137254901961</v>
      </c>
      <c r="O748" s="31" t="str">
        <f>IF(交易處理資料__3[[#This Row],[上班時間]]=0,"否","是")</f>
        <v>是</v>
      </c>
    </row>
    <row r="749" spans="1:15" hidden="1">
      <c r="A749" t="s">
        <v>75</v>
      </c>
      <c r="B749" t="s">
        <v>46</v>
      </c>
      <c r="C749">
        <v>0</v>
      </c>
      <c r="D749">
        <v>0</v>
      </c>
      <c r="E749" s="27">
        <v>0</v>
      </c>
      <c r="F749">
        <v>4.54</v>
      </c>
      <c r="G749">
        <v>3.58</v>
      </c>
      <c r="H749">
        <v>8.1199999999999992</v>
      </c>
      <c r="I749">
        <v>55.91</v>
      </c>
      <c r="J749">
        <v>0</v>
      </c>
      <c r="K749" s="9">
        <v>45310</v>
      </c>
      <c r="L749">
        <f xml:space="preserve"> (交易處理資料__3[[#This Row],[售出工時]] * 60) / 5</f>
        <v>0</v>
      </c>
      <c r="M749" t="str">
        <f>VLOOKUP(交易處理資料__3[[#This Row],[人員代號]],團隊分組!$B$1:$C$52,2,FALSE)</f>
        <v>查修團隊B</v>
      </c>
      <c r="N749">
        <f>IF(交易處理資料__3[[#This Row],[上班時間]]=0,0,交易處理資料__3[[#This Row],[售出工時]]/交易處理資料__3[[#This Row],[上班時間]])</f>
        <v>0</v>
      </c>
      <c r="O749" s="31" t="str">
        <f>IF(交易處理資料__3[[#This Row],[上班時間]]=0,"否","是")</f>
        <v>是</v>
      </c>
    </row>
    <row r="750" spans="1:15" hidden="1">
      <c r="A750" t="s">
        <v>75</v>
      </c>
      <c r="B750" t="s">
        <v>47</v>
      </c>
      <c r="C750">
        <v>4.07</v>
      </c>
      <c r="D750">
        <v>6.52</v>
      </c>
      <c r="E750" s="27">
        <v>62.47</v>
      </c>
      <c r="F750">
        <v>2.17</v>
      </c>
      <c r="G750">
        <v>6</v>
      </c>
      <c r="H750">
        <v>8.17</v>
      </c>
      <c r="I750">
        <v>26.56</v>
      </c>
      <c r="J750">
        <v>49.86</v>
      </c>
      <c r="K750" s="9">
        <v>45310</v>
      </c>
      <c r="L750">
        <f xml:space="preserve"> (交易處理資料__3[[#This Row],[售出工時]] * 60) / 5</f>
        <v>48.84</v>
      </c>
      <c r="M750" t="str">
        <f>VLOOKUP(交易處理資料__3[[#This Row],[人員代號]],團隊分組!$B$1:$C$52,2,FALSE)</f>
        <v>查修團隊B</v>
      </c>
      <c r="N750">
        <f>IF(交易處理資料__3[[#This Row],[上班時間]]=0,0,交易處理資料__3[[#This Row],[售出工時]]/交易處理資料__3[[#This Row],[上班時間]])</f>
        <v>0.49816401468788252</v>
      </c>
      <c r="O750" s="31" t="str">
        <f>IF(交易處理資料__3[[#This Row],[上班時間]]=0,"否","是")</f>
        <v>是</v>
      </c>
    </row>
    <row r="751" spans="1:15" hidden="1">
      <c r="A751" t="s">
        <v>75</v>
      </c>
      <c r="B751" t="s">
        <v>51</v>
      </c>
      <c r="C751">
        <v>0</v>
      </c>
      <c r="D751">
        <v>0</v>
      </c>
      <c r="E751" s="27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 s="9">
        <v>45310</v>
      </c>
      <c r="L751">
        <f xml:space="preserve"> (交易處理資料__3[[#This Row],[售出工時]] * 60) / 5</f>
        <v>0</v>
      </c>
      <c r="M751" t="str">
        <f>VLOOKUP(交易處理資料__3[[#This Row],[人員代號]],團隊分組!$B$1:$C$52,2,FALSE)</f>
        <v>無效數據</v>
      </c>
      <c r="N751">
        <f>IF(交易處理資料__3[[#This Row],[上班時間]]=0,0,交易處理資料__3[[#This Row],[售出工時]]/交易處理資料__3[[#This Row],[上班時間]])</f>
        <v>0</v>
      </c>
      <c r="O751" s="31" t="str">
        <f>IF(交易處理資料__3[[#This Row],[上班時間]]=0,"否","是")</f>
        <v>否</v>
      </c>
    </row>
    <row r="752" spans="1:15" hidden="1">
      <c r="A752" s="10" t="s">
        <v>73</v>
      </c>
      <c r="B752" t="s">
        <v>1</v>
      </c>
      <c r="C752">
        <v>0</v>
      </c>
      <c r="D752">
        <v>0</v>
      </c>
      <c r="E752" s="27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 s="9">
        <v>45311</v>
      </c>
      <c r="L752">
        <f xml:space="preserve"> (交易處理資料__3[[#This Row],[售出工時]] * 60) / 5</f>
        <v>0</v>
      </c>
      <c r="M752" t="str">
        <f>VLOOKUP(交易處理資料__3[[#This Row],[人員代號]],團隊分組!$B$1:$C$52,2,FALSE)</f>
        <v>噴漆維修組</v>
      </c>
      <c r="N752">
        <f>IF(交易處理資料__3[[#This Row],[上班時間]]=0,0,交易處理資料__3[[#This Row],[售出工時]]/交易處理資料__3[[#This Row],[上班時間]])</f>
        <v>0</v>
      </c>
      <c r="O752" s="31" t="str">
        <f>IF(交易處理資料__3[[#This Row],[上班時間]]=0,"否","是")</f>
        <v>否</v>
      </c>
    </row>
    <row r="753" spans="1:15" hidden="1">
      <c r="A753" s="10" t="s">
        <v>73</v>
      </c>
      <c r="B753" t="s">
        <v>2</v>
      </c>
      <c r="C753">
        <v>0</v>
      </c>
      <c r="D753">
        <v>0</v>
      </c>
      <c r="E753" s="27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 s="9">
        <v>45311</v>
      </c>
      <c r="L753">
        <f xml:space="preserve"> (交易處理資料__3[[#This Row],[售出工時]] * 60) / 5</f>
        <v>0</v>
      </c>
      <c r="M753" t="str">
        <f>VLOOKUP(交易處理資料__3[[#This Row],[人員代號]],團隊分組!$B$1:$C$52,2,FALSE)</f>
        <v>噴漆維修組</v>
      </c>
      <c r="N753">
        <f>IF(交易處理資料__3[[#This Row],[上班時間]]=0,0,交易處理資料__3[[#This Row],[售出工時]]/交易處理資料__3[[#This Row],[上班時間]])</f>
        <v>0</v>
      </c>
      <c r="O753" s="31" t="str">
        <f>IF(交易處理資料__3[[#This Row],[上班時間]]=0,"否","是")</f>
        <v>否</v>
      </c>
    </row>
    <row r="754" spans="1:15" hidden="1">
      <c r="A754" s="10" t="s">
        <v>73</v>
      </c>
      <c r="B754" t="s">
        <v>3</v>
      </c>
      <c r="C754">
        <v>0</v>
      </c>
      <c r="D754">
        <v>0</v>
      </c>
      <c r="E754" s="27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 s="9">
        <v>45311</v>
      </c>
      <c r="L754">
        <f xml:space="preserve"> (交易處理資料__3[[#This Row],[售出工時]] * 60) / 5</f>
        <v>0</v>
      </c>
      <c r="M754" t="str">
        <f>VLOOKUP(交易處理資料__3[[#This Row],[人員代號]],團隊分組!$B$1:$C$52,2,FALSE)</f>
        <v>噴漆維修組</v>
      </c>
      <c r="N754">
        <f>IF(交易處理資料__3[[#This Row],[上班時間]]=0,0,交易處理資料__3[[#This Row],[售出工時]]/交易處理資料__3[[#This Row],[上班時間]])</f>
        <v>0</v>
      </c>
      <c r="O754" s="31" t="str">
        <f>IF(交易處理資料__3[[#This Row],[上班時間]]=0,"否","是")</f>
        <v>否</v>
      </c>
    </row>
    <row r="755" spans="1:15" hidden="1">
      <c r="A755" s="10" t="s">
        <v>73</v>
      </c>
      <c r="B755" t="s">
        <v>4</v>
      </c>
      <c r="C755">
        <v>0</v>
      </c>
      <c r="D755">
        <v>0</v>
      </c>
      <c r="E755" s="27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 s="9">
        <v>45311</v>
      </c>
      <c r="L755">
        <f xml:space="preserve"> (交易處理資料__3[[#This Row],[售出工時]] * 60) / 5</f>
        <v>0</v>
      </c>
      <c r="M755" t="str">
        <f>VLOOKUP(交易處理資料__3[[#This Row],[人員代號]],團隊分組!$B$1:$C$52,2,FALSE)</f>
        <v>噴漆維修組</v>
      </c>
      <c r="N755">
        <f>IF(交易處理資料__3[[#This Row],[上班時間]]=0,0,交易處理資料__3[[#This Row],[售出工時]]/交易處理資料__3[[#This Row],[上班時間]])</f>
        <v>0</v>
      </c>
      <c r="O755" s="31" t="str">
        <f>IF(交易處理資料__3[[#This Row],[上班時間]]=0,"否","是")</f>
        <v>否</v>
      </c>
    </row>
    <row r="756" spans="1:15" hidden="1">
      <c r="A756" s="10" t="s">
        <v>73</v>
      </c>
      <c r="B756" t="s">
        <v>5</v>
      </c>
      <c r="C756">
        <v>0</v>
      </c>
      <c r="D756">
        <v>0</v>
      </c>
      <c r="E756" s="27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 s="9">
        <v>45311</v>
      </c>
      <c r="L756">
        <f xml:space="preserve"> (交易處理資料__3[[#This Row],[售出工時]] * 60) / 5</f>
        <v>0</v>
      </c>
      <c r="M756" t="str">
        <f>VLOOKUP(交易處理資料__3[[#This Row],[人員代號]],團隊分組!$B$1:$C$52,2,FALSE)</f>
        <v>噴漆維修組</v>
      </c>
      <c r="N756">
        <f>IF(交易處理資料__3[[#This Row],[上班時間]]=0,0,交易處理資料__3[[#This Row],[售出工時]]/交易處理資料__3[[#This Row],[上班時間]])</f>
        <v>0</v>
      </c>
      <c r="O756" s="31" t="str">
        <f>IF(交易處理資料__3[[#This Row],[上班時間]]=0,"否","是")</f>
        <v>否</v>
      </c>
    </row>
    <row r="757" spans="1:15" hidden="1">
      <c r="A757" s="10" t="s">
        <v>73</v>
      </c>
      <c r="B757" t="s">
        <v>6</v>
      </c>
      <c r="C757">
        <v>0</v>
      </c>
      <c r="D757">
        <v>0</v>
      </c>
      <c r="E757" s="2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 s="9">
        <v>45311</v>
      </c>
      <c r="L757">
        <f xml:space="preserve"> (交易處理資料__3[[#This Row],[售出工時]] * 60) / 5</f>
        <v>0</v>
      </c>
      <c r="M757" t="str">
        <f>VLOOKUP(交易處理資料__3[[#This Row],[人員代號]],團隊分組!$B$1:$C$52,2,FALSE)</f>
        <v>噴漆維修組</v>
      </c>
      <c r="N757">
        <f>IF(交易處理資料__3[[#This Row],[上班時間]]=0,0,交易處理資料__3[[#This Row],[售出工時]]/交易處理資料__3[[#This Row],[上班時間]])</f>
        <v>0</v>
      </c>
      <c r="O757" s="31" t="str">
        <f>IF(交易處理資料__3[[#This Row],[上班時間]]=0,"否","是")</f>
        <v>否</v>
      </c>
    </row>
    <row r="758" spans="1:15" hidden="1">
      <c r="A758" s="10" t="s">
        <v>73</v>
      </c>
      <c r="B758" t="s">
        <v>7</v>
      </c>
      <c r="C758">
        <v>0</v>
      </c>
      <c r="D758">
        <v>0</v>
      </c>
      <c r="E758" s="27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 s="9">
        <v>45311</v>
      </c>
      <c r="L758">
        <f xml:space="preserve"> (交易處理資料__3[[#This Row],[售出工時]] * 60) / 5</f>
        <v>0</v>
      </c>
      <c r="M758" t="str">
        <f>VLOOKUP(交易處理資料__3[[#This Row],[人員代號]],團隊分組!$B$1:$C$52,2,FALSE)</f>
        <v>噴漆維修組</v>
      </c>
      <c r="N758">
        <f>IF(交易處理資料__3[[#This Row],[上班時間]]=0,0,交易處理資料__3[[#This Row],[售出工時]]/交易處理資料__3[[#This Row],[上班時間]])</f>
        <v>0</v>
      </c>
      <c r="O758" s="31" t="str">
        <f>IF(交易處理資料__3[[#This Row],[上班時間]]=0,"否","是")</f>
        <v>否</v>
      </c>
    </row>
    <row r="759" spans="1:15" hidden="1">
      <c r="A759" s="10" t="s">
        <v>73</v>
      </c>
      <c r="B759" t="s">
        <v>8</v>
      </c>
      <c r="C759">
        <v>0</v>
      </c>
      <c r="D759">
        <v>0</v>
      </c>
      <c r="E759" s="27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 s="9">
        <v>45311</v>
      </c>
      <c r="L759">
        <f xml:space="preserve"> (交易處理資料__3[[#This Row],[售出工時]] * 60) / 5</f>
        <v>0</v>
      </c>
      <c r="M759" t="str">
        <f>VLOOKUP(交易處理資料__3[[#This Row],[人員代號]],團隊分組!$B$1:$C$52,2,FALSE)</f>
        <v>噴漆維修組</v>
      </c>
      <c r="N759">
        <f>IF(交易處理資料__3[[#This Row],[上班時間]]=0,0,交易處理資料__3[[#This Row],[售出工時]]/交易處理資料__3[[#This Row],[上班時間]])</f>
        <v>0</v>
      </c>
      <c r="O759" s="31" t="str">
        <f>IF(交易處理資料__3[[#This Row],[上班時間]]=0,"否","是")</f>
        <v>否</v>
      </c>
    </row>
    <row r="760" spans="1:15" hidden="1">
      <c r="A760" s="10" t="s">
        <v>73</v>
      </c>
      <c r="B760" t="s">
        <v>9</v>
      </c>
      <c r="C760">
        <v>0</v>
      </c>
      <c r="D760">
        <v>0</v>
      </c>
      <c r="E760" s="27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 s="9">
        <v>45311</v>
      </c>
      <c r="L760">
        <f xml:space="preserve"> (交易處理資料__3[[#This Row],[售出工時]] * 60) / 5</f>
        <v>0</v>
      </c>
      <c r="M760" t="str">
        <f>VLOOKUP(交易處理資料__3[[#This Row],[人員代號]],團隊分組!$B$1:$C$52,2,FALSE)</f>
        <v>噴漆維修組</v>
      </c>
      <c r="N760">
        <f>IF(交易處理資料__3[[#This Row],[上班時間]]=0,0,交易處理資料__3[[#This Row],[售出工時]]/交易處理資料__3[[#This Row],[上班時間]])</f>
        <v>0</v>
      </c>
      <c r="O760" s="31" t="str">
        <f>IF(交易處理資料__3[[#This Row],[上班時間]]=0,"否","是")</f>
        <v>否</v>
      </c>
    </row>
    <row r="761" spans="1:15" hidden="1">
      <c r="A761" t="s">
        <v>74</v>
      </c>
      <c r="B761" t="s">
        <v>11</v>
      </c>
      <c r="C761">
        <v>0</v>
      </c>
      <c r="D761">
        <v>0</v>
      </c>
      <c r="E761" s="27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 s="9">
        <v>45311</v>
      </c>
      <c r="L761">
        <f xml:space="preserve"> (交易處理資料__3[[#This Row],[售出工時]] * 60) / 5</f>
        <v>0</v>
      </c>
      <c r="M761" t="str">
        <f>VLOOKUP(交易處理資料__3[[#This Row],[人員代號]],團隊分組!$B$1:$C$52,2,FALSE)</f>
        <v>鈑金維修組</v>
      </c>
      <c r="N761">
        <f>IF(交易處理資料__3[[#This Row],[上班時間]]=0,0,交易處理資料__3[[#This Row],[售出工時]]/交易處理資料__3[[#This Row],[上班時間]])</f>
        <v>0</v>
      </c>
      <c r="O761" s="31" t="str">
        <f>IF(交易處理資料__3[[#This Row],[上班時間]]=0,"否","是")</f>
        <v>否</v>
      </c>
    </row>
    <row r="762" spans="1:15" hidden="1">
      <c r="A762" t="s">
        <v>74</v>
      </c>
      <c r="B762" t="s">
        <v>12</v>
      </c>
      <c r="C762">
        <v>0</v>
      </c>
      <c r="D762">
        <v>0</v>
      </c>
      <c r="E762" s="27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 s="9">
        <v>45311</v>
      </c>
      <c r="L762">
        <f xml:space="preserve"> (交易處理資料__3[[#This Row],[售出工時]] * 60) / 5</f>
        <v>0</v>
      </c>
      <c r="M762" t="str">
        <f>VLOOKUP(交易處理資料__3[[#This Row],[人員代號]],團隊分組!$B$1:$C$52,2,FALSE)</f>
        <v>鈑金維修組</v>
      </c>
      <c r="N762">
        <f>IF(交易處理資料__3[[#This Row],[上班時間]]=0,0,交易處理資料__3[[#This Row],[售出工時]]/交易處理資料__3[[#This Row],[上班時間]])</f>
        <v>0</v>
      </c>
      <c r="O762" s="31" t="str">
        <f>IF(交易處理資料__3[[#This Row],[上班時間]]=0,"否","是")</f>
        <v>否</v>
      </c>
    </row>
    <row r="763" spans="1:15" hidden="1">
      <c r="A763" t="s">
        <v>74</v>
      </c>
      <c r="B763" t="s">
        <v>13</v>
      </c>
      <c r="C763">
        <v>0</v>
      </c>
      <c r="D763">
        <v>0</v>
      </c>
      <c r="E763" s="27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 s="9">
        <v>45311</v>
      </c>
      <c r="L763">
        <f xml:space="preserve"> (交易處理資料__3[[#This Row],[售出工時]] * 60) / 5</f>
        <v>0</v>
      </c>
      <c r="M763" t="str">
        <f>VLOOKUP(交易處理資料__3[[#This Row],[人員代號]],團隊分組!$B$1:$C$52,2,FALSE)</f>
        <v>鈑金維修組</v>
      </c>
      <c r="N763">
        <f>IF(交易處理資料__3[[#This Row],[上班時間]]=0,0,交易處理資料__3[[#This Row],[售出工時]]/交易處理資料__3[[#This Row],[上班時間]])</f>
        <v>0</v>
      </c>
      <c r="O763" s="31" t="str">
        <f>IF(交易處理資料__3[[#This Row],[上班時間]]=0,"否","是")</f>
        <v>否</v>
      </c>
    </row>
    <row r="764" spans="1:15" hidden="1">
      <c r="A764" t="s">
        <v>74</v>
      </c>
      <c r="B764" t="s">
        <v>14</v>
      </c>
      <c r="C764">
        <v>0</v>
      </c>
      <c r="D764">
        <v>0</v>
      </c>
      <c r="E764" s="27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 s="9">
        <v>45311</v>
      </c>
      <c r="L764">
        <f xml:space="preserve"> (交易處理資料__3[[#This Row],[售出工時]] * 60) / 5</f>
        <v>0</v>
      </c>
      <c r="M764" t="str">
        <f>VLOOKUP(交易處理資料__3[[#This Row],[人員代號]],團隊分組!$B$1:$C$52,2,FALSE)</f>
        <v>鈑金維修組</v>
      </c>
      <c r="N764">
        <f>IF(交易處理資料__3[[#This Row],[上班時間]]=0,0,交易處理資料__3[[#This Row],[售出工時]]/交易處理資料__3[[#This Row],[上班時間]])</f>
        <v>0</v>
      </c>
      <c r="O764" s="31" t="str">
        <f>IF(交易處理資料__3[[#This Row],[上班時間]]=0,"否","是")</f>
        <v>否</v>
      </c>
    </row>
    <row r="765" spans="1:15" hidden="1">
      <c r="A765" t="s">
        <v>74</v>
      </c>
      <c r="B765" t="s">
        <v>15</v>
      </c>
      <c r="C765">
        <v>0</v>
      </c>
      <c r="D765">
        <v>0</v>
      </c>
      <c r="E765" s="27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 s="9">
        <v>45311</v>
      </c>
      <c r="L765">
        <f xml:space="preserve"> (交易處理資料__3[[#This Row],[售出工時]] * 60) / 5</f>
        <v>0</v>
      </c>
      <c r="M765" t="str">
        <f>VLOOKUP(交易處理資料__3[[#This Row],[人員代號]],團隊分組!$B$1:$C$52,2,FALSE)</f>
        <v>鈑金維修組</v>
      </c>
      <c r="N765">
        <f>IF(交易處理資料__3[[#This Row],[上班時間]]=0,0,交易處理資料__3[[#This Row],[售出工時]]/交易處理資料__3[[#This Row],[上班時間]])</f>
        <v>0</v>
      </c>
      <c r="O765" s="31" t="str">
        <f>IF(交易處理資料__3[[#This Row],[上班時間]]=0,"否","是")</f>
        <v>否</v>
      </c>
    </row>
    <row r="766" spans="1:15" hidden="1">
      <c r="A766" t="s">
        <v>75</v>
      </c>
      <c r="B766" t="s">
        <v>17</v>
      </c>
      <c r="C766">
        <v>0</v>
      </c>
      <c r="D766">
        <v>0</v>
      </c>
      <c r="E766" s="27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 s="9">
        <v>45311</v>
      </c>
      <c r="L766">
        <f xml:space="preserve"> (交易處理資料__3[[#This Row],[售出工時]] * 60) / 5</f>
        <v>0</v>
      </c>
      <c r="M766" t="str">
        <f>VLOOKUP(交易處理資料__3[[#This Row],[人員代號]],團隊分組!$B$1:$C$52,2,FALSE)</f>
        <v>快速保養團隊A</v>
      </c>
      <c r="N766">
        <f>IF(交易處理資料__3[[#This Row],[上班時間]]=0,0,交易處理資料__3[[#This Row],[售出工時]]/交易處理資料__3[[#This Row],[上班時間]])</f>
        <v>0</v>
      </c>
      <c r="O766" s="31" t="str">
        <f>IF(交易處理資料__3[[#This Row],[上班時間]]=0,"否","是")</f>
        <v>否</v>
      </c>
    </row>
    <row r="767" spans="1:15" hidden="1">
      <c r="A767" t="s">
        <v>75</v>
      </c>
      <c r="B767" t="s">
        <v>18</v>
      </c>
      <c r="C767">
        <v>0</v>
      </c>
      <c r="D767">
        <v>0</v>
      </c>
      <c r="E767" s="2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 s="9">
        <v>45311</v>
      </c>
      <c r="L767">
        <f xml:space="preserve"> (交易處理資料__3[[#This Row],[售出工時]] * 60) / 5</f>
        <v>0</v>
      </c>
      <c r="M767" t="str">
        <f>VLOOKUP(交易處理資料__3[[#This Row],[人員代號]],團隊分組!$B$1:$C$52,2,FALSE)</f>
        <v>查修團隊B</v>
      </c>
      <c r="N767">
        <f>IF(交易處理資料__3[[#This Row],[上班時間]]=0,0,交易處理資料__3[[#This Row],[售出工時]]/交易處理資料__3[[#This Row],[上班時間]])</f>
        <v>0</v>
      </c>
      <c r="O767" s="31" t="str">
        <f>IF(交易處理資料__3[[#This Row],[上班時間]]=0,"否","是")</f>
        <v>否</v>
      </c>
    </row>
    <row r="768" spans="1:15" hidden="1">
      <c r="A768" t="s">
        <v>75</v>
      </c>
      <c r="B768" t="s">
        <v>19</v>
      </c>
      <c r="C768">
        <v>0</v>
      </c>
      <c r="D768">
        <v>0</v>
      </c>
      <c r="E768" s="27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 s="9">
        <v>45311</v>
      </c>
      <c r="L768">
        <f xml:space="preserve"> (交易處理資料__3[[#This Row],[售出工時]] * 60) / 5</f>
        <v>0</v>
      </c>
      <c r="M768" t="str">
        <f>VLOOKUP(交易處理資料__3[[#This Row],[人員代號]],團隊分組!$B$1:$C$52,2,FALSE)</f>
        <v>查修團隊A</v>
      </c>
      <c r="N768">
        <f>IF(交易處理資料__3[[#This Row],[上班時間]]=0,0,交易處理資料__3[[#This Row],[售出工時]]/交易處理資料__3[[#This Row],[上班時間]])</f>
        <v>0</v>
      </c>
      <c r="O768" s="31" t="str">
        <f>IF(交易處理資料__3[[#This Row],[上班時間]]=0,"否","是")</f>
        <v>否</v>
      </c>
    </row>
    <row r="769" spans="1:15" hidden="1">
      <c r="A769" t="s">
        <v>75</v>
      </c>
      <c r="B769" t="s">
        <v>20</v>
      </c>
      <c r="C769">
        <v>0</v>
      </c>
      <c r="D769">
        <v>0</v>
      </c>
      <c r="E769" s="27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 s="9">
        <v>45311</v>
      </c>
      <c r="L769">
        <f xml:space="preserve"> (交易處理資料__3[[#This Row],[售出工時]] * 60) / 5</f>
        <v>0</v>
      </c>
      <c r="M769" t="str">
        <f>VLOOKUP(交易處理資料__3[[#This Row],[人員代號]],團隊分組!$B$1:$C$52,2,FALSE)</f>
        <v>查修團隊B</v>
      </c>
      <c r="N769">
        <f>IF(交易處理資料__3[[#This Row],[上班時間]]=0,0,交易處理資料__3[[#This Row],[售出工時]]/交易處理資料__3[[#This Row],[上班時間]])</f>
        <v>0</v>
      </c>
      <c r="O769" s="31" t="str">
        <f>IF(交易處理資料__3[[#This Row],[上班時間]]=0,"否","是")</f>
        <v>否</v>
      </c>
    </row>
    <row r="770" spans="1:15" hidden="1">
      <c r="A770" t="s">
        <v>75</v>
      </c>
      <c r="B770" t="s">
        <v>21</v>
      </c>
      <c r="C770">
        <v>0</v>
      </c>
      <c r="D770">
        <v>0</v>
      </c>
      <c r="E770" s="27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 s="9">
        <v>45311</v>
      </c>
      <c r="L770">
        <f xml:space="preserve"> (交易處理資料__3[[#This Row],[售出工時]] * 60) / 5</f>
        <v>0</v>
      </c>
      <c r="M770" t="str">
        <f>VLOOKUP(交易處理資料__3[[#This Row],[人員代號]],團隊分組!$B$1:$C$52,2,FALSE)</f>
        <v>查修團隊B</v>
      </c>
      <c r="N770">
        <f>IF(交易處理資料__3[[#This Row],[上班時間]]=0,0,交易處理資料__3[[#This Row],[售出工時]]/交易處理資料__3[[#This Row],[上班時間]])</f>
        <v>0</v>
      </c>
      <c r="O770" s="31" t="str">
        <f>IF(交易處理資料__3[[#This Row],[上班時間]]=0,"否","是")</f>
        <v>否</v>
      </c>
    </row>
    <row r="771" spans="1:15" hidden="1">
      <c r="A771" t="s">
        <v>75</v>
      </c>
      <c r="B771" t="s">
        <v>22</v>
      </c>
      <c r="C771">
        <v>0</v>
      </c>
      <c r="D771">
        <v>0</v>
      </c>
      <c r="E771" s="27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 s="9">
        <v>45311</v>
      </c>
      <c r="L771">
        <f xml:space="preserve"> (交易處理資料__3[[#This Row],[售出工時]] * 60) / 5</f>
        <v>0</v>
      </c>
      <c r="M771" t="str">
        <f>VLOOKUP(交易處理資料__3[[#This Row],[人員代號]],團隊分組!$B$1:$C$52,2,FALSE)</f>
        <v>快速保養團隊A</v>
      </c>
      <c r="N771">
        <f>IF(交易處理資料__3[[#This Row],[上班時間]]=0,0,交易處理資料__3[[#This Row],[售出工時]]/交易處理資料__3[[#This Row],[上班時間]])</f>
        <v>0</v>
      </c>
      <c r="O771" s="31" t="str">
        <f>IF(交易處理資料__3[[#This Row],[上班時間]]=0,"否","是")</f>
        <v>否</v>
      </c>
    </row>
    <row r="772" spans="1:15" hidden="1">
      <c r="A772" t="s">
        <v>75</v>
      </c>
      <c r="B772" t="s">
        <v>23</v>
      </c>
      <c r="C772">
        <v>0</v>
      </c>
      <c r="D772">
        <v>0</v>
      </c>
      <c r="E772" s="27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 s="9">
        <v>45311</v>
      </c>
      <c r="L772">
        <f xml:space="preserve"> (交易處理資料__3[[#This Row],[售出工時]] * 60) / 5</f>
        <v>0</v>
      </c>
      <c r="M772" t="str">
        <f>VLOOKUP(交易處理資料__3[[#This Row],[人員代號]],團隊分組!$B$1:$C$52,2,FALSE)</f>
        <v>快速保養團隊B</v>
      </c>
      <c r="N772">
        <f>IF(交易處理資料__3[[#This Row],[上班時間]]=0,0,交易處理資料__3[[#This Row],[售出工時]]/交易處理資料__3[[#This Row],[上班時間]])</f>
        <v>0</v>
      </c>
      <c r="O772" s="31" t="str">
        <f>IF(交易處理資料__3[[#This Row],[上班時間]]=0,"否","是")</f>
        <v>否</v>
      </c>
    </row>
    <row r="773" spans="1:15" hidden="1">
      <c r="A773" t="s">
        <v>75</v>
      </c>
      <c r="B773" t="s">
        <v>24</v>
      </c>
      <c r="C773">
        <v>0</v>
      </c>
      <c r="D773">
        <v>0</v>
      </c>
      <c r="E773" s="27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 s="9">
        <v>45311</v>
      </c>
      <c r="L773">
        <f xml:space="preserve"> (交易處理資料__3[[#This Row],[售出工時]] * 60) / 5</f>
        <v>0</v>
      </c>
      <c r="M773" t="str">
        <f>VLOOKUP(交易處理資料__3[[#This Row],[人員代號]],團隊分組!$B$1:$C$52,2,FALSE)</f>
        <v>快速保養團隊A</v>
      </c>
      <c r="N773">
        <f>IF(交易處理資料__3[[#This Row],[上班時間]]=0,0,交易處理資料__3[[#This Row],[售出工時]]/交易處理資料__3[[#This Row],[上班時間]])</f>
        <v>0</v>
      </c>
      <c r="O773" s="31" t="str">
        <f>IF(交易處理資料__3[[#This Row],[上班時間]]=0,"否","是")</f>
        <v>否</v>
      </c>
    </row>
    <row r="774" spans="1:15" hidden="1">
      <c r="A774" t="s">
        <v>75</v>
      </c>
      <c r="B774" t="s">
        <v>25</v>
      </c>
      <c r="C774">
        <v>0</v>
      </c>
      <c r="D774">
        <v>0</v>
      </c>
      <c r="E774" s="27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 s="9">
        <v>45311</v>
      </c>
      <c r="L774">
        <f xml:space="preserve"> (交易處理資料__3[[#This Row],[售出工時]] * 60) / 5</f>
        <v>0</v>
      </c>
      <c r="M774" t="str">
        <f>VLOOKUP(交易處理資料__3[[#This Row],[人員代號]],團隊分組!$B$1:$C$52,2,FALSE)</f>
        <v>查修團隊A</v>
      </c>
      <c r="N774">
        <f>IF(交易處理資料__3[[#This Row],[上班時間]]=0,0,交易處理資料__3[[#This Row],[售出工時]]/交易處理資料__3[[#This Row],[上班時間]])</f>
        <v>0</v>
      </c>
      <c r="O774" s="31" t="str">
        <f>IF(交易處理資料__3[[#This Row],[上班時間]]=0,"否","是")</f>
        <v>否</v>
      </c>
    </row>
    <row r="775" spans="1:15" hidden="1">
      <c r="A775" t="s">
        <v>75</v>
      </c>
      <c r="B775" t="s">
        <v>26</v>
      </c>
      <c r="C775">
        <v>0</v>
      </c>
      <c r="D775">
        <v>0</v>
      </c>
      <c r="E775" s="27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 s="9">
        <v>45311</v>
      </c>
      <c r="L775">
        <f xml:space="preserve"> (交易處理資料__3[[#This Row],[售出工時]] * 60) / 5</f>
        <v>0</v>
      </c>
      <c r="M775" t="str">
        <f>VLOOKUP(交易處理資料__3[[#This Row],[人員代號]],團隊分組!$B$1:$C$52,2,FALSE)</f>
        <v>查修團隊B</v>
      </c>
      <c r="N775">
        <f>IF(交易處理資料__3[[#This Row],[上班時間]]=0,0,交易處理資料__3[[#This Row],[售出工時]]/交易處理資料__3[[#This Row],[上班時間]])</f>
        <v>0</v>
      </c>
      <c r="O775" s="31" t="str">
        <f>IF(交易處理資料__3[[#This Row],[上班時間]]=0,"否","是")</f>
        <v>否</v>
      </c>
    </row>
    <row r="776" spans="1:15" hidden="1">
      <c r="A776" t="s">
        <v>75</v>
      </c>
      <c r="B776" t="s">
        <v>27</v>
      </c>
      <c r="C776">
        <v>0</v>
      </c>
      <c r="D776">
        <v>0</v>
      </c>
      <c r="E776" s="27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 s="9">
        <v>45311</v>
      </c>
      <c r="L776">
        <f xml:space="preserve"> (交易處理資料__3[[#This Row],[售出工時]] * 60) / 5</f>
        <v>0</v>
      </c>
      <c r="M776" t="str">
        <f>VLOOKUP(交易處理資料__3[[#This Row],[人員代號]],團隊分組!$B$1:$C$52,2,FALSE)</f>
        <v>快速保養團隊B</v>
      </c>
      <c r="N776">
        <f>IF(交易處理資料__3[[#This Row],[上班時間]]=0,0,交易處理資料__3[[#This Row],[售出工時]]/交易處理資料__3[[#This Row],[上班時間]])</f>
        <v>0</v>
      </c>
      <c r="O776" s="31" t="str">
        <f>IF(交易處理資料__3[[#This Row],[上班時間]]=0,"否","是")</f>
        <v>否</v>
      </c>
    </row>
    <row r="777" spans="1:15" hidden="1">
      <c r="A777" t="s">
        <v>75</v>
      </c>
      <c r="B777" t="s">
        <v>28</v>
      </c>
      <c r="C777">
        <v>0</v>
      </c>
      <c r="D777">
        <v>0</v>
      </c>
      <c r="E777" s="2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 s="9">
        <v>45311</v>
      </c>
      <c r="L777">
        <f xml:space="preserve"> (交易處理資料__3[[#This Row],[售出工時]] * 60) / 5</f>
        <v>0</v>
      </c>
      <c r="M777" t="str">
        <f>VLOOKUP(交易處理資料__3[[#This Row],[人員代號]],團隊分組!$B$1:$C$52,2,FALSE)</f>
        <v>快速保養團隊A</v>
      </c>
      <c r="N777">
        <f>IF(交易處理資料__3[[#This Row],[上班時間]]=0,0,交易處理資料__3[[#This Row],[售出工時]]/交易處理資料__3[[#This Row],[上班時間]])</f>
        <v>0</v>
      </c>
      <c r="O777" s="31" t="str">
        <f>IF(交易處理資料__3[[#This Row],[上班時間]]=0,"否","是")</f>
        <v>否</v>
      </c>
    </row>
    <row r="778" spans="1:15" hidden="1">
      <c r="A778" t="s">
        <v>75</v>
      </c>
      <c r="B778" t="s">
        <v>29</v>
      </c>
      <c r="C778">
        <v>0</v>
      </c>
      <c r="D778">
        <v>0</v>
      </c>
      <c r="E778" s="27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 s="9">
        <v>45311</v>
      </c>
      <c r="L778">
        <f xml:space="preserve"> (交易處理資料__3[[#This Row],[售出工時]] * 60) / 5</f>
        <v>0</v>
      </c>
      <c r="M778" t="str">
        <f>VLOOKUP(交易處理資料__3[[#This Row],[人員代號]],團隊分組!$B$1:$C$52,2,FALSE)</f>
        <v>查修團隊B</v>
      </c>
      <c r="N778">
        <f>IF(交易處理資料__3[[#This Row],[上班時間]]=0,0,交易處理資料__3[[#This Row],[售出工時]]/交易處理資料__3[[#This Row],[上班時間]])</f>
        <v>0</v>
      </c>
      <c r="O778" s="31" t="str">
        <f>IF(交易處理資料__3[[#This Row],[上班時間]]=0,"否","是")</f>
        <v>否</v>
      </c>
    </row>
    <row r="779" spans="1:15" hidden="1">
      <c r="A779" t="s">
        <v>75</v>
      </c>
      <c r="B779" t="s">
        <v>30</v>
      </c>
      <c r="C779">
        <v>0</v>
      </c>
      <c r="D779">
        <v>0</v>
      </c>
      <c r="E779" s="27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 s="9">
        <v>45311</v>
      </c>
      <c r="L779">
        <f xml:space="preserve"> (交易處理資料__3[[#This Row],[售出工時]] * 60) / 5</f>
        <v>0</v>
      </c>
      <c r="M779" t="str">
        <f>VLOOKUP(交易處理資料__3[[#This Row],[人員代號]],團隊分組!$B$1:$C$52,2,FALSE)</f>
        <v>快速保養團隊B</v>
      </c>
      <c r="N779">
        <f>IF(交易處理資料__3[[#This Row],[上班時間]]=0,0,交易處理資料__3[[#This Row],[售出工時]]/交易處理資料__3[[#This Row],[上班時間]])</f>
        <v>0</v>
      </c>
      <c r="O779" s="31" t="str">
        <f>IF(交易處理資料__3[[#This Row],[上班時間]]=0,"否","是")</f>
        <v>否</v>
      </c>
    </row>
    <row r="780" spans="1:15" hidden="1">
      <c r="A780" t="s">
        <v>75</v>
      </c>
      <c r="B780" t="s">
        <v>31</v>
      </c>
      <c r="C780">
        <v>0</v>
      </c>
      <c r="D780">
        <v>0</v>
      </c>
      <c r="E780" s="27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 s="9">
        <v>45311</v>
      </c>
      <c r="L780">
        <f xml:space="preserve"> (交易處理資料__3[[#This Row],[售出工時]] * 60) / 5</f>
        <v>0</v>
      </c>
      <c r="M780" t="str">
        <f>VLOOKUP(交易處理資料__3[[#This Row],[人員代號]],團隊分組!$B$1:$C$52,2,FALSE)</f>
        <v>快速保養團隊A</v>
      </c>
      <c r="N780">
        <f>IF(交易處理資料__3[[#This Row],[上班時間]]=0,0,交易處理資料__3[[#This Row],[售出工時]]/交易處理資料__3[[#This Row],[上班時間]])</f>
        <v>0</v>
      </c>
      <c r="O780" s="31" t="str">
        <f>IF(交易處理資料__3[[#This Row],[上班時間]]=0,"否","是")</f>
        <v>否</v>
      </c>
    </row>
    <row r="781" spans="1:15" hidden="1">
      <c r="A781" t="s">
        <v>75</v>
      </c>
      <c r="B781" t="s">
        <v>32</v>
      </c>
      <c r="C781">
        <v>0</v>
      </c>
      <c r="D781">
        <v>0</v>
      </c>
      <c r="E781" s="27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 s="9">
        <v>45311</v>
      </c>
      <c r="L781">
        <f xml:space="preserve"> (交易處理資料__3[[#This Row],[售出工時]] * 60) / 5</f>
        <v>0</v>
      </c>
      <c r="M781" t="str">
        <f>VLOOKUP(交易處理資料__3[[#This Row],[人員代號]],團隊分組!$B$1:$C$52,2,FALSE)</f>
        <v>快速保養團隊B</v>
      </c>
      <c r="N781">
        <f>IF(交易處理資料__3[[#This Row],[上班時間]]=0,0,交易處理資料__3[[#This Row],[售出工時]]/交易處理資料__3[[#This Row],[上班時間]])</f>
        <v>0</v>
      </c>
      <c r="O781" s="31" t="str">
        <f>IF(交易處理資料__3[[#This Row],[上班時間]]=0,"否","是")</f>
        <v>否</v>
      </c>
    </row>
    <row r="782" spans="1:15">
      <c r="A782" t="s">
        <v>75</v>
      </c>
      <c r="B782" t="s">
        <v>33</v>
      </c>
      <c r="C782">
        <v>0</v>
      </c>
      <c r="D782">
        <v>0</v>
      </c>
      <c r="E782" s="27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 s="9">
        <v>45311</v>
      </c>
      <c r="L782">
        <f xml:space="preserve"> (交易處理資料__3[[#This Row],[售出工時]] * 60) / 5</f>
        <v>0</v>
      </c>
      <c r="M782" t="str">
        <f>VLOOKUP(交易處理資料__3[[#This Row],[人員代號]],團隊分組!$B$1:$C$52,2,FALSE)</f>
        <v>快速保養團隊B</v>
      </c>
      <c r="N782">
        <f>IF(交易處理資料__3[[#This Row],[上班時間]]=0,0,交易處理資料__3[[#This Row],[售出工時]]/交易處理資料__3[[#This Row],[上班時間]])</f>
        <v>0</v>
      </c>
      <c r="O782" s="31" t="str">
        <f>IF(交易處理資料__3[[#This Row],[上班時間]]=0,"否","是")</f>
        <v>否</v>
      </c>
    </row>
    <row r="783" spans="1:15" hidden="1">
      <c r="A783" t="s">
        <v>75</v>
      </c>
      <c r="B783" t="s">
        <v>34</v>
      </c>
      <c r="C783">
        <v>0</v>
      </c>
      <c r="D783">
        <v>0</v>
      </c>
      <c r="E783" s="27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 s="9">
        <v>45311</v>
      </c>
      <c r="L783">
        <f xml:space="preserve"> (交易處理資料__3[[#This Row],[售出工時]] * 60) / 5</f>
        <v>0</v>
      </c>
      <c r="M783" t="str">
        <f>VLOOKUP(交易處理資料__3[[#This Row],[人員代號]],團隊分組!$B$1:$C$52,2,FALSE)</f>
        <v>快速保養團隊A</v>
      </c>
      <c r="N783">
        <f>IF(交易處理資料__3[[#This Row],[上班時間]]=0,0,交易處理資料__3[[#This Row],[售出工時]]/交易處理資料__3[[#This Row],[上班時間]])</f>
        <v>0</v>
      </c>
      <c r="O783" s="31" t="str">
        <f>IF(交易處理資料__3[[#This Row],[上班時間]]=0,"否","是")</f>
        <v>否</v>
      </c>
    </row>
    <row r="784" spans="1:15" hidden="1">
      <c r="A784" t="s">
        <v>75</v>
      </c>
      <c r="B784" t="s">
        <v>35</v>
      </c>
      <c r="C784">
        <v>0</v>
      </c>
      <c r="D784">
        <v>0</v>
      </c>
      <c r="E784" s="27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 s="9">
        <v>45311</v>
      </c>
      <c r="L784">
        <f xml:space="preserve"> (交易處理資料__3[[#This Row],[售出工時]] * 60) / 5</f>
        <v>0</v>
      </c>
      <c r="M784" t="str">
        <f>VLOOKUP(交易處理資料__3[[#This Row],[人員代號]],團隊分組!$B$1:$C$52,2,FALSE)</f>
        <v>查修團隊B</v>
      </c>
      <c r="N784">
        <f>IF(交易處理資料__3[[#This Row],[上班時間]]=0,0,交易處理資料__3[[#This Row],[售出工時]]/交易處理資料__3[[#This Row],[上班時間]])</f>
        <v>0</v>
      </c>
      <c r="O784" s="31" t="str">
        <f>IF(交易處理資料__3[[#This Row],[上班時間]]=0,"否","是")</f>
        <v>否</v>
      </c>
    </row>
    <row r="785" spans="1:15" hidden="1">
      <c r="A785" t="s">
        <v>75</v>
      </c>
      <c r="B785" t="s">
        <v>36</v>
      </c>
      <c r="C785">
        <v>0</v>
      </c>
      <c r="D785">
        <v>0</v>
      </c>
      <c r="E785" s="27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 s="9">
        <v>45311</v>
      </c>
      <c r="L785">
        <f xml:space="preserve"> (交易處理資料__3[[#This Row],[售出工時]] * 60) / 5</f>
        <v>0</v>
      </c>
      <c r="M785" t="str">
        <f>VLOOKUP(交易處理資料__3[[#This Row],[人員代號]],團隊分組!$B$1:$C$52,2,FALSE)</f>
        <v>查修團隊B</v>
      </c>
      <c r="N785">
        <f>IF(交易處理資料__3[[#This Row],[上班時間]]=0,0,交易處理資料__3[[#This Row],[售出工時]]/交易處理資料__3[[#This Row],[上班時間]])</f>
        <v>0</v>
      </c>
      <c r="O785" s="31" t="str">
        <f>IF(交易處理資料__3[[#This Row],[上班時間]]=0,"否","是")</f>
        <v>否</v>
      </c>
    </row>
    <row r="786" spans="1:15" hidden="1">
      <c r="A786" t="s">
        <v>75</v>
      </c>
      <c r="B786" t="s">
        <v>37</v>
      </c>
      <c r="C786">
        <v>0</v>
      </c>
      <c r="D786">
        <v>0</v>
      </c>
      <c r="E786" s="27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 s="9">
        <v>45311</v>
      </c>
      <c r="L786">
        <f xml:space="preserve"> (交易處理資料__3[[#This Row],[售出工時]] * 60) / 5</f>
        <v>0</v>
      </c>
      <c r="M786" t="str">
        <f>VLOOKUP(交易處理資料__3[[#This Row],[人員代號]],團隊分組!$B$1:$C$52,2,FALSE)</f>
        <v>查修團隊A</v>
      </c>
      <c r="N786">
        <f>IF(交易處理資料__3[[#This Row],[上班時間]]=0,0,交易處理資料__3[[#This Row],[售出工時]]/交易處理資料__3[[#This Row],[上班時間]])</f>
        <v>0</v>
      </c>
      <c r="O786" s="31" t="str">
        <f>IF(交易處理資料__3[[#This Row],[上班時間]]=0,"否","是")</f>
        <v>否</v>
      </c>
    </row>
    <row r="787" spans="1:15" hidden="1">
      <c r="A787" t="s">
        <v>75</v>
      </c>
      <c r="B787" t="s">
        <v>38</v>
      </c>
      <c r="C787">
        <v>0</v>
      </c>
      <c r="D787">
        <v>0</v>
      </c>
      <c r="E787" s="2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 s="9">
        <v>45311</v>
      </c>
      <c r="L787">
        <f xml:space="preserve"> (交易處理資料__3[[#This Row],[售出工時]] * 60) / 5</f>
        <v>0</v>
      </c>
      <c r="M787" t="str">
        <f>VLOOKUP(交易處理資料__3[[#This Row],[人員代號]],團隊分組!$B$1:$C$52,2,FALSE)</f>
        <v>快速保養團隊A</v>
      </c>
      <c r="N787">
        <f>IF(交易處理資料__3[[#This Row],[上班時間]]=0,0,交易處理資料__3[[#This Row],[售出工時]]/交易處理資料__3[[#This Row],[上班時間]])</f>
        <v>0</v>
      </c>
      <c r="O787" s="31" t="str">
        <f>IF(交易處理資料__3[[#This Row],[上班時間]]=0,"否","是")</f>
        <v>否</v>
      </c>
    </row>
    <row r="788" spans="1:15" hidden="1">
      <c r="A788" t="s">
        <v>75</v>
      </c>
      <c r="B788" t="s">
        <v>39</v>
      </c>
      <c r="C788">
        <v>0</v>
      </c>
      <c r="D788">
        <v>0</v>
      </c>
      <c r="E788" s="27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 s="9">
        <v>45311</v>
      </c>
      <c r="L788">
        <f xml:space="preserve"> (交易處理資料__3[[#This Row],[售出工時]] * 60) / 5</f>
        <v>0</v>
      </c>
      <c r="M788" t="str">
        <f>VLOOKUP(交易處理資料__3[[#This Row],[人員代號]],團隊分組!$B$1:$C$52,2,FALSE)</f>
        <v>查修團隊A</v>
      </c>
      <c r="N788">
        <f>IF(交易處理資料__3[[#This Row],[上班時間]]=0,0,交易處理資料__3[[#This Row],[售出工時]]/交易處理資料__3[[#This Row],[上班時間]])</f>
        <v>0</v>
      </c>
      <c r="O788" s="31" t="str">
        <f>IF(交易處理資料__3[[#This Row],[上班時間]]=0,"否","是")</f>
        <v>否</v>
      </c>
    </row>
    <row r="789" spans="1:15" hidden="1">
      <c r="A789" t="s">
        <v>75</v>
      </c>
      <c r="B789" t="s">
        <v>40</v>
      </c>
      <c r="C789">
        <v>0</v>
      </c>
      <c r="D789">
        <v>0</v>
      </c>
      <c r="E789" s="27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 s="9">
        <v>45311</v>
      </c>
      <c r="L789">
        <f xml:space="preserve"> (交易處理資料__3[[#This Row],[售出工時]] * 60) / 5</f>
        <v>0</v>
      </c>
      <c r="M789" t="str">
        <f>VLOOKUP(交易處理資料__3[[#This Row],[人員代號]],團隊分組!$B$1:$C$52,2,FALSE)</f>
        <v>查修團隊A</v>
      </c>
      <c r="N789">
        <f>IF(交易處理資料__3[[#This Row],[上班時間]]=0,0,交易處理資料__3[[#This Row],[售出工時]]/交易處理資料__3[[#This Row],[上班時間]])</f>
        <v>0</v>
      </c>
      <c r="O789" s="31" t="str">
        <f>IF(交易處理資料__3[[#This Row],[上班時間]]=0,"否","是")</f>
        <v>否</v>
      </c>
    </row>
    <row r="790" spans="1:15" hidden="1">
      <c r="A790" t="s">
        <v>75</v>
      </c>
      <c r="B790" t="s">
        <v>41</v>
      </c>
      <c r="C790">
        <v>0</v>
      </c>
      <c r="D790">
        <v>0</v>
      </c>
      <c r="E790" s="27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 s="9">
        <v>45311</v>
      </c>
      <c r="L790">
        <f xml:space="preserve"> (交易處理資料__3[[#This Row],[售出工時]] * 60) / 5</f>
        <v>0</v>
      </c>
      <c r="M790" t="str">
        <f>VLOOKUP(交易處理資料__3[[#This Row],[人員代號]],團隊分組!$B$1:$C$52,2,FALSE)</f>
        <v>快速保養團隊A</v>
      </c>
      <c r="N790">
        <f>IF(交易處理資料__3[[#This Row],[上班時間]]=0,0,交易處理資料__3[[#This Row],[售出工時]]/交易處理資料__3[[#This Row],[上班時間]])</f>
        <v>0</v>
      </c>
      <c r="O790" s="31" t="str">
        <f>IF(交易處理資料__3[[#This Row],[上班時間]]=0,"否","是")</f>
        <v>否</v>
      </c>
    </row>
    <row r="791" spans="1:15" hidden="1">
      <c r="A791" t="s">
        <v>75</v>
      </c>
      <c r="B791" t="s">
        <v>42</v>
      </c>
      <c r="C791">
        <v>0</v>
      </c>
      <c r="D791">
        <v>0</v>
      </c>
      <c r="E791" s="27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 s="9">
        <v>45311</v>
      </c>
      <c r="L791">
        <f xml:space="preserve"> (交易處理資料__3[[#This Row],[售出工時]] * 60) / 5</f>
        <v>0</v>
      </c>
      <c r="M791" t="str">
        <f>VLOOKUP(交易處理資料__3[[#This Row],[人員代號]],團隊分組!$B$1:$C$52,2,FALSE)</f>
        <v>快速保養團隊A</v>
      </c>
      <c r="N791">
        <f>IF(交易處理資料__3[[#This Row],[上班時間]]=0,0,交易處理資料__3[[#This Row],[售出工時]]/交易處理資料__3[[#This Row],[上班時間]])</f>
        <v>0</v>
      </c>
      <c r="O791" s="31" t="str">
        <f>IF(交易處理資料__3[[#This Row],[上班時間]]=0,"否","是")</f>
        <v>否</v>
      </c>
    </row>
    <row r="792" spans="1:15" hidden="1">
      <c r="A792" t="s">
        <v>75</v>
      </c>
      <c r="B792" t="s">
        <v>43</v>
      </c>
      <c r="C792">
        <v>0</v>
      </c>
      <c r="D792">
        <v>0</v>
      </c>
      <c r="E792" s="27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 s="9">
        <v>45311</v>
      </c>
      <c r="L792">
        <f xml:space="preserve"> (交易處理資料__3[[#This Row],[售出工時]] * 60) / 5</f>
        <v>0</v>
      </c>
      <c r="M792" t="str">
        <f>VLOOKUP(交易處理資料__3[[#This Row],[人員代號]],團隊分組!$B$1:$C$52,2,FALSE)</f>
        <v>查修團隊B</v>
      </c>
      <c r="N792">
        <f>IF(交易處理資料__3[[#This Row],[上班時間]]=0,0,交易處理資料__3[[#This Row],[售出工時]]/交易處理資料__3[[#This Row],[上班時間]])</f>
        <v>0</v>
      </c>
      <c r="O792" s="31" t="str">
        <f>IF(交易處理資料__3[[#This Row],[上班時間]]=0,"否","是")</f>
        <v>否</v>
      </c>
    </row>
    <row r="793" spans="1:15" hidden="1">
      <c r="A793" t="s">
        <v>75</v>
      </c>
      <c r="B793" t="s">
        <v>44</v>
      </c>
      <c r="C793">
        <v>0</v>
      </c>
      <c r="D793">
        <v>0</v>
      </c>
      <c r="E793" s="27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 s="9">
        <v>45311</v>
      </c>
      <c r="L793">
        <f xml:space="preserve"> (交易處理資料__3[[#This Row],[售出工時]] * 60) / 5</f>
        <v>0</v>
      </c>
      <c r="M793" t="str">
        <f>VLOOKUP(交易處理資料__3[[#This Row],[人員代號]],團隊分組!$B$1:$C$52,2,FALSE)</f>
        <v>快速保養團隊B</v>
      </c>
      <c r="N793">
        <f>IF(交易處理資料__3[[#This Row],[上班時間]]=0,0,交易處理資料__3[[#This Row],[售出工時]]/交易處理資料__3[[#This Row],[上班時間]])</f>
        <v>0</v>
      </c>
      <c r="O793" s="31" t="str">
        <f>IF(交易處理資料__3[[#This Row],[上班時間]]=0,"否","是")</f>
        <v>否</v>
      </c>
    </row>
    <row r="794" spans="1:15" hidden="1">
      <c r="A794" t="s">
        <v>75</v>
      </c>
      <c r="B794" t="s">
        <v>45</v>
      </c>
      <c r="C794">
        <v>0</v>
      </c>
      <c r="D794">
        <v>0</v>
      </c>
      <c r="E794" s="27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 s="9">
        <v>45311</v>
      </c>
      <c r="L794">
        <f xml:space="preserve"> (交易處理資料__3[[#This Row],[售出工時]] * 60) / 5</f>
        <v>0</v>
      </c>
      <c r="M794" t="str">
        <f>VLOOKUP(交易處理資料__3[[#This Row],[人員代號]],團隊分組!$B$1:$C$52,2,FALSE)</f>
        <v>快速保養團隊A</v>
      </c>
      <c r="N794">
        <f>IF(交易處理資料__3[[#This Row],[上班時間]]=0,0,交易處理資料__3[[#This Row],[售出工時]]/交易處理資料__3[[#This Row],[上班時間]])</f>
        <v>0</v>
      </c>
      <c r="O794" s="31" t="str">
        <f>IF(交易處理資料__3[[#This Row],[上班時間]]=0,"否","是")</f>
        <v>否</v>
      </c>
    </row>
    <row r="795" spans="1:15" hidden="1">
      <c r="A795" t="s">
        <v>75</v>
      </c>
      <c r="B795" t="s">
        <v>46</v>
      </c>
      <c r="C795">
        <v>0</v>
      </c>
      <c r="D795">
        <v>0</v>
      </c>
      <c r="E795" s="27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 s="9">
        <v>45311</v>
      </c>
      <c r="L795">
        <f xml:space="preserve"> (交易處理資料__3[[#This Row],[售出工時]] * 60) / 5</f>
        <v>0</v>
      </c>
      <c r="M795" t="str">
        <f>VLOOKUP(交易處理資料__3[[#This Row],[人員代號]],團隊分組!$B$1:$C$52,2,FALSE)</f>
        <v>查修團隊B</v>
      </c>
      <c r="N795">
        <f>IF(交易處理資料__3[[#This Row],[上班時間]]=0,0,交易處理資料__3[[#This Row],[售出工時]]/交易處理資料__3[[#This Row],[上班時間]])</f>
        <v>0</v>
      </c>
      <c r="O795" s="31" t="str">
        <f>IF(交易處理資料__3[[#This Row],[上班時間]]=0,"否","是")</f>
        <v>否</v>
      </c>
    </row>
    <row r="796" spans="1:15" hidden="1">
      <c r="A796" t="s">
        <v>75</v>
      </c>
      <c r="B796" t="s">
        <v>47</v>
      </c>
      <c r="C796">
        <v>0</v>
      </c>
      <c r="D796">
        <v>0</v>
      </c>
      <c r="E796" s="27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 s="9">
        <v>45311</v>
      </c>
      <c r="L796">
        <f xml:space="preserve"> (交易處理資料__3[[#This Row],[售出工時]] * 60) / 5</f>
        <v>0</v>
      </c>
      <c r="M796" t="str">
        <f>VLOOKUP(交易處理資料__3[[#This Row],[人員代號]],團隊分組!$B$1:$C$52,2,FALSE)</f>
        <v>查修團隊B</v>
      </c>
      <c r="N796">
        <f>IF(交易處理資料__3[[#This Row],[上班時間]]=0,0,交易處理資料__3[[#This Row],[售出工時]]/交易處理資料__3[[#This Row],[上班時間]])</f>
        <v>0</v>
      </c>
      <c r="O796" s="31" t="str">
        <f>IF(交易處理資料__3[[#This Row],[上班時間]]=0,"否","是")</f>
        <v>否</v>
      </c>
    </row>
    <row r="797" spans="1:15" hidden="1">
      <c r="A797" t="s">
        <v>75</v>
      </c>
      <c r="B797" t="s">
        <v>48</v>
      </c>
      <c r="C797">
        <v>0</v>
      </c>
      <c r="D797">
        <v>0</v>
      </c>
      <c r="E797" s="2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 s="9">
        <v>45311</v>
      </c>
      <c r="L797">
        <f xml:space="preserve"> (交易處理資料__3[[#This Row],[售出工時]] * 60) / 5</f>
        <v>0</v>
      </c>
      <c r="M797" t="str">
        <f>VLOOKUP(交易處理資料__3[[#This Row],[人員代號]],團隊分組!$B$1:$C$52,2,FALSE)</f>
        <v>查修團隊A</v>
      </c>
      <c r="N797">
        <f>IF(交易處理資料__3[[#This Row],[上班時間]]=0,0,交易處理資料__3[[#This Row],[售出工時]]/交易處理資料__3[[#This Row],[上班時間]])</f>
        <v>0</v>
      </c>
      <c r="O797" s="31" t="str">
        <f>IF(交易處理資料__3[[#This Row],[上班時間]]=0,"否","是")</f>
        <v>否</v>
      </c>
    </row>
    <row r="798" spans="1:15" hidden="1">
      <c r="A798" t="s">
        <v>75</v>
      </c>
      <c r="B798" t="s">
        <v>49</v>
      </c>
      <c r="C798">
        <v>0</v>
      </c>
      <c r="D798">
        <v>0</v>
      </c>
      <c r="E798" s="27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 s="9">
        <v>45311</v>
      </c>
      <c r="L798">
        <f xml:space="preserve"> (交易處理資料__3[[#This Row],[售出工時]] * 60) / 5</f>
        <v>0</v>
      </c>
      <c r="M798" t="str">
        <f>VLOOKUP(交易處理資料__3[[#This Row],[人員代號]],團隊分組!$B$1:$C$52,2,FALSE)</f>
        <v>查修團隊A</v>
      </c>
      <c r="N798">
        <f>IF(交易處理資料__3[[#This Row],[上班時間]]=0,0,交易處理資料__3[[#This Row],[售出工時]]/交易處理資料__3[[#This Row],[上班時間]])</f>
        <v>0</v>
      </c>
      <c r="O798" s="31" t="str">
        <f>IF(交易處理資料__3[[#This Row],[上班時間]]=0,"否","是")</f>
        <v>否</v>
      </c>
    </row>
    <row r="799" spans="1:15" hidden="1">
      <c r="A799" t="s">
        <v>75</v>
      </c>
      <c r="B799" t="s">
        <v>50</v>
      </c>
      <c r="C799">
        <v>0</v>
      </c>
      <c r="D799">
        <v>0</v>
      </c>
      <c r="E799" s="27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 s="9">
        <v>45311</v>
      </c>
      <c r="L799">
        <f xml:space="preserve"> (交易處理資料__3[[#This Row],[售出工時]] * 60) / 5</f>
        <v>0</v>
      </c>
      <c r="M799" t="str">
        <f>VLOOKUP(交易處理資料__3[[#This Row],[人員代號]],團隊分組!$B$1:$C$52,2,FALSE)</f>
        <v>快速保養團隊B</v>
      </c>
      <c r="N799">
        <f>IF(交易處理資料__3[[#This Row],[上班時間]]=0,0,交易處理資料__3[[#This Row],[售出工時]]/交易處理資料__3[[#This Row],[上班時間]])</f>
        <v>0</v>
      </c>
      <c r="O799" s="31" t="str">
        <f>IF(交易處理資料__3[[#This Row],[上班時間]]=0,"否","是")</f>
        <v>否</v>
      </c>
    </row>
    <row r="800" spans="1:15" hidden="1">
      <c r="A800" t="s">
        <v>75</v>
      </c>
      <c r="B800" t="s">
        <v>51</v>
      </c>
      <c r="C800">
        <v>0</v>
      </c>
      <c r="D800">
        <v>0</v>
      </c>
      <c r="E800" s="27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 s="9">
        <v>45311</v>
      </c>
      <c r="L800">
        <f xml:space="preserve"> (交易處理資料__3[[#This Row],[售出工時]] * 60) / 5</f>
        <v>0</v>
      </c>
      <c r="M800" t="str">
        <f>VLOOKUP(交易處理資料__3[[#This Row],[人員代號]],團隊分組!$B$1:$C$52,2,FALSE)</f>
        <v>無效數據</v>
      </c>
      <c r="N800">
        <f>IF(交易處理資料__3[[#This Row],[上班時間]]=0,0,交易處理資料__3[[#This Row],[售出工時]]/交易處理資料__3[[#This Row],[上班時間]])</f>
        <v>0</v>
      </c>
      <c r="O800" s="31" t="str">
        <f>IF(交易處理資料__3[[#This Row],[上班時間]]=0,"否","是")</f>
        <v>否</v>
      </c>
    </row>
    <row r="801" spans="1:15" hidden="1">
      <c r="A801" t="s">
        <v>75</v>
      </c>
      <c r="B801" t="s">
        <v>52</v>
      </c>
      <c r="C801">
        <v>0</v>
      </c>
      <c r="D801">
        <v>0</v>
      </c>
      <c r="E801" s="27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 s="9">
        <v>45311</v>
      </c>
      <c r="L801">
        <f xml:space="preserve"> (交易處理資料__3[[#This Row],[售出工時]] * 60) / 5</f>
        <v>0</v>
      </c>
      <c r="M801" t="str">
        <f>VLOOKUP(交易處理資料__3[[#This Row],[人員代號]],團隊分組!$B$1:$C$52,2,FALSE)</f>
        <v>查修團隊B</v>
      </c>
      <c r="N801">
        <f>IF(交易處理資料__3[[#This Row],[上班時間]]=0,0,交易處理資料__3[[#This Row],[售出工時]]/交易處理資料__3[[#This Row],[上班時間]])</f>
        <v>0</v>
      </c>
      <c r="O801" s="31" t="str">
        <f>IF(交易處理資料__3[[#This Row],[上班時間]]=0,"否","是")</f>
        <v>否</v>
      </c>
    </row>
    <row r="802" spans="1:15" hidden="1">
      <c r="A802" t="s">
        <v>75</v>
      </c>
      <c r="B802" t="s">
        <v>53</v>
      </c>
      <c r="C802">
        <v>0</v>
      </c>
      <c r="D802">
        <v>0</v>
      </c>
      <c r="E802" s="27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 s="9">
        <v>45311</v>
      </c>
      <c r="L802">
        <f xml:space="preserve"> (交易處理資料__3[[#This Row],[售出工時]] * 60) / 5</f>
        <v>0</v>
      </c>
      <c r="M802" t="str">
        <f>VLOOKUP(交易處理資料__3[[#This Row],[人員代號]],團隊分組!$B$1:$C$52,2,FALSE)</f>
        <v>查修團隊A</v>
      </c>
      <c r="N802">
        <f>IF(交易處理資料__3[[#This Row],[上班時間]]=0,0,交易處理資料__3[[#This Row],[售出工時]]/交易處理資料__3[[#This Row],[上班時間]])</f>
        <v>0</v>
      </c>
      <c r="O802" s="31" t="str">
        <f>IF(交易處理資料__3[[#This Row],[上班時間]]=0,"否","是")</f>
        <v>否</v>
      </c>
    </row>
    <row r="803" spans="1:15" hidden="1">
      <c r="A803" s="10" t="s">
        <v>73</v>
      </c>
      <c r="B803" t="s">
        <v>1</v>
      </c>
      <c r="C803">
        <v>0</v>
      </c>
      <c r="D803">
        <v>0</v>
      </c>
      <c r="E803" s="27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 s="9">
        <v>45312</v>
      </c>
      <c r="L803">
        <f xml:space="preserve"> (交易處理資料__3[[#This Row],[售出工時]] * 60) / 5</f>
        <v>0</v>
      </c>
      <c r="M803" t="str">
        <f>VLOOKUP(交易處理資料__3[[#This Row],[人員代號]],團隊分組!$B$1:$C$52,2,FALSE)</f>
        <v>噴漆維修組</v>
      </c>
      <c r="N803">
        <f>IF(交易處理資料__3[[#This Row],[上班時間]]=0,0,交易處理資料__3[[#This Row],[售出工時]]/交易處理資料__3[[#This Row],[上班時間]])</f>
        <v>0</v>
      </c>
      <c r="O803" s="31" t="str">
        <f>IF(交易處理資料__3[[#This Row],[上班時間]]=0,"否","是")</f>
        <v>否</v>
      </c>
    </row>
    <row r="804" spans="1:15" hidden="1">
      <c r="A804" s="10" t="s">
        <v>73</v>
      </c>
      <c r="B804" t="s">
        <v>2</v>
      </c>
      <c r="C804">
        <v>0</v>
      </c>
      <c r="D804">
        <v>0</v>
      </c>
      <c r="E804" s="27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 s="9">
        <v>45312</v>
      </c>
      <c r="L804">
        <f xml:space="preserve"> (交易處理資料__3[[#This Row],[售出工時]] * 60) / 5</f>
        <v>0</v>
      </c>
      <c r="M804" t="str">
        <f>VLOOKUP(交易處理資料__3[[#This Row],[人員代號]],團隊分組!$B$1:$C$52,2,FALSE)</f>
        <v>噴漆維修組</v>
      </c>
      <c r="N804">
        <f>IF(交易處理資料__3[[#This Row],[上班時間]]=0,0,交易處理資料__3[[#This Row],[售出工時]]/交易處理資料__3[[#This Row],[上班時間]])</f>
        <v>0</v>
      </c>
      <c r="O804" s="31" t="str">
        <f>IF(交易處理資料__3[[#This Row],[上班時間]]=0,"否","是")</f>
        <v>否</v>
      </c>
    </row>
    <row r="805" spans="1:15" hidden="1">
      <c r="A805" s="10" t="s">
        <v>73</v>
      </c>
      <c r="B805" t="s">
        <v>3</v>
      </c>
      <c r="C805">
        <v>0</v>
      </c>
      <c r="D805">
        <v>0</v>
      </c>
      <c r="E805" s="27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 s="9">
        <v>45312</v>
      </c>
      <c r="L805">
        <f xml:space="preserve"> (交易處理資料__3[[#This Row],[售出工時]] * 60) / 5</f>
        <v>0</v>
      </c>
      <c r="M805" t="str">
        <f>VLOOKUP(交易處理資料__3[[#This Row],[人員代號]],團隊分組!$B$1:$C$52,2,FALSE)</f>
        <v>噴漆維修組</v>
      </c>
      <c r="N805">
        <f>IF(交易處理資料__3[[#This Row],[上班時間]]=0,0,交易處理資料__3[[#This Row],[售出工時]]/交易處理資料__3[[#This Row],[上班時間]])</f>
        <v>0</v>
      </c>
      <c r="O805" s="31" t="str">
        <f>IF(交易處理資料__3[[#This Row],[上班時間]]=0,"否","是")</f>
        <v>否</v>
      </c>
    </row>
    <row r="806" spans="1:15" hidden="1">
      <c r="A806" s="10" t="s">
        <v>73</v>
      </c>
      <c r="B806" t="s">
        <v>4</v>
      </c>
      <c r="C806">
        <v>0</v>
      </c>
      <c r="D806">
        <v>0</v>
      </c>
      <c r="E806" s="27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 s="9">
        <v>45312</v>
      </c>
      <c r="L806">
        <f xml:space="preserve"> (交易處理資料__3[[#This Row],[售出工時]] * 60) / 5</f>
        <v>0</v>
      </c>
      <c r="M806" t="str">
        <f>VLOOKUP(交易處理資料__3[[#This Row],[人員代號]],團隊分組!$B$1:$C$52,2,FALSE)</f>
        <v>噴漆維修組</v>
      </c>
      <c r="N806">
        <f>IF(交易處理資料__3[[#This Row],[上班時間]]=0,0,交易處理資料__3[[#This Row],[售出工時]]/交易處理資料__3[[#This Row],[上班時間]])</f>
        <v>0</v>
      </c>
      <c r="O806" s="31" t="str">
        <f>IF(交易處理資料__3[[#This Row],[上班時間]]=0,"否","是")</f>
        <v>否</v>
      </c>
    </row>
    <row r="807" spans="1:15" hidden="1">
      <c r="A807" s="10" t="s">
        <v>73</v>
      </c>
      <c r="B807" t="s">
        <v>5</v>
      </c>
      <c r="C807">
        <v>0</v>
      </c>
      <c r="D807">
        <v>0</v>
      </c>
      <c r="E807" s="2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 s="9">
        <v>45312</v>
      </c>
      <c r="L807">
        <f xml:space="preserve"> (交易處理資料__3[[#This Row],[售出工時]] * 60) / 5</f>
        <v>0</v>
      </c>
      <c r="M807" t="str">
        <f>VLOOKUP(交易處理資料__3[[#This Row],[人員代號]],團隊分組!$B$1:$C$52,2,FALSE)</f>
        <v>噴漆維修組</v>
      </c>
      <c r="N807">
        <f>IF(交易處理資料__3[[#This Row],[上班時間]]=0,0,交易處理資料__3[[#This Row],[售出工時]]/交易處理資料__3[[#This Row],[上班時間]])</f>
        <v>0</v>
      </c>
      <c r="O807" s="31" t="str">
        <f>IF(交易處理資料__3[[#This Row],[上班時間]]=0,"否","是")</f>
        <v>否</v>
      </c>
    </row>
    <row r="808" spans="1:15" hidden="1">
      <c r="A808" s="10" t="s">
        <v>73</v>
      </c>
      <c r="B808" t="s">
        <v>6</v>
      </c>
      <c r="C808">
        <v>0</v>
      </c>
      <c r="D808">
        <v>0</v>
      </c>
      <c r="E808" s="27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 s="9">
        <v>45312</v>
      </c>
      <c r="L808">
        <f xml:space="preserve"> (交易處理資料__3[[#This Row],[售出工時]] * 60) / 5</f>
        <v>0</v>
      </c>
      <c r="M808" t="str">
        <f>VLOOKUP(交易處理資料__3[[#This Row],[人員代號]],團隊分組!$B$1:$C$52,2,FALSE)</f>
        <v>噴漆維修組</v>
      </c>
      <c r="N808">
        <f>IF(交易處理資料__3[[#This Row],[上班時間]]=0,0,交易處理資料__3[[#This Row],[售出工時]]/交易處理資料__3[[#This Row],[上班時間]])</f>
        <v>0</v>
      </c>
      <c r="O808" s="31" t="str">
        <f>IF(交易處理資料__3[[#This Row],[上班時間]]=0,"否","是")</f>
        <v>否</v>
      </c>
    </row>
    <row r="809" spans="1:15" hidden="1">
      <c r="A809" s="10" t="s">
        <v>73</v>
      </c>
      <c r="B809" t="s">
        <v>7</v>
      </c>
      <c r="C809">
        <v>0</v>
      </c>
      <c r="D809">
        <v>0</v>
      </c>
      <c r="E809" s="27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 s="9">
        <v>45312</v>
      </c>
      <c r="L809">
        <f xml:space="preserve"> (交易處理資料__3[[#This Row],[售出工時]] * 60) / 5</f>
        <v>0</v>
      </c>
      <c r="M809" t="str">
        <f>VLOOKUP(交易處理資料__3[[#This Row],[人員代號]],團隊分組!$B$1:$C$52,2,FALSE)</f>
        <v>噴漆維修組</v>
      </c>
      <c r="N809">
        <f>IF(交易處理資料__3[[#This Row],[上班時間]]=0,0,交易處理資料__3[[#This Row],[售出工時]]/交易處理資料__3[[#This Row],[上班時間]])</f>
        <v>0</v>
      </c>
      <c r="O809" s="31" t="str">
        <f>IF(交易處理資料__3[[#This Row],[上班時間]]=0,"否","是")</f>
        <v>否</v>
      </c>
    </row>
    <row r="810" spans="1:15" hidden="1">
      <c r="A810" s="10" t="s">
        <v>73</v>
      </c>
      <c r="B810" t="s">
        <v>8</v>
      </c>
      <c r="C810">
        <v>0</v>
      </c>
      <c r="D810">
        <v>0</v>
      </c>
      <c r="E810" s="27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 s="9">
        <v>45312</v>
      </c>
      <c r="L810">
        <f xml:space="preserve"> (交易處理資料__3[[#This Row],[售出工時]] * 60) / 5</f>
        <v>0</v>
      </c>
      <c r="M810" t="str">
        <f>VLOOKUP(交易處理資料__3[[#This Row],[人員代號]],團隊分組!$B$1:$C$52,2,FALSE)</f>
        <v>噴漆維修組</v>
      </c>
      <c r="N810">
        <f>IF(交易處理資料__3[[#This Row],[上班時間]]=0,0,交易處理資料__3[[#This Row],[售出工時]]/交易處理資料__3[[#This Row],[上班時間]])</f>
        <v>0</v>
      </c>
      <c r="O810" s="31" t="str">
        <f>IF(交易處理資料__3[[#This Row],[上班時間]]=0,"否","是")</f>
        <v>否</v>
      </c>
    </row>
    <row r="811" spans="1:15" hidden="1">
      <c r="A811" s="10" t="s">
        <v>73</v>
      </c>
      <c r="B811" t="s">
        <v>9</v>
      </c>
      <c r="C811">
        <v>0</v>
      </c>
      <c r="D811">
        <v>0</v>
      </c>
      <c r="E811" s="27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 s="9">
        <v>45312</v>
      </c>
      <c r="L811">
        <f xml:space="preserve"> (交易處理資料__3[[#This Row],[售出工時]] * 60) / 5</f>
        <v>0</v>
      </c>
      <c r="M811" t="str">
        <f>VLOOKUP(交易處理資料__3[[#This Row],[人員代號]],團隊分組!$B$1:$C$52,2,FALSE)</f>
        <v>噴漆維修組</v>
      </c>
      <c r="N811">
        <f>IF(交易處理資料__3[[#This Row],[上班時間]]=0,0,交易處理資料__3[[#This Row],[售出工時]]/交易處理資料__3[[#This Row],[上班時間]])</f>
        <v>0</v>
      </c>
      <c r="O811" s="31" t="str">
        <f>IF(交易處理資料__3[[#This Row],[上班時間]]=0,"否","是")</f>
        <v>否</v>
      </c>
    </row>
    <row r="812" spans="1:15" hidden="1">
      <c r="A812" t="s">
        <v>74</v>
      </c>
      <c r="B812" t="s">
        <v>11</v>
      </c>
      <c r="C812">
        <v>0</v>
      </c>
      <c r="D812">
        <v>0</v>
      </c>
      <c r="E812" s="27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 s="9">
        <v>45312</v>
      </c>
      <c r="L812">
        <f xml:space="preserve"> (交易處理資料__3[[#This Row],[售出工時]] * 60) / 5</f>
        <v>0</v>
      </c>
      <c r="M812" t="str">
        <f>VLOOKUP(交易處理資料__3[[#This Row],[人員代號]],團隊分組!$B$1:$C$52,2,FALSE)</f>
        <v>鈑金維修組</v>
      </c>
      <c r="N812">
        <f>IF(交易處理資料__3[[#This Row],[上班時間]]=0,0,交易處理資料__3[[#This Row],[售出工時]]/交易處理資料__3[[#This Row],[上班時間]])</f>
        <v>0</v>
      </c>
      <c r="O812" s="31" t="str">
        <f>IF(交易處理資料__3[[#This Row],[上班時間]]=0,"否","是")</f>
        <v>否</v>
      </c>
    </row>
    <row r="813" spans="1:15" hidden="1">
      <c r="A813" t="s">
        <v>74</v>
      </c>
      <c r="B813" t="s">
        <v>12</v>
      </c>
      <c r="C813">
        <v>0</v>
      </c>
      <c r="D813">
        <v>0</v>
      </c>
      <c r="E813" s="27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 s="9">
        <v>45312</v>
      </c>
      <c r="L813">
        <f xml:space="preserve"> (交易處理資料__3[[#This Row],[售出工時]] * 60) / 5</f>
        <v>0</v>
      </c>
      <c r="M813" t="str">
        <f>VLOOKUP(交易處理資料__3[[#This Row],[人員代號]],團隊分組!$B$1:$C$52,2,FALSE)</f>
        <v>鈑金維修組</v>
      </c>
      <c r="N813">
        <f>IF(交易處理資料__3[[#This Row],[上班時間]]=0,0,交易處理資料__3[[#This Row],[售出工時]]/交易處理資料__3[[#This Row],[上班時間]])</f>
        <v>0</v>
      </c>
      <c r="O813" s="31" t="str">
        <f>IF(交易處理資料__3[[#This Row],[上班時間]]=0,"否","是")</f>
        <v>否</v>
      </c>
    </row>
    <row r="814" spans="1:15" hidden="1">
      <c r="A814" t="s">
        <v>74</v>
      </c>
      <c r="B814" t="s">
        <v>13</v>
      </c>
      <c r="C814">
        <v>0</v>
      </c>
      <c r="D814">
        <v>0</v>
      </c>
      <c r="E814" s="27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 s="9">
        <v>45312</v>
      </c>
      <c r="L814">
        <f xml:space="preserve"> (交易處理資料__3[[#This Row],[售出工時]] * 60) / 5</f>
        <v>0</v>
      </c>
      <c r="M814" t="str">
        <f>VLOOKUP(交易處理資料__3[[#This Row],[人員代號]],團隊分組!$B$1:$C$52,2,FALSE)</f>
        <v>鈑金維修組</v>
      </c>
      <c r="N814">
        <f>IF(交易處理資料__3[[#This Row],[上班時間]]=0,0,交易處理資料__3[[#This Row],[售出工時]]/交易處理資料__3[[#This Row],[上班時間]])</f>
        <v>0</v>
      </c>
      <c r="O814" s="31" t="str">
        <f>IF(交易處理資料__3[[#This Row],[上班時間]]=0,"否","是")</f>
        <v>否</v>
      </c>
    </row>
    <row r="815" spans="1:15" hidden="1">
      <c r="A815" t="s">
        <v>74</v>
      </c>
      <c r="B815" t="s">
        <v>14</v>
      </c>
      <c r="C815">
        <v>0</v>
      </c>
      <c r="D815">
        <v>0</v>
      </c>
      <c r="E815" s="27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 s="9">
        <v>45312</v>
      </c>
      <c r="L815">
        <f xml:space="preserve"> (交易處理資料__3[[#This Row],[售出工時]] * 60) / 5</f>
        <v>0</v>
      </c>
      <c r="M815" t="str">
        <f>VLOOKUP(交易處理資料__3[[#This Row],[人員代號]],團隊分組!$B$1:$C$52,2,FALSE)</f>
        <v>鈑金維修組</v>
      </c>
      <c r="N815">
        <f>IF(交易處理資料__3[[#This Row],[上班時間]]=0,0,交易處理資料__3[[#This Row],[售出工時]]/交易處理資料__3[[#This Row],[上班時間]])</f>
        <v>0</v>
      </c>
      <c r="O815" s="31" t="str">
        <f>IF(交易處理資料__3[[#This Row],[上班時間]]=0,"否","是")</f>
        <v>否</v>
      </c>
    </row>
    <row r="816" spans="1:15" hidden="1">
      <c r="A816" t="s">
        <v>74</v>
      </c>
      <c r="B816" t="s">
        <v>15</v>
      </c>
      <c r="C816">
        <v>0</v>
      </c>
      <c r="D816">
        <v>0</v>
      </c>
      <c r="E816" s="27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 s="9">
        <v>45312</v>
      </c>
      <c r="L816">
        <f xml:space="preserve"> (交易處理資料__3[[#This Row],[售出工時]] * 60) / 5</f>
        <v>0</v>
      </c>
      <c r="M816" t="str">
        <f>VLOOKUP(交易處理資料__3[[#This Row],[人員代號]],團隊分組!$B$1:$C$52,2,FALSE)</f>
        <v>鈑金維修組</v>
      </c>
      <c r="N816">
        <f>IF(交易處理資料__3[[#This Row],[上班時間]]=0,0,交易處理資料__3[[#This Row],[售出工時]]/交易處理資料__3[[#This Row],[上班時間]])</f>
        <v>0</v>
      </c>
      <c r="O816" s="31" t="str">
        <f>IF(交易處理資料__3[[#This Row],[上班時間]]=0,"否","是")</f>
        <v>否</v>
      </c>
    </row>
    <row r="817" spans="1:15" hidden="1">
      <c r="A817" t="s">
        <v>75</v>
      </c>
      <c r="B817" t="s">
        <v>17</v>
      </c>
      <c r="C817">
        <v>0</v>
      </c>
      <c r="D817">
        <v>0</v>
      </c>
      <c r="E817" s="2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 s="9">
        <v>45312</v>
      </c>
      <c r="L817">
        <f xml:space="preserve"> (交易處理資料__3[[#This Row],[售出工時]] * 60) / 5</f>
        <v>0</v>
      </c>
      <c r="M817" t="str">
        <f>VLOOKUP(交易處理資料__3[[#This Row],[人員代號]],團隊分組!$B$1:$C$52,2,FALSE)</f>
        <v>快速保養團隊A</v>
      </c>
      <c r="N817">
        <f>IF(交易處理資料__3[[#This Row],[上班時間]]=0,0,交易處理資料__3[[#This Row],[售出工時]]/交易處理資料__3[[#This Row],[上班時間]])</f>
        <v>0</v>
      </c>
      <c r="O817" s="31" t="str">
        <f>IF(交易處理資料__3[[#This Row],[上班時間]]=0,"否","是")</f>
        <v>否</v>
      </c>
    </row>
    <row r="818" spans="1:15" hidden="1">
      <c r="A818" t="s">
        <v>75</v>
      </c>
      <c r="B818" t="s">
        <v>18</v>
      </c>
      <c r="C818">
        <v>0</v>
      </c>
      <c r="D818">
        <v>0</v>
      </c>
      <c r="E818" s="27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 s="9">
        <v>45312</v>
      </c>
      <c r="L818">
        <f xml:space="preserve"> (交易處理資料__3[[#This Row],[售出工時]] * 60) / 5</f>
        <v>0</v>
      </c>
      <c r="M818" t="str">
        <f>VLOOKUP(交易處理資料__3[[#This Row],[人員代號]],團隊分組!$B$1:$C$52,2,FALSE)</f>
        <v>查修團隊B</v>
      </c>
      <c r="N818">
        <f>IF(交易處理資料__3[[#This Row],[上班時間]]=0,0,交易處理資料__3[[#This Row],[售出工時]]/交易處理資料__3[[#This Row],[上班時間]])</f>
        <v>0</v>
      </c>
      <c r="O818" s="31" t="str">
        <f>IF(交易處理資料__3[[#This Row],[上班時間]]=0,"否","是")</f>
        <v>否</v>
      </c>
    </row>
    <row r="819" spans="1:15" hidden="1">
      <c r="A819" t="s">
        <v>75</v>
      </c>
      <c r="B819" t="s">
        <v>19</v>
      </c>
      <c r="C819">
        <v>0</v>
      </c>
      <c r="D819">
        <v>0</v>
      </c>
      <c r="E819" s="27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 s="9">
        <v>45312</v>
      </c>
      <c r="L819">
        <f xml:space="preserve"> (交易處理資料__3[[#This Row],[售出工時]] * 60) / 5</f>
        <v>0</v>
      </c>
      <c r="M819" t="str">
        <f>VLOOKUP(交易處理資料__3[[#This Row],[人員代號]],團隊分組!$B$1:$C$52,2,FALSE)</f>
        <v>查修團隊A</v>
      </c>
      <c r="N819">
        <f>IF(交易處理資料__3[[#This Row],[上班時間]]=0,0,交易處理資料__3[[#This Row],[售出工時]]/交易處理資料__3[[#This Row],[上班時間]])</f>
        <v>0</v>
      </c>
      <c r="O819" s="31" t="str">
        <f>IF(交易處理資料__3[[#This Row],[上班時間]]=0,"否","是")</f>
        <v>否</v>
      </c>
    </row>
    <row r="820" spans="1:15" hidden="1">
      <c r="A820" t="s">
        <v>75</v>
      </c>
      <c r="B820" t="s">
        <v>20</v>
      </c>
      <c r="C820">
        <v>0</v>
      </c>
      <c r="D820">
        <v>0</v>
      </c>
      <c r="E820" s="27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 s="9">
        <v>45312</v>
      </c>
      <c r="L820">
        <f xml:space="preserve"> (交易處理資料__3[[#This Row],[售出工時]] * 60) / 5</f>
        <v>0</v>
      </c>
      <c r="M820" t="str">
        <f>VLOOKUP(交易處理資料__3[[#This Row],[人員代號]],團隊分組!$B$1:$C$52,2,FALSE)</f>
        <v>查修團隊B</v>
      </c>
      <c r="N820">
        <f>IF(交易處理資料__3[[#This Row],[上班時間]]=0,0,交易處理資料__3[[#This Row],[售出工時]]/交易處理資料__3[[#This Row],[上班時間]])</f>
        <v>0</v>
      </c>
      <c r="O820" s="31" t="str">
        <f>IF(交易處理資料__3[[#This Row],[上班時間]]=0,"否","是")</f>
        <v>否</v>
      </c>
    </row>
    <row r="821" spans="1:15" hidden="1">
      <c r="A821" t="s">
        <v>75</v>
      </c>
      <c r="B821" t="s">
        <v>21</v>
      </c>
      <c r="C821">
        <v>0</v>
      </c>
      <c r="D821">
        <v>0</v>
      </c>
      <c r="E821" s="27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 s="9">
        <v>45312</v>
      </c>
      <c r="L821">
        <f xml:space="preserve"> (交易處理資料__3[[#This Row],[售出工時]] * 60) / 5</f>
        <v>0</v>
      </c>
      <c r="M821" t="str">
        <f>VLOOKUP(交易處理資料__3[[#This Row],[人員代號]],團隊分組!$B$1:$C$52,2,FALSE)</f>
        <v>查修團隊B</v>
      </c>
      <c r="N821">
        <f>IF(交易處理資料__3[[#This Row],[上班時間]]=0,0,交易處理資料__3[[#This Row],[售出工時]]/交易處理資料__3[[#This Row],[上班時間]])</f>
        <v>0</v>
      </c>
      <c r="O821" s="31" t="str">
        <f>IF(交易處理資料__3[[#This Row],[上班時間]]=0,"否","是")</f>
        <v>否</v>
      </c>
    </row>
    <row r="822" spans="1:15" hidden="1">
      <c r="A822" t="s">
        <v>75</v>
      </c>
      <c r="B822" t="s">
        <v>22</v>
      </c>
      <c r="C822">
        <v>0</v>
      </c>
      <c r="D822">
        <v>0</v>
      </c>
      <c r="E822" s="27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 s="9">
        <v>45312</v>
      </c>
      <c r="L822">
        <f xml:space="preserve"> (交易處理資料__3[[#This Row],[售出工時]] * 60) / 5</f>
        <v>0</v>
      </c>
      <c r="M822" t="str">
        <f>VLOOKUP(交易處理資料__3[[#This Row],[人員代號]],團隊分組!$B$1:$C$52,2,FALSE)</f>
        <v>快速保養團隊A</v>
      </c>
      <c r="N822">
        <f>IF(交易處理資料__3[[#This Row],[上班時間]]=0,0,交易處理資料__3[[#This Row],[售出工時]]/交易處理資料__3[[#This Row],[上班時間]])</f>
        <v>0</v>
      </c>
      <c r="O822" s="31" t="str">
        <f>IF(交易處理資料__3[[#This Row],[上班時間]]=0,"否","是")</f>
        <v>否</v>
      </c>
    </row>
    <row r="823" spans="1:15" hidden="1">
      <c r="A823" t="s">
        <v>75</v>
      </c>
      <c r="B823" t="s">
        <v>23</v>
      </c>
      <c r="C823">
        <v>0</v>
      </c>
      <c r="D823">
        <v>0</v>
      </c>
      <c r="E823" s="27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 s="9">
        <v>45312</v>
      </c>
      <c r="L823">
        <f xml:space="preserve"> (交易處理資料__3[[#This Row],[售出工時]] * 60) / 5</f>
        <v>0</v>
      </c>
      <c r="M823" t="str">
        <f>VLOOKUP(交易處理資料__3[[#This Row],[人員代號]],團隊分組!$B$1:$C$52,2,FALSE)</f>
        <v>快速保養團隊B</v>
      </c>
      <c r="N823">
        <f>IF(交易處理資料__3[[#This Row],[上班時間]]=0,0,交易處理資料__3[[#This Row],[售出工時]]/交易處理資料__3[[#This Row],[上班時間]])</f>
        <v>0</v>
      </c>
      <c r="O823" s="31" t="str">
        <f>IF(交易處理資料__3[[#This Row],[上班時間]]=0,"否","是")</f>
        <v>否</v>
      </c>
    </row>
    <row r="824" spans="1:15" hidden="1">
      <c r="A824" t="s">
        <v>75</v>
      </c>
      <c r="B824" t="s">
        <v>24</v>
      </c>
      <c r="C824">
        <v>0</v>
      </c>
      <c r="D824">
        <v>0</v>
      </c>
      <c r="E824" s="27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 s="9">
        <v>45312</v>
      </c>
      <c r="L824">
        <f xml:space="preserve"> (交易處理資料__3[[#This Row],[售出工時]] * 60) / 5</f>
        <v>0</v>
      </c>
      <c r="M824" t="str">
        <f>VLOOKUP(交易處理資料__3[[#This Row],[人員代號]],團隊分組!$B$1:$C$52,2,FALSE)</f>
        <v>快速保養團隊A</v>
      </c>
      <c r="N824">
        <f>IF(交易處理資料__3[[#This Row],[上班時間]]=0,0,交易處理資料__3[[#This Row],[售出工時]]/交易處理資料__3[[#This Row],[上班時間]])</f>
        <v>0</v>
      </c>
      <c r="O824" s="31" t="str">
        <f>IF(交易處理資料__3[[#This Row],[上班時間]]=0,"否","是")</f>
        <v>否</v>
      </c>
    </row>
    <row r="825" spans="1:15" hidden="1">
      <c r="A825" t="s">
        <v>75</v>
      </c>
      <c r="B825" t="s">
        <v>25</v>
      </c>
      <c r="C825">
        <v>0</v>
      </c>
      <c r="D825">
        <v>0</v>
      </c>
      <c r="E825" s="27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 s="9">
        <v>45312</v>
      </c>
      <c r="L825">
        <f xml:space="preserve"> (交易處理資料__3[[#This Row],[售出工時]] * 60) / 5</f>
        <v>0</v>
      </c>
      <c r="M825" t="str">
        <f>VLOOKUP(交易處理資料__3[[#This Row],[人員代號]],團隊分組!$B$1:$C$52,2,FALSE)</f>
        <v>查修團隊A</v>
      </c>
      <c r="N825">
        <f>IF(交易處理資料__3[[#This Row],[上班時間]]=0,0,交易處理資料__3[[#This Row],[售出工時]]/交易處理資料__3[[#This Row],[上班時間]])</f>
        <v>0</v>
      </c>
      <c r="O825" s="31" t="str">
        <f>IF(交易處理資料__3[[#This Row],[上班時間]]=0,"否","是")</f>
        <v>否</v>
      </c>
    </row>
    <row r="826" spans="1:15" hidden="1">
      <c r="A826" t="s">
        <v>75</v>
      </c>
      <c r="B826" t="s">
        <v>26</v>
      </c>
      <c r="C826">
        <v>0</v>
      </c>
      <c r="D826">
        <v>0</v>
      </c>
      <c r="E826" s="27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 s="9">
        <v>45312</v>
      </c>
      <c r="L826">
        <f xml:space="preserve"> (交易處理資料__3[[#This Row],[售出工時]] * 60) / 5</f>
        <v>0</v>
      </c>
      <c r="M826" t="str">
        <f>VLOOKUP(交易處理資料__3[[#This Row],[人員代號]],團隊分組!$B$1:$C$52,2,FALSE)</f>
        <v>查修團隊B</v>
      </c>
      <c r="N826">
        <f>IF(交易處理資料__3[[#This Row],[上班時間]]=0,0,交易處理資料__3[[#This Row],[售出工時]]/交易處理資料__3[[#This Row],[上班時間]])</f>
        <v>0</v>
      </c>
      <c r="O826" s="31" t="str">
        <f>IF(交易處理資料__3[[#This Row],[上班時間]]=0,"否","是")</f>
        <v>否</v>
      </c>
    </row>
    <row r="827" spans="1:15" hidden="1">
      <c r="A827" t="s">
        <v>75</v>
      </c>
      <c r="B827" t="s">
        <v>27</v>
      </c>
      <c r="C827">
        <v>0</v>
      </c>
      <c r="D827">
        <v>0</v>
      </c>
      <c r="E827" s="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 s="9">
        <v>45312</v>
      </c>
      <c r="L827">
        <f xml:space="preserve"> (交易處理資料__3[[#This Row],[售出工時]] * 60) / 5</f>
        <v>0</v>
      </c>
      <c r="M827" t="str">
        <f>VLOOKUP(交易處理資料__3[[#This Row],[人員代號]],團隊分組!$B$1:$C$52,2,FALSE)</f>
        <v>快速保養團隊B</v>
      </c>
      <c r="N827">
        <f>IF(交易處理資料__3[[#This Row],[上班時間]]=0,0,交易處理資料__3[[#This Row],[售出工時]]/交易處理資料__3[[#This Row],[上班時間]])</f>
        <v>0</v>
      </c>
      <c r="O827" s="31" t="str">
        <f>IF(交易處理資料__3[[#This Row],[上班時間]]=0,"否","是")</f>
        <v>否</v>
      </c>
    </row>
    <row r="828" spans="1:15" hidden="1">
      <c r="A828" t="s">
        <v>75</v>
      </c>
      <c r="B828" t="s">
        <v>28</v>
      </c>
      <c r="C828">
        <v>0</v>
      </c>
      <c r="D828">
        <v>0</v>
      </c>
      <c r="E828" s="27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 s="9">
        <v>45312</v>
      </c>
      <c r="L828">
        <f xml:space="preserve"> (交易處理資料__3[[#This Row],[售出工時]] * 60) / 5</f>
        <v>0</v>
      </c>
      <c r="M828" t="str">
        <f>VLOOKUP(交易處理資料__3[[#This Row],[人員代號]],團隊分組!$B$1:$C$52,2,FALSE)</f>
        <v>快速保養團隊A</v>
      </c>
      <c r="N828">
        <f>IF(交易處理資料__3[[#This Row],[上班時間]]=0,0,交易處理資料__3[[#This Row],[售出工時]]/交易處理資料__3[[#This Row],[上班時間]])</f>
        <v>0</v>
      </c>
      <c r="O828" s="31" t="str">
        <f>IF(交易處理資料__3[[#This Row],[上班時間]]=0,"否","是")</f>
        <v>否</v>
      </c>
    </row>
    <row r="829" spans="1:15" hidden="1">
      <c r="A829" t="s">
        <v>75</v>
      </c>
      <c r="B829" t="s">
        <v>29</v>
      </c>
      <c r="C829">
        <v>0</v>
      </c>
      <c r="D829">
        <v>0</v>
      </c>
      <c r="E829" s="27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 s="9">
        <v>45312</v>
      </c>
      <c r="L829">
        <f xml:space="preserve"> (交易處理資料__3[[#This Row],[售出工時]] * 60) / 5</f>
        <v>0</v>
      </c>
      <c r="M829" t="str">
        <f>VLOOKUP(交易處理資料__3[[#This Row],[人員代號]],團隊分組!$B$1:$C$52,2,FALSE)</f>
        <v>查修團隊B</v>
      </c>
      <c r="N829">
        <f>IF(交易處理資料__3[[#This Row],[上班時間]]=0,0,交易處理資料__3[[#This Row],[售出工時]]/交易處理資料__3[[#This Row],[上班時間]])</f>
        <v>0</v>
      </c>
      <c r="O829" s="31" t="str">
        <f>IF(交易處理資料__3[[#This Row],[上班時間]]=0,"否","是")</f>
        <v>否</v>
      </c>
    </row>
    <row r="830" spans="1:15" hidden="1">
      <c r="A830" t="s">
        <v>75</v>
      </c>
      <c r="B830" t="s">
        <v>30</v>
      </c>
      <c r="C830">
        <v>0</v>
      </c>
      <c r="D830">
        <v>0</v>
      </c>
      <c r="E830" s="27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 s="9">
        <v>45312</v>
      </c>
      <c r="L830">
        <f xml:space="preserve"> (交易處理資料__3[[#This Row],[售出工時]] * 60) / 5</f>
        <v>0</v>
      </c>
      <c r="M830" t="str">
        <f>VLOOKUP(交易處理資料__3[[#This Row],[人員代號]],團隊分組!$B$1:$C$52,2,FALSE)</f>
        <v>快速保養團隊B</v>
      </c>
      <c r="N830">
        <f>IF(交易處理資料__3[[#This Row],[上班時間]]=0,0,交易處理資料__3[[#This Row],[售出工時]]/交易處理資料__3[[#This Row],[上班時間]])</f>
        <v>0</v>
      </c>
      <c r="O830" s="31" t="str">
        <f>IF(交易處理資料__3[[#This Row],[上班時間]]=0,"否","是")</f>
        <v>否</v>
      </c>
    </row>
    <row r="831" spans="1:15" hidden="1">
      <c r="A831" t="s">
        <v>75</v>
      </c>
      <c r="B831" t="s">
        <v>31</v>
      </c>
      <c r="C831">
        <v>0</v>
      </c>
      <c r="D831">
        <v>0</v>
      </c>
      <c r="E831" s="27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 s="9">
        <v>45312</v>
      </c>
      <c r="L831">
        <f xml:space="preserve"> (交易處理資料__3[[#This Row],[售出工時]] * 60) / 5</f>
        <v>0</v>
      </c>
      <c r="M831" t="str">
        <f>VLOOKUP(交易處理資料__3[[#This Row],[人員代號]],團隊分組!$B$1:$C$52,2,FALSE)</f>
        <v>快速保養團隊A</v>
      </c>
      <c r="N831">
        <f>IF(交易處理資料__3[[#This Row],[上班時間]]=0,0,交易處理資料__3[[#This Row],[售出工時]]/交易處理資料__3[[#This Row],[上班時間]])</f>
        <v>0</v>
      </c>
      <c r="O831" s="31" t="str">
        <f>IF(交易處理資料__3[[#This Row],[上班時間]]=0,"否","是")</f>
        <v>否</v>
      </c>
    </row>
    <row r="832" spans="1:15" hidden="1">
      <c r="A832" t="s">
        <v>75</v>
      </c>
      <c r="B832" t="s">
        <v>32</v>
      </c>
      <c r="C832">
        <v>0</v>
      </c>
      <c r="D832">
        <v>0</v>
      </c>
      <c r="E832" s="27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 s="9">
        <v>45312</v>
      </c>
      <c r="L832">
        <f xml:space="preserve"> (交易處理資料__3[[#This Row],[售出工時]] * 60) / 5</f>
        <v>0</v>
      </c>
      <c r="M832" t="str">
        <f>VLOOKUP(交易處理資料__3[[#This Row],[人員代號]],團隊分組!$B$1:$C$52,2,FALSE)</f>
        <v>快速保養團隊B</v>
      </c>
      <c r="N832">
        <f>IF(交易處理資料__3[[#This Row],[上班時間]]=0,0,交易處理資料__3[[#This Row],[售出工時]]/交易處理資料__3[[#This Row],[上班時間]])</f>
        <v>0</v>
      </c>
      <c r="O832" s="31" t="str">
        <f>IF(交易處理資料__3[[#This Row],[上班時間]]=0,"否","是")</f>
        <v>否</v>
      </c>
    </row>
    <row r="833" spans="1:15">
      <c r="A833" t="s">
        <v>75</v>
      </c>
      <c r="B833" t="s">
        <v>33</v>
      </c>
      <c r="C833">
        <v>0</v>
      </c>
      <c r="D833">
        <v>0</v>
      </c>
      <c r="E833" s="27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 s="9">
        <v>45312</v>
      </c>
      <c r="L833">
        <f xml:space="preserve"> (交易處理資料__3[[#This Row],[售出工時]] * 60) / 5</f>
        <v>0</v>
      </c>
      <c r="M833" t="str">
        <f>VLOOKUP(交易處理資料__3[[#This Row],[人員代號]],團隊分組!$B$1:$C$52,2,FALSE)</f>
        <v>快速保養團隊B</v>
      </c>
      <c r="N833">
        <f>IF(交易處理資料__3[[#This Row],[上班時間]]=0,0,交易處理資料__3[[#This Row],[售出工時]]/交易處理資料__3[[#This Row],[上班時間]])</f>
        <v>0</v>
      </c>
      <c r="O833" s="31" t="str">
        <f>IF(交易處理資料__3[[#This Row],[上班時間]]=0,"否","是")</f>
        <v>否</v>
      </c>
    </row>
    <row r="834" spans="1:15" hidden="1">
      <c r="A834" t="s">
        <v>75</v>
      </c>
      <c r="B834" t="s">
        <v>34</v>
      </c>
      <c r="C834">
        <v>0</v>
      </c>
      <c r="D834">
        <v>0</v>
      </c>
      <c r="E834" s="27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 s="9">
        <v>45312</v>
      </c>
      <c r="L834">
        <f xml:space="preserve"> (交易處理資料__3[[#This Row],[售出工時]] * 60) / 5</f>
        <v>0</v>
      </c>
      <c r="M834" t="str">
        <f>VLOOKUP(交易處理資料__3[[#This Row],[人員代號]],團隊分組!$B$1:$C$52,2,FALSE)</f>
        <v>快速保養團隊A</v>
      </c>
      <c r="N834">
        <f>IF(交易處理資料__3[[#This Row],[上班時間]]=0,0,交易處理資料__3[[#This Row],[售出工時]]/交易處理資料__3[[#This Row],[上班時間]])</f>
        <v>0</v>
      </c>
      <c r="O834" s="31" t="str">
        <f>IF(交易處理資料__3[[#This Row],[上班時間]]=0,"否","是")</f>
        <v>否</v>
      </c>
    </row>
    <row r="835" spans="1:15" hidden="1">
      <c r="A835" t="s">
        <v>75</v>
      </c>
      <c r="B835" t="s">
        <v>35</v>
      </c>
      <c r="C835">
        <v>0</v>
      </c>
      <c r="D835">
        <v>0</v>
      </c>
      <c r="E835" s="27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 s="9">
        <v>45312</v>
      </c>
      <c r="L835">
        <f xml:space="preserve"> (交易處理資料__3[[#This Row],[售出工時]] * 60) / 5</f>
        <v>0</v>
      </c>
      <c r="M835" t="str">
        <f>VLOOKUP(交易處理資料__3[[#This Row],[人員代號]],團隊分組!$B$1:$C$52,2,FALSE)</f>
        <v>查修團隊B</v>
      </c>
      <c r="N835">
        <f>IF(交易處理資料__3[[#This Row],[上班時間]]=0,0,交易處理資料__3[[#This Row],[售出工時]]/交易處理資料__3[[#This Row],[上班時間]])</f>
        <v>0</v>
      </c>
      <c r="O835" s="31" t="str">
        <f>IF(交易處理資料__3[[#This Row],[上班時間]]=0,"否","是")</f>
        <v>否</v>
      </c>
    </row>
    <row r="836" spans="1:15" hidden="1">
      <c r="A836" t="s">
        <v>75</v>
      </c>
      <c r="B836" t="s">
        <v>36</v>
      </c>
      <c r="C836">
        <v>0</v>
      </c>
      <c r="D836">
        <v>0</v>
      </c>
      <c r="E836" s="27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 s="9">
        <v>45312</v>
      </c>
      <c r="L836">
        <f xml:space="preserve"> (交易處理資料__3[[#This Row],[售出工時]] * 60) / 5</f>
        <v>0</v>
      </c>
      <c r="M836" t="str">
        <f>VLOOKUP(交易處理資料__3[[#This Row],[人員代號]],團隊分組!$B$1:$C$52,2,FALSE)</f>
        <v>查修團隊B</v>
      </c>
      <c r="N836">
        <f>IF(交易處理資料__3[[#This Row],[上班時間]]=0,0,交易處理資料__3[[#This Row],[售出工時]]/交易處理資料__3[[#This Row],[上班時間]])</f>
        <v>0</v>
      </c>
      <c r="O836" s="31" t="str">
        <f>IF(交易處理資料__3[[#This Row],[上班時間]]=0,"否","是")</f>
        <v>否</v>
      </c>
    </row>
    <row r="837" spans="1:15" hidden="1">
      <c r="A837" t="s">
        <v>75</v>
      </c>
      <c r="B837" t="s">
        <v>37</v>
      </c>
      <c r="C837">
        <v>0</v>
      </c>
      <c r="D837">
        <v>0</v>
      </c>
      <c r="E837" s="2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 s="9">
        <v>45312</v>
      </c>
      <c r="L837">
        <f xml:space="preserve"> (交易處理資料__3[[#This Row],[售出工時]] * 60) / 5</f>
        <v>0</v>
      </c>
      <c r="M837" t="str">
        <f>VLOOKUP(交易處理資料__3[[#This Row],[人員代號]],團隊分組!$B$1:$C$52,2,FALSE)</f>
        <v>查修團隊A</v>
      </c>
      <c r="N837">
        <f>IF(交易處理資料__3[[#This Row],[上班時間]]=0,0,交易處理資料__3[[#This Row],[售出工時]]/交易處理資料__3[[#This Row],[上班時間]])</f>
        <v>0</v>
      </c>
      <c r="O837" s="31" t="str">
        <f>IF(交易處理資料__3[[#This Row],[上班時間]]=0,"否","是")</f>
        <v>否</v>
      </c>
    </row>
    <row r="838" spans="1:15" hidden="1">
      <c r="A838" t="s">
        <v>75</v>
      </c>
      <c r="B838" t="s">
        <v>38</v>
      </c>
      <c r="C838">
        <v>0</v>
      </c>
      <c r="D838">
        <v>0</v>
      </c>
      <c r="E838" s="27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 s="9">
        <v>45312</v>
      </c>
      <c r="L838">
        <f xml:space="preserve"> (交易處理資料__3[[#This Row],[售出工時]] * 60) / 5</f>
        <v>0</v>
      </c>
      <c r="M838" t="str">
        <f>VLOOKUP(交易處理資料__3[[#This Row],[人員代號]],團隊分組!$B$1:$C$52,2,FALSE)</f>
        <v>快速保養團隊A</v>
      </c>
      <c r="N838">
        <f>IF(交易處理資料__3[[#This Row],[上班時間]]=0,0,交易處理資料__3[[#This Row],[售出工時]]/交易處理資料__3[[#This Row],[上班時間]])</f>
        <v>0</v>
      </c>
      <c r="O838" s="31" t="str">
        <f>IF(交易處理資料__3[[#This Row],[上班時間]]=0,"否","是")</f>
        <v>否</v>
      </c>
    </row>
    <row r="839" spans="1:15" hidden="1">
      <c r="A839" t="s">
        <v>75</v>
      </c>
      <c r="B839" t="s">
        <v>39</v>
      </c>
      <c r="C839">
        <v>0</v>
      </c>
      <c r="D839">
        <v>0</v>
      </c>
      <c r="E839" s="27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 s="9">
        <v>45312</v>
      </c>
      <c r="L839">
        <f xml:space="preserve"> (交易處理資料__3[[#This Row],[售出工時]] * 60) / 5</f>
        <v>0</v>
      </c>
      <c r="M839" t="str">
        <f>VLOOKUP(交易處理資料__3[[#This Row],[人員代號]],團隊分組!$B$1:$C$52,2,FALSE)</f>
        <v>查修團隊A</v>
      </c>
      <c r="N839">
        <f>IF(交易處理資料__3[[#This Row],[上班時間]]=0,0,交易處理資料__3[[#This Row],[售出工時]]/交易處理資料__3[[#This Row],[上班時間]])</f>
        <v>0</v>
      </c>
      <c r="O839" s="31" t="str">
        <f>IF(交易處理資料__3[[#This Row],[上班時間]]=0,"否","是")</f>
        <v>否</v>
      </c>
    </row>
    <row r="840" spans="1:15" hidden="1">
      <c r="A840" t="s">
        <v>75</v>
      </c>
      <c r="B840" t="s">
        <v>40</v>
      </c>
      <c r="C840">
        <v>0</v>
      </c>
      <c r="D840">
        <v>0</v>
      </c>
      <c r="E840" s="27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 s="9">
        <v>45312</v>
      </c>
      <c r="L840">
        <f xml:space="preserve"> (交易處理資料__3[[#This Row],[售出工時]] * 60) / 5</f>
        <v>0</v>
      </c>
      <c r="M840" t="str">
        <f>VLOOKUP(交易處理資料__3[[#This Row],[人員代號]],團隊分組!$B$1:$C$52,2,FALSE)</f>
        <v>查修團隊A</v>
      </c>
      <c r="N840">
        <f>IF(交易處理資料__3[[#This Row],[上班時間]]=0,0,交易處理資料__3[[#This Row],[售出工時]]/交易處理資料__3[[#This Row],[上班時間]])</f>
        <v>0</v>
      </c>
      <c r="O840" s="31" t="str">
        <f>IF(交易處理資料__3[[#This Row],[上班時間]]=0,"否","是")</f>
        <v>否</v>
      </c>
    </row>
    <row r="841" spans="1:15" hidden="1">
      <c r="A841" t="s">
        <v>75</v>
      </c>
      <c r="B841" t="s">
        <v>41</v>
      </c>
      <c r="C841">
        <v>0</v>
      </c>
      <c r="D841">
        <v>0</v>
      </c>
      <c r="E841" s="27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 s="9">
        <v>45312</v>
      </c>
      <c r="L841">
        <f xml:space="preserve"> (交易處理資料__3[[#This Row],[售出工時]] * 60) / 5</f>
        <v>0</v>
      </c>
      <c r="M841" t="str">
        <f>VLOOKUP(交易處理資料__3[[#This Row],[人員代號]],團隊分組!$B$1:$C$52,2,FALSE)</f>
        <v>快速保養團隊A</v>
      </c>
      <c r="N841">
        <f>IF(交易處理資料__3[[#This Row],[上班時間]]=0,0,交易處理資料__3[[#This Row],[售出工時]]/交易處理資料__3[[#This Row],[上班時間]])</f>
        <v>0</v>
      </c>
      <c r="O841" s="31" t="str">
        <f>IF(交易處理資料__3[[#This Row],[上班時間]]=0,"否","是")</f>
        <v>否</v>
      </c>
    </row>
    <row r="842" spans="1:15" hidden="1">
      <c r="A842" t="s">
        <v>75</v>
      </c>
      <c r="B842" t="s">
        <v>42</v>
      </c>
      <c r="C842">
        <v>0</v>
      </c>
      <c r="D842">
        <v>0</v>
      </c>
      <c r="E842" s="27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 s="9">
        <v>45312</v>
      </c>
      <c r="L842">
        <f xml:space="preserve"> (交易處理資料__3[[#This Row],[售出工時]] * 60) / 5</f>
        <v>0</v>
      </c>
      <c r="M842" t="str">
        <f>VLOOKUP(交易處理資料__3[[#This Row],[人員代號]],團隊分組!$B$1:$C$52,2,FALSE)</f>
        <v>快速保養團隊A</v>
      </c>
      <c r="N842">
        <f>IF(交易處理資料__3[[#This Row],[上班時間]]=0,0,交易處理資料__3[[#This Row],[售出工時]]/交易處理資料__3[[#This Row],[上班時間]])</f>
        <v>0</v>
      </c>
      <c r="O842" s="31" t="str">
        <f>IF(交易處理資料__3[[#This Row],[上班時間]]=0,"否","是")</f>
        <v>否</v>
      </c>
    </row>
    <row r="843" spans="1:15" hidden="1">
      <c r="A843" t="s">
        <v>75</v>
      </c>
      <c r="B843" t="s">
        <v>43</v>
      </c>
      <c r="C843">
        <v>0</v>
      </c>
      <c r="D843">
        <v>0</v>
      </c>
      <c r="E843" s="27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 s="9">
        <v>45312</v>
      </c>
      <c r="L843">
        <f xml:space="preserve"> (交易處理資料__3[[#This Row],[售出工時]] * 60) / 5</f>
        <v>0</v>
      </c>
      <c r="M843" t="str">
        <f>VLOOKUP(交易處理資料__3[[#This Row],[人員代號]],團隊分組!$B$1:$C$52,2,FALSE)</f>
        <v>查修團隊B</v>
      </c>
      <c r="N843">
        <f>IF(交易處理資料__3[[#This Row],[上班時間]]=0,0,交易處理資料__3[[#This Row],[售出工時]]/交易處理資料__3[[#This Row],[上班時間]])</f>
        <v>0</v>
      </c>
      <c r="O843" s="31" t="str">
        <f>IF(交易處理資料__3[[#This Row],[上班時間]]=0,"否","是")</f>
        <v>否</v>
      </c>
    </row>
    <row r="844" spans="1:15" hidden="1">
      <c r="A844" t="s">
        <v>75</v>
      </c>
      <c r="B844" t="s">
        <v>44</v>
      </c>
      <c r="C844">
        <v>0</v>
      </c>
      <c r="D844">
        <v>0</v>
      </c>
      <c r="E844" s="27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 s="9">
        <v>45312</v>
      </c>
      <c r="L844">
        <f xml:space="preserve"> (交易處理資料__3[[#This Row],[售出工時]] * 60) / 5</f>
        <v>0</v>
      </c>
      <c r="M844" t="str">
        <f>VLOOKUP(交易處理資料__3[[#This Row],[人員代號]],團隊分組!$B$1:$C$52,2,FALSE)</f>
        <v>快速保養團隊B</v>
      </c>
      <c r="N844">
        <f>IF(交易處理資料__3[[#This Row],[上班時間]]=0,0,交易處理資料__3[[#This Row],[售出工時]]/交易處理資料__3[[#This Row],[上班時間]])</f>
        <v>0</v>
      </c>
      <c r="O844" s="31" t="str">
        <f>IF(交易處理資料__3[[#This Row],[上班時間]]=0,"否","是")</f>
        <v>否</v>
      </c>
    </row>
    <row r="845" spans="1:15" hidden="1">
      <c r="A845" t="s">
        <v>75</v>
      </c>
      <c r="B845" t="s">
        <v>45</v>
      </c>
      <c r="C845">
        <v>0</v>
      </c>
      <c r="D845">
        <v>0</v>
      </c>
      <c r="E845" s="27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 s="9">
        <v>45312</v>
      </c>
      <c r="L845">
        <f xml:space="preserve"> (交易處理資料__3[[#This Row],[售出工時]] * 60) / 5</f>
        <v>0</v>
      </c>
      <c r="M845" t="str">
        <f>VLOOKUP(交易處理資料__3[[#This Row],[人員代號]],團隊分組!$B$1:$C$52,2,FALSE)</f>
        <v>快速保養團隊A</v>
      </c>
      <c r="N845">
        <f>IF(交易處理資料__3[[#This Row],[上班時間]]=0,0,交易處理資料__3[[#This Row],[售出工時]]/交易處理資料__3[[#This Row],[上班時間]])</f>
        <v>0</v>
      </c>
      <c r="O845" s="31" t="str">
        <f>IF(交易處理資料__3[[#This Row],[上班時間]]=0,"否","是")</f>
        <v>否</v>
      </c>
    </row>
    <row r="846" spans="1:15" hidden="1">
      <c r="A846" t="s">
        <v>75</v>
      </c>
      <c r="B846" t="s">
        <v>46</v>
      </c>
      <c r="C846">
        <v>0</v>
      </c>
      <c r="D846">
        <v>0</v>
      </c>
      <c r="E846" s="27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 s="9">
        <v>45312</v>
      </c>
      <c r="L846">
        <f xml:space="preserve"> (交易處理資料__3[[#This Row],[售出工時]] * 60) / 5</f>
        <v>0</v>
      </c>
      <c r="M846" t="str">
        <f>VLOOKUP(交易處理資料__3[[#This Row],[人員代號]],團隊分組!$B$1:$C$52,2,FALSE)</f>
        <v>查修團隊B</v>
      </c>
      <c r="N846">
        <f>IF(交易處理資料__3[[#This Row],[上班時間]]=0,0,交易處理資料__3[[#This Row],[售出工時]]/交易處理資料__3[[#This Row],[上班時間]])</f>
        <v>0</v>
      </c>
      <c r="O846" s="31" t="str">
        <f>IF(交易處理資料__3[[#This Row],[上班時間]]=0,"否","是")</f>
        <v>否</v>
      </c>
    </row>
    <row r="847" spans="1:15" hidden="1">
      <c r="A847" t="s">
        <v>75</v>
      </c>
      <c r="B847" t="s">
        <v>47</v>
      </c>
      <c r="C847">
        <v>0</v>
      </c>
      <c r="D847">
        <v>0</v>
      </c>
      <c r="E847" s="2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 s="9">
        <v>45312</v>
      </c>
      <c r="L847">
        <f xml:space="preserve"> (交易處理資料__3[[#This Row],[售出工時]] * 60) / 5</f>
        <v>0</v>
      </c>
      <c r="M847" t="str">
        <f>VLOOKUP(交易處理資料__3[[#This Row],[人員代號]],團隊分組!$B$1:$C$52,2,FALSE)</f>
        <v>查修團隊B</v>
      </c>
      <c r="N847">
        <f>IF(交易處理資料__3[[#This Row],[上班時間]]=0,0,交易處理資料__3[[#This Row],[售出工時]]/交易處理資料__3[[#This Row],[上班時間]])</f>
        <v>0</v>
      </c>
      <c r="O847" s="31" t="str">
        <f>IF(交易處理資料__3[[#This Row],[上班時間]]=0,"否","是")</f>
        <v>否</v>
      </c>
    </row>
    <row r="848" spans="1:15" hidden="1">
      <c r="A848" t="s">
        <v>75</v>
      </c>
      <c r="B848" t="s">
        <v>48</v>
      </c>
      <c r="C848">
        <v>0</v>
      </c>
      <c r="D848">
        <v>0</v>
      </c>
      <c r="E848" s="27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 s="9">
        <v>45312</v>
      </c>
      <c r="L848">
        <f xml:space="preserve"> (交易處理資料__3[[#This Row],[售出工時]] * 60) / 5</f>
        <v>0</v>
      </c>
      <c r="M848" t="str">
        <f>VLOOKUP(交易處理資料__3[[#This Row],[人員代號]],團隊分組!$B$1:$C$52,2,FALSE)</f>
        <v>查修團隊A</v>
      </c>
      <c r="N848">
        <f>IF(交易處理資料__3[[#This Row],[上班時間]]=0,0,交易處理資料__3[[#This Row],[售出工時]]/交易處理資料__3[[#This Row],[上班時間]])</f>
        <v>0</v>
      </c>
      <c r="O848" s="31" t="str">
        <f>IF(交易處理資料__3[[#This Row],[上班時間]]=0,"否","是")</f>
        <v>否</v>
      </c>
    </row>
    <row r="849" spans="1:15" hidden="1">
      <c r="A849" t="s">
        <v>75</v>
      </c>
      <c r="B849" t="s">
        <v>49</v>
      </c>
      <c r="C849">
        <v>0</v>
      </c>
      <c r="D849">
        <v>0</v>
      </c>
      <c r="E849" s="27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 s="9">
        <v>45312</v>
      </c>
      <c r="L849">
        <f xml:space="preserve"> (交易處理資料__3[[#This Row],[售出工時]] * 60) / 5</f>
        <v>0</v>
      </c>
      <c r="M849" t="str">
        <f>VLOOKUP(交易處理資料__3[[#This Row],[人員代號]],團隊分組!$B$1:$C$52,2,FALSE)</f>
        <v>查修團隊A</v>
      </c>
      <c r="N849">
        <f>IF(交易處理資料__3[[#This Row],[上班時間]]=0,0,交易處理資料__3[[#This Row],[售出工時]]/交易處理資料__3[[#This Row],[上班時間]])</f>
        <v>0</v>
      </c>
      <c r="O849" s="31" t="str">
        <f>IF(交易處理資料__3[[#This Row],[上班時間]]=0,"否","是")</f>
        <v>否</v>
      </c>
    </row>
    <row r="850" spans="1:15" hidden="1">
      <c r="A850" t="s">
        <v>75</v>
      </c>
      <c r="B850" t="s">
        <v>50</v>
      </c>
      <c r="C850">
        <v>0</v>
      </c>
      <c r="D850">
        <v>0</v>
      </c>
      <c r="E850" s="27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 s="9">
        <v>45312</v>
      </c>
      <c r="L850">
        <f xml:space="preserve"> (交易處理資料__3[[#This Row],[售出工時]] * 60) / 5</f>
        <v>0</v>
      </c>
      <c r="M850" t="str">
        <f>VLOOKUP(交易處理資料__3[[#This Row],[人員代號]],團隊分組!$B$1:$C$52,2,FALSE)</f>
        <v>快速保養團隊B</v>
      </c>
      <c r="N850">
        <f>IF(交易處理資料__3[[#This Row],[上班時間]]=0,0,交易處理資料__3[[#This Row],[售出工時]]/交易處理資料__3[[#This Row],[上班時間]])</f>
        <v>0</v>
      </c>
      <c r="O850" s="31" t="str">
        <f>IF(交易處理資料__3[[#This Row],[上班時間]]=0,"否","是")</f>
        <v>否</v>
      </c>
    </row>
    <row r="851" spans="1:15" hidden="1">
      <c r="A851" t="s">
        <v>75</v>
      </c>
      <c r="B851" t="s">
        <v>51</v>
      </c>
      <c r="C851">
        <v>0</v>
      </c>
      <c r="D851">
        <v>0</v>
      </c>
      <c r="E851" s="27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 s="9">
        <v>45312</v>
      </c>
      <c r="L851">
        <f xml:space="preserve"> (交易處理資料__3[[#This Row],[售出工時]] * 60) / 5</f>
        <v>0</v>
      </c>
      <c r="M851" t="str">
        <f>VLOOKUP(交易處理資料__3[[#This Row],[人員代號]],團隊分組!$B$1:$C$52,2,FALSE)</f>
        <v>無效數據</v>
      </c>
      <c r="N851">
        <f>IF(交易處理資料__3[[#This Row],[上班時間]]=0,0,交易處理資料__3[[#This Row],[售出工時]]/交易處理資料__3[[#This Row],[上班時間]])</f>
        <v>0</v>
      </c>
      <c r="O851" s="31" t="str">
        <f>IF(交易處理資料__3[[#This Row],[上班時間]]=0,"否","是")</f>
        <v>否</v>
      </c>
    </row>
    <row r="852" spans="1:15" hidden="1">
      <c r="A852" t="s">
        <v>75</v>
      </c>
      <c r="B852" t="s">
        <v>52</v>
      </c>
      <c r="C852">
        <v>0</v>
      </c>
      <c r="D852">
        <v>0</v>
      </c>
      <c r="E852" s="27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 s="9">
        <v>45312</v>
      </c>
      <c r="L852">
        <f xml:space="preserve"> (交易處理資料__3[[#This Row],[售出工時]] * 60) / 5</f>
        <v>0</v>
      </c>
      <c r="M852" t="str">
        <f>VLOOKUP(交易處理資料__3[[#This Row],[人員代號]],團隊分組!$B$1:$C$52,2,FALSE)</f>
        <v>查修團隊B</v>
      </c>
      <c r="N852">
        <f>IF(交易處理資料__3[[#This Row],[上班時間]]=0,0,交易處理資料__3[[#This Row],[售出工時]]/交易處理資料__3[[#This Row],[上班時間]])</f>
        <v>0</v>
      </c>
      <c r="O852" s="31" t="str">
        <f>IF(交易處理資料__3[[#This Row],[上班時間]]=0,"否","是")</f>
        <v>否</v>
      </c>
    </row>
    <row r="853" spans="1:15" hidden="1">
      <c r="A853" t="s">
        <v>75</v>
      </c>
      <c r="B853" t="s">
        <v>53</v>
      </c>
      <c r="C853">
        <v>0</v>
      </c>
      <c r="D853">
        <v>0</v>
      </c>
      <c r="E853" s="27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 s="9">
        <v>45312</v>
      </c>
      <c r="L853">
        <f xml:space="preserve"> (交易處理資料__3[[#This Row],[售出工時]] * 60) / 5</f>
        <v>0</v>
      </c>
      <c r="M853" t="str">
        <f>VLOOKUP(交易處理資料__3[[#This Row],[人員代號]],團隊分組!$B$1:$C$52,2,FALSE)</f>
        <v>查修團隊A</v>
      </c>
      <c r="N853">
        <f>IF(交易處理資料__3[[#This Row],[上班時間]]=0,0,交易處理資料__3[[#This Row],[售出工時]]/交易處理資料__3[[#This Row],[上班時間]])</f>
        <v>0</v>
      </c>
      <c r="O853" s="31" t="str">
        <f>IF(交易處理資料__3[[#This Row],[上班時間]]=0,"否","是")</f>
        <v>否</v>
      </c>
    </row>
    <row r="854" spans="1:15" hidden="1">
      <c r="A854" s="10" t="s">
        <v>73</v>
      </c>
      <c r="B854" t="s">
        <v>1</v>
      </c>
      <c r="C854">
        <v>3.09</v>
      </c>
      <c r="D854">
        <v>7.46</v>
      </c>
      <c r="E854" s="27">
        <v>41.42</v>
      </c>
      <c r="F854">
        <v>7.36</v>
      </c>
      <c r="G854">
        <v>0.75</v>
      </c>
      <c r="H854">
        <v>8.11</v>
      </c>
      <c r="I854">
        <v>90.75</v>
      </c>
      <c r="J854">
        <v>38.1</v>
      </c>
      <c r="K854" s="9">
        <v>45313</v>
      </c>
      <c r="L854">
        <f xml:space="preserve"> (交易處理資料__3[[#This Row],[售出工時]] * 60) / 5</f>
        <v>37.08</v>
      </c>
      <c r="M854" t="str">
        <f>VLOOKUP(交易處理資料__3[[#This Row],[人員代號]],團隊分組!$B$1:$C$52,2,FALSE)</f>
        <v>噴漆維修組</v>
      </c>
      <c r="N854">
        <f>IF(交易處理資料__3[[#This Row],[上班時間]]=0,0,交易處理資料__3[[#This Row],[售出工時]]/交易處理資料__3[[#This Row],[上班時間]])</f>
        <v>0.38101109741060418</v>
      </c>
      <c r="O854" s="31" t="str">
        <f>IF(交易處理資料__3[[#This Row],[上班時間]]=0,"否","是")</f>
        <v>是</v>
      </c>
    </row>
    <row r="855" spans="1:15" hidden="1">
      <c r="A855" s="10" t="s">
        <v>73</v>
      </c>
      <c r="B855" t="s">
        <v>2</v>
      </c>
      <c r="C855">
        <v>0</v>
      </c>
      <c r="D855">
        <v>0</v>
      </c>
      <c r="E855" s="27">
        <v>0</v>
      </c>
      <c r="F855">
        <v>5.26</v>
      </c>
      <c r="G855">
        <v>2.79</v>
      </c>
      <c r="H855">
        <v>8.0500000000000007</v>
      </c>
      <c r="I855">
        <v>65.34</v>
      </c>
      <c r="J855">
        <v>0</v>
      </c>
      <c r="K855" s="9">
        <v>45313</v>
      </c>
      <c r="L855">
        <f xml:space="preserve"> (交易處理資料__3[[#This Row],[售出工時]] * 60) / 5</f>
        <v>0</v>
      </c>
      <c r="M855" t="str">
        <f>VLOOKUP(交易處理資料__3[[#This Row],[人員代號]],團隊分組!$B$1:$C$52,2,FALSE)</f>
        <v>噴漆維修組</v>
      </c>
      <c r="N855">
        <f>IF(交易處理資料__3[[#This Row],[上班時間]]=0,0,交易處理資料__3[[#This Row],[售出工時]]/交易處理資料__3[[#This Row],[上班時間]])</f>
        <v>0</v>
      </c>
      <c r="O855" s="31" t="str">
        <f>IF(交易處理資料__3[[#This Row],[上班時間]]=0,"否","是")</f>
        <v>是</v>
      </c>
    </row>
    <row r="856" spans="1:15" hidden="1">
      <c r="A856" s="10" t="s">
        <v>73</v>
      </c>
      <c r="B856" t="s">
        <v>3</v>
      </c>
      <c r="C856">
        <v>0</v>
      </c>
      <c r="D856">
        <v>0</v>
      </c>
      <c r="E856" s="27">
        <v>0</v>
      </c>
      <c r="F856">
        <v>5.27</v>
      </c>
      <c r="G856">
        <v>2.8</v>
      </c>
      <c r="H856">
        <v>8.07</v>
      </c>
      <c r="I856">
        <v>65.3</v>
      </c>
      <c r="J856">
        <v>0</v>
      </c>
      <c r="K856" s="9">
        <v>45313</v>
      </c>
      <c r="L856">
        <f xml:space="preserve"> (交易處理資料__3[[#This Row],[售出工時]] * 60) / 5</f>
        <v>0</v>
      </c>
      <c r="M856" t="str">
        <f>VLOOKUP(交易處理資料__3[[#This Row],[人員代號]],團隊分組!$B$1:$C$52,2,FALSE)</f>
        <v>噴漆維修組</v>
      </c>
      <c r="N856">
        <f>IF(交易處理資料__3[[#This Row],[上班時間]]=0,0,交易處理資料__3[[#This Row],[售出工時]]/交易處理資料__3[[#This Row],[上班時間]])</f>
        <v>0</v>
      </c>
      <c r="O856" s="31" t="str">
        <f>IF(交易處理資料__3[[#This Row],[上班時間]]=0,"否","是")</f>
        <v>是</v>
      </c>
    </row>
    <row r="857" spans="1:15" hidden="1">
      <c r="A857" s="10" t="s">
        <v>73</v>
      </c>
      <c r="B857" t="s">
        <v>4</v>
      </c>
      <c r="C857">
        <v>0</v>
      </c>
      <c r="D857">
        <v>0</v>
      </c>
      <c r="E857" s="27">
        <v>0</v>
      </c>
      <c r="F857">
        <v>7.38</v>
      </c>
      <c r="G857">
        <v>0.75</v>
      </c>
      <c r="H857">
        <v>8.1300000000000008</v>
      </c>
      <c r="I857">
        <v>90.77</v>
      </c>
      <c r="J857">
        <v>0</v>
      </c>
      <c r="K857" s="9">
        <v>45313</v>
      </c>
      <c r="L857">
        <f xml:space="preserve"> (交易處理資料__3[[#This Row],[售出工時]] * 60) / 5</f>
        <v>0</v>
      </c>
      <c r="M857" t="str">
        <f>VLOOKUP(交易處理資料__3[[#This Row],[人員代號]],團隊分組!$B$1:$C$52,2,FALSE)</f>
        <v>噴漆維修組</v>
      </c>
      <c r="N857">
        <f>IF(交易處理資料__3[[#This Row],[上班時間]]=0,0,交易處理資料__3[[#This Row],[售出工時]]/交易處理資料__3[[#This Row],[上班時間]])</f>
        <v>0</v>
      </c>
      <c r="O857" s="31" t="str">
        <f>IF(交易處理資料__3[[#This Row],[上班時間]]=0,"否","是")</f>
        <v>是</v>
      </c>
    </row>
    <row r="858" spans="1:15" hidden="1">
      <c r="A858" s="10" t="s">
        <v>73</v>
      </c>
      <c r="B858" t="s">
        <v>5</v>
      </c>
      <c r="C858">
        <v>3</v>
      </c>
      <c r="D858">
        <v>3.77</v>
      </c>
      <c r="E858" s="27">
        <v>79.569999999999993</v>
      </c>
      <c r="F858">
        <v>7.89</v>
      </c>
      <c r="G858">
        <v>0.17</v>
      </c>
      <c r="H858">
        <v>8.06</v>
      </c>
      <c r="I858">
        <v>97.89</v>
      </c>
      <c r="J858">
        <v>37.22</v>
      </c>
      <c r="K858" s="9">
        <v>45313</v>
      </c>
      <c r="L858">
        <f xml:space="preserve"> (交易處理資料__3[[#This Row],[售出工時]] * 60) / 5</f>
        <v>36</v>
      </c>
      <c r="M858" t="str">
        <f>VLOOKUP(交易處理資料__3[[#This Row],[人員代號]],團隊分組!$B$1:$C$52,2,FALSE)</f>
        <v>噴漆維修組</v>
      </c>
      <c r="N858">
        <f>IF(交易處理資料__3[[#This Row],[上班時間]]=0,0,交易處理資料__3[[#This Row],[售出工時]]/交易處理資料__3[[#This Row],[上班時間]])</f>
        <v>0.37220843672456572</v>
      </c>
      <c r="O858" s="31" t="str">
        <f>IF(交易處理資料__3[[#This Row],[上班時間]]=0,"否","是")</f>
        <v>是</v>
      </c>
    </row>
    <row r="859" spans="1:15" hidden="1">
      <c r="A859" s="10" t="s">
        <v>73</v>
      </c>
      <c r="B859" t="s">
        <v>6</v>
      </c>
      <c r="C859">
        <v>0</v>
      </c>
      <c r="D859">
        <v>0</v>
      </c>
      <c r="E859" s="27">
        <v>0</v>
      </c>
      <c r="F859">
        <v>5.26</v>
      </c>
      <c r="G859">
        <v>2.79</v>
      </c>
      <c r="H859">
        <v>8.0500000000000007</v>
      </c>
      <c r="I859">
        <v>65.34</v>
      </c>
      <c r="J859">
        <v>0</v>
      </c>
      <c r="K859" s="9">
        <v>45313</v>
      </c>
      <c r="L859">
        <f xml:space="preserve"> (交易處理資料__3[[#This Row],[售出工時]] * 60) / 5</f>
        <v>0</v>
      </c>
      <c r="M859" t="str">
        <f>VLOOKUP(交易處理資料__3[[#This Row],[人員代號]],團隊分組!$B$1:$C$52,2,FALSE)</f>
        <v>噴漆維修組</v>
      </c>
      <c r="N859">
        <f>IF(交易處理資料__3[[#This Row],[上班時間]]=0,0,交易處理資料__3[[#This Row],[售出工時]]/交易處理資料__3[[#This Row],[上班時間]])</f>
        <v>0</v>
      </c>
      <c r="O859" s="31" t="str">
        <f>IF(交易處理資料__3[[#This Row],[上班時間]]=0,"否","是")</f>
        <v>是</v>
      </c>
    </row>
    <row r="860" spans="1:15" hidden="1">
      <c r="A860" s="10" t="s">
        <v>73</v>
      </c>
      <c r="B860" t="s">
        <v>7</v>
      </c>
      <c r="C860">
        <v>3</v>
      </c>
      <c r="D860">
        <v>3.77</v>
      </c>
      <c r="E860" s="27">
        <v>79.569999999999993</v>
      </c>
      <c r="F860">
        <v>7.9</v>
      </c>
      <c r="G860">
        <v>0.17</v>
      </c>
      <c r="H860">
        <v>8.07</v>
      </c>
      <c r="I860">
        <v>97.89</v>
      </c>
      <c r="J860">
        <v>37.17</v>
      </c>
      <c r="K860" s="9">
        <v>45313</v>
      </c>
      <c r="L860">
        <f xml:space="preserve"> (交易處理資料__3[[#This Row],[售出工時]] * 60) / 5</f>
        <v>36</v>
      </c>
      <c r="M860" t="str">
        <f>VLOOKUP(交易處理資料__3[[#This Row],[人員代號]],團隊分組!$B$1:$C$52,2,FALSE)</f>
        <v>噴漆維修組</v>
      </c>
      <c r="N860">
        <f>IF(交易處理資料__3[[#This Row],[上班時間]]=0,0,交易處理資料__3[[#This Row],[售出工時]]/交易處理資料__3[[#This Row],[上班時間]])</f>
        <v>0.37174721189591076</v>
      </c>
      <c r="O860" s="31" t="str">
        <f>IF(交易處理資料__3[[#This Row],[上班時間]]=0,"否","是")</f>
        <v>是</v>
      </c>
    </row>
    <row r="861" spans="1:15" hidden="1">
      <c r="A861" s="10" t="s">
        <v>73</v>
      </c>
      <c r="B861" t="s">
        <v>8</v>
      </c>
      <c r="C861">
        <v>0</v>
      </c>
      <c r="D861">
        <v>0</v>
      </c>
      <c r="E861" s="27">
        <v>0</v>
      </c>
      <c r="F861">
        <v>7.33</v>
      </c>
      <c r="G861">
        <v>0.74</v>
      </c>
      <c r="H861">
        <v>8.07</v>
      </c>
      <c r="I861">
        <v>90.83</v>
      </c>
      <c r="J861">
        <v>0</v>
      </c>
      <c r="K861" s="9">
        <v>45313</v>
      </c>
      <c r="L861">
        <f xml:space="preserve"> (交易處理資料__3[[#This Row],[售出工時]] * 60) / 5</f>
        <v>0</v>
      </c>
      <c r="M861" t="str">
        <f>VLOOKUP(交易處理資料__3[[#This Row],[人員代號]],團隊分組!$B$1:$C$52,2,FALSE)</f>
        <v>噴漆維修組</v>
      </c>
      <c r="N861">
        <f>IF(交易處理資料__3[[#This Row],[上班時間]]=0,0,交易處理資料__3[[#This Row],[售出工時]]/交易處理資料__3[[#This Row],[上班時間]])</f>
        <v>0</v>
      </c>
      <c r="O861" s="31" t="str">
        <f>IF(交易處理資料__3[[#This Row],[上班時間]]=0,"否","是")</f>
        <v>是</v>
      </c>
    </row>
    <row r="862" spans="1:15" hidden="1">
      <c r="A862" t="s">
        <v>74</v>
      </c>
      <c r="B862" t="s">
        <v>11</v>
      </c>
      <c r="C862">
        <v>2.33</v>
      </c>
      <c r="D862">
        <v>2.12</v>
      </c>
      <c r="E862" s="27">
        <v>110.06</v>
      </c>
      <c r="F862">
        <v>6.22</v>
      </c>
      <c r="G862">
        <v>1.84</v>
      </c>
      <c r="H862">
        <v>8.06</v>
      </c>
      <c r="I862">
        <v>77.17</v>
      </c>
      <c r="J862">
        <v>28.95</v>
      </c>
      <c r="K862" s="9">
        <v>45313</v>
      </c>
      <c r="L862">
        <f xml:space="preserve"> (交易處理資料__3[[#This Row],[售出工時]] * 60) / 5</f>
        <v>27.96</v>
      </c>
      <c r="M862" t="str">
        <f>VLOOKUP(交易處理資料__3[[#This Row],[人員代號]],團隊分組!$B$1:$C$52,2,FALSE)</f>
        <v>鈑金維修組</v>
      </c>
      <c r="N862">
        <f>IF(交易處理資料__3[[#This Row],[上班時間]]=0,0,交易處理資料__3[[#This Row],[售出工時]]/交易處理資料__3[[#This Row],[上班時間]])</f>
        <v>0.28908188585607941</v>
      </c>
      <c r="O862" s="31" t="str">
        <f>IF(交易處理資料__3[[#This Row],[上班時間]]=0,"否","是")</f>
        <v>是</v>
      </c>
    </row>
    <row r="863" spans="1:15" hidden="1">
      <c r="A863" t="s">
        <v>74</v>
      </c>
      <c r="B863" t="s">
        <v>12</v>
      </c>
      <c r="C863">
        <v>3</v>
      </c>
      <c r="D863">
        <v>2.92</v>
      </c>
      <c r="E863" s="27">
        <v>102.73</v>
      </c>
      <c r="F863">
        <v>2.52</v>
      </c>
      <c r="G863">
        <v>5.54</v>
      </c>
      <c r="H863">
        <v>8.06</v>
      </c>
      <c r="I863">
        <v>31.27</v>
      </c>
      <c r="J863">
        <v>37.22</v>
      </c>
      <c r="K863" s="9">
        <v>45313</v>
      </c>
      <c r="L863">
        <f xml:space="preserve"> (交易處理資料__3[[#This Row],[售出工時]] * 60) / 5</f>
        <v>36</v>
      </c>
      <c r="M863" t="str">
        <f>VLOOKUP(交易處理資料__3[[#This Row],[人員代號]],團隊分組!$B$1:$C$52,2,FALSE)</f>
        <v>鈑金維修組</v>
      </c>
      <c r="N863">
        <f>IF(交易處理資料__3[[#This Row],[上班時間]]=0,0,交易處理資料__3[[#This Row],[售出工時]]/交易處理資料__3[[#This Row],[上班時間]])</f>
        <v>0.37220843672456572</v>
      </c>
      <c r="O863" s="31" t="str">
        <f>IF(交易處理資料__3[[#This Row],[上班時間]]=0,"否","是")</f>
        <v>是</v>
      </c>
    </row>
    <row r="864" spans="1:15" hidden="1">
      <c r="A864" t="s">
        <v>74</v>
      </c>
      <c r="B864" t="s">
        <v>14</v>
      </c>
      <c r="C864">
        <v>1.33</v>
      </c>
      <c r="D864">
        <v>3.17</v>
      </c>
      <c r="E864" s="27">
        <v>41.95</v>
      </c>
      <c r="F864">
        <v>0.97</v>
      </c>
      <c r="G864">
        <v>7.1</v>
      </c>
      <c r="H864">
        <v>8.07</v>
      </c>
      <c r="I864">
        <v>12.02</v>
      </c>
      <c r="J864">
        <v>16.48</v>
      </c>
      <c r="K864" s="9">
        <v>45313</v>
      </c>
      <c r="L864">
        <f xml:space="preserve"> (交易處理資料__3[[#This Row],[售出工時]] * 60) / 5</f>
        <v>15.960000000000003</v>
      </c>
      <c r="M864" t="str">
        <f>VLOOKUP(交易處理資料__3[[#This Row],[人員代號]],團隊分組!$B$1:$C$52,2,FALSE)</f>
        <v>鈑金維修組</v>
      </c>
      <c r="N864">
        <f>IF(交易處理資料__3[[#This Row],[上班時間]]=0,0,交易處理資料__3[[#This Row],[售出工時]]/交易處理資料__3[[#This Row],[上班時間]])</f>
        <v>0.16480793060718713</v>
      </c>
      <c r="O864" s="31" t="str">
        <f>IF(交易處理資料__3[[#This Row],[上班時間]]=0,"否","是")</f>
        <v>是</v>
      </c>
    </row>
    <row r="865" spans="1:15" hidden="1">
      <c r="A865" t="s">
        <v>74</v>
      </c>
      <c r="B865" t="s">
        <v>15</v>
      </c>
      <c r="C865">
        <v>4.83</v>
      </c>
      <c r="D865">
        <v>5.42</v>
      </c>
      <c r="E865" s="27">
        <v>89.11</v>
      </c>
      <c r="F865">
        <v>2.54</v>
      </c>
      <c r="G865">
        <v>5.52</v>
      </c>
      <c r="H865">
        <v>8.06</v>
      </c>
      <c r="I865">
        <v>31.51</v>
      </c>
      <c r="J865">
        <v>59.93</v>
      </c>
      <c r="K865" s="9">
        <v>45313</v>
      </c>
      <c r="L865">
        <f xml:space="preserve"> (交易處理資料__3[[#This Row],[售出工時]] * 60) / 5</f>
        <v>57.96</v>
      </c>
      <c r="M865" t="str">
        <f>VLOOKUP(交易處理資料__3[[#This Row],[人員代號]],團隊分組!$B$1:$C$52,2,FALSE)</f>
        <v>鈑金維修組</v>
      </c>
      <c r="N865">
        <f>IF(交易處理資料__3[[#This Row],[上班時間]]=0,0,交易處理資料__3[[#This Row],[售出工時]]/交易處理資料__3[[#This Row],[上班時間]])</f>
        <v>0.59925558312655081</v>
      </c>
      <c r="O865" s="31" t="str">
        <f>IF(交易處理資料__3[[#This Row],[上班時間]]=0,"否","是")</f>
        <v>是</v>
      </c>
    </row>
    <row r="866" spans="1:15" hidden="1">
      <c r="A866" t="s">
        <v>75</v>
      </c>
      <c r="B866" t="s">
        <v>18</v>
      </c>
      <c r="C866">
        <v>0.08</v>
      </c>
      <c r="D866">
        <v>2.08</v>
      </c>
      <c r="E866" s="27">
        <v>4</v>
      </c>
      <c r="F866">
        <v>6.68</v>
      </c>
      <c r="G866">
        <v>2.1</v>
      </c>
      <c r="H866">
        <v>8.7799999999999994</v>
      </c>
      <c r="I866">
        <v>76.08</v>
      </c>
      <c r="J866">
        <v>0.95</v>
      </c>
      <c r="K866" s="9">
        <v>45313</v>
      </c>
      <c r="L866">
        <f xml:space="preserve"> (交易處理資料__3[[#This Row],[售出工時]] * 60) / 5</f>
        <v>0.96</v>
      </c>
      <c r="M866" t="str">
        <f>VLOOKUP(交易處理資料__3[[#This Row],[人員代號]],團隊分組!$B$1:$C$52,2,FALSE)</f>
        <v>查修團隊B</v>
      </c>
      <c r="N866">
        <f>IF(交易處理資料__3[[#This Row],[上班時間]]=0,0,交易處理資料__3[[#This Row],[售出工時]]/交易處理資料__3[[#This Row],[上班時間]])</f>
        <v>9.1116173120728942E-3</v>
      </c>
      <c r="O866" s="31" t="str">
        <f>IF(交易處理資料__3[[#This Row],[上班時間]]=0,"否","是")</f>
        <v>是</v>
      </c>
    </row>
    <row r="867" spans="1:15" hidden="1">
      <c r="A867" t="s">
        <v>75</v>
      </c>
      <c r="B867" t="s">
        <v>20</v>
      </c>
      <c r="C867">
        <v>0</v>
      </c>
      <c r="D867">
        <v>0</v>
      </c>
      <c r="E867" s="27">
        <v>0</v>
      </c>
      <c r="F867">
        <v>2.0299999999999998</v>
      </c>
      <c r="G867">
        <v>6.6</v>
      </c>
      <c r="H867">
        <v>8.6300000000000008</v>
      </c>
      <c r="I867">
        <v>23.52</v>
      </c>
      <c r="J867">
        <v>0</v>
      </c>
      <c r="K867" s="9">
        <v>45313</v>
      </c>
      <c r="L867">
        <f xml:space="preserve"> (交易處理資料__3[[#This Row],[售出工時]] * 60) / 5</f>
        <v>0</v>
      </c>
      <c r="M867" t="str">
        <f>VLOOKUP(交易處理資料__3[[#This Row],[人員代號]],團隊分組!$B$1:$C$52,2,FALSE)</f>
        <v>查修團隊B</v>
      </c>
      <c r="N867">
        <f>IF(交易處理資料__3[[#This Row],[上班時間]]=0,0,交易處理資料__3[[#This Row],[售出工時]]/交易處理資料__3[[#This Row],[上班時間]])</f>
        <v>0</v>
      </c>
      <c r="O867" s="31" t="str">
        <f>IF(交易處理資料__3[[#This Row],[上班時間]]=0,"否","是")</f>
        <v>是</v>
      </c>
    </row>
    <row r="868" spans="1:15" hidden="1">
      <c r="A868" t="s">
        <v>75</v>
      </c>
      <c r="B868" t="s">
        <v>21</v>
      </c>
      <c r="C868">
        <v>10.66</v>
      </c>
      <c r="D868">
        <v>5.52</v>
      </c>
      <c r="E868" s="27">
        <v>193.23</v>
      </c>
      <c r="F868">
        <v>6.83</v>
      </c>
      <c r="G868">
        <v>1.38</v>
      </c>
      <c r="H868">
        <v>8.2100000000000009</v>
      </c>
      <c r="I868">
        <v>83.19</v>
      </c>
      <c r="J868">
        <v>129.91999999999999</v>
      </c>
      <c r="K868" s="9">
        <v>45313</v>
      </c>
      <c r="L868">
        <f xml:space="preserve"> (交易處理資料__3[[#This Row],[售出工時]] * 60) / 5</f>
        <v>127.92</v>
      </c>
      <c r="M868" t="str">
        <f>VLOOKUP(交易處理資料__3[[#This Row],[人員代號]],團隊分組!$B$1:$C$52,2,FALSE)</f>
        <v>查修團隊B</v>
      </c>
      <c r="N868">
        <f>IF(交易處理資料__3[[#This Row],[上班時間]]=0,0,交易處理資料__3[[#This Row],[售出工時]]/交易處理資料__3[[#This Row],[上班時間]])</f>
        <v>1.2984165651644335</v>
      </c>
      <c r="O868" s="31" t="str">
        <f>IF(交易處理資料__3[[#This Row],[上班時間]]=0,"否","是")</f>
        <v>是</v>
      </c>
    </row>
    <row r="869" spans="1:15" hidden="1">
      <c r="A869" t="s">
        <v>75</v>
      </c>
      <c r="B869" t="s">
        <v>22</v>
      </c>
      <c r="C869">
        <v>0</v>
      </c>
      <c r="D869">
        <v>0</v>
      </c>
      <c r="E869" s="27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 s="9">
        <v>45313</v>
      </c>
      <c r="L869">
        <f xml:space="preserve"> (交易處理資料__3[[#This Row],[售出工時]] * 60) / 5</f>
        <v>0</v>
      </c>
      <c r="M869" t="str">
        <f>VLOOKUP(交易處理資料__3[[#This Row],[人員代號]],團隊分組!$B$1:$C$52,2,FALSE)</f>
        <v>快速保養團隊A</v>
      </c>
      <c r="N869">
        <f>IF(交易處理資料__3[[#This Row],[上班時間]]=0,0,交易處理資料__3[[#This Row],[售出工時]]/交易處理資料__3[[#This Row],[上班時間]])</f>
        <v>0</v>
      </c>
      <c r="O869" s="31" t="str">
        <f>IF(交易處理資料__3[[#This Row],[上班時間]]=0,"否","是")</f>
        <v>否</v>
      </c>
    </row>
    <row r="870" spans="1:15" hidden="1">
      <c r="A870" t="s">
        <v>75</v>
      </c>
      <c r="B870" t="s">
        <v>24</v>
      </c>
      <c r="C870">
        <v>12.29</v>
      </c>
      <c r="D870">
        <v>6.31</v>
      </c>
      <c r="E870" s="27">
        <v>194.87</v>
      </c>
      <c r="F870">
        <v>8.51</v>
      </c>
      <c r="G870">
        <v>1.1299999999999999</v>
      </c>
      <c r="H870">
        <v>9.64</v>
      </c>
      <c r="I870">
        <v>88.28</v>
      </c>
      <c r="J870">
        <v>127.56</v>
      </c>
      <c r="K870" s="9">
        <v>45313</v>
      </c>
      <c r="L870">
        <f xml:space="preserve"> (交易處理資料__3[[#This Row],[售出工時]] * 60) / 5</f>
        <v>147.47999999999999</v>
      </c>
      <c r="M870" t="str">
        <f>VLOOKUP(交易處理資料__3[[#This Row],[人員代號]],團隊分組!$B$1:$C$52,2,FALSE)</f>
        <v>快速保養團隊A</v>
      </c>
      <c r="N870">
        <f>IF(交易處理資料__3[[#This Row],[上班時間]]=0,0,交易處理資料__3[[#This Row],[售出工時]]/交易處理資料__3[[#This Row],[上班時間]])</f>
        <v>1.2748962655601659</v>
      </c>
      <c r="O870" s="31" t="str">
        <f>IF(交易處理資料__3[[#This Row],[上班時間]]=0,"否","是")</f>
        <v>是</v>
      </c>
    </row>
    <row r="871" spans="1:15" hidden="1">
      <c r="A871" t="s">
        <v>75</v>
      </c>
      <c r="B871" t="s">
        <v>25</v>
      </c>
      <c r="C871">
        <v>3.83</v>
      </c>
      <c r="D871">
        <v>6.86</v>
      </c>
      <c r="E871" s="27">
        <v>55.87</v>
      </c>
      <c r="F871">
        <v>8.8000000000000007</v>
      </c>
      <c r="G871">
        <v>1.0900000000000001</v>
      </c>
      <c r="H871">
        <v>9.89</v>
      </c>
      <c r="I871">
        <v>88.98</v>
      </c>
      <c r="J871">
        <v>38.76</v>
      </c>
      <c r="K871" s="9">
        <v>45313</v>
      </c>
      <c r="L871">
        <f xml:space="preserve"> (交易處理資料__3[[#This Row],[售出工時]] * 60) / 5</f>
        <v>45.96</v>
      </c>
      <c r="M871" t="str">
        <f>VLOOKUP(交易處理資料__3[[#This Row],[人員代號]],團隊分組!$B$1:$C$52,2,FALSE)</f>
        <v>查修團隊A</v>
      </c>
      <c r="N871">
        <f>IF(交易處理資料__3[[#This Row],[上班時間]]=0,0,交易處理資料__3[[#This Row],[售出工時]]/交易處理資料__3[[#This Row],[上班時間]])</f>
        <v>0.38725985844287159</v>
      </c>
      <c r="O871" s="31" t="str">
        <f>IF(交易處理資料__3[[#This Row],[上班時間]]=0,"否","是")</f>
        <v>是</v>
      </c>
    </row>
    <row r="872" spans="1:15" hidden="1">
      <c r="A872" t="s">
        <v>75</v>
      </c>
      <c r="B872" t="s">
        <v>26</v>
      </c>
      <c r="C872">
        <v>2</v>
      </c>
      <c r="D872">
        <v>2.4300000000000002</v>
      </c>
      <c r="E872" s="27">
        <v>82.3</v>
      </c>
      <c r="F872">
        <v>2.27</v>
      </c>
      <c r="G872">
        <v>6.36</v>
      </c>
      <c r="H872">
        <v>8.6300000000000008</v>
      </c>
      <c r="I872">
        <v>26.3</v>
      </c>
      <c r="J872">
        <v>23.17</v>
      </c>
      <c r="K872" s="9">
        <v>45313</v>
      </c>
      <c r="L872">
        <f xml:space="preserve"> (交易處理資料__3[[#This Row],[售出工時]] * 60) / 5</f>
        <v>24</v>
      </c>
      <c r="M872" t="str">
        <f>VLOOKUP(交易處理資料__3[[#This Row],[人員代號]],團隊分組!$B$1:$C$52,2,FALSE)</f>
        <v>查修團隊B</v>
      </c>
      <c r="N872">
        <f>IF(交易處理資料__3[[#This Row],[上班時間]]=0,0,交易處理資料__3[[#This Row],[售出工時]]/交易處理資料__3[[#This Row],[上班時間]])</f>
        <v>0.23174971031286209</v>
      </c>
      <c r="O872" s="31" t="str">
        <f>IF(交易處理資料__3[[#This Row],[上班時間]]=0,"否","是")</f>
        <v>是</v>
      </c>
    </row>
    <row r="873" spans="1:15" hidden="1">
      <c r="A873" t="s">
        <v>75</v>
      </c>
      <c r="B873" t="s">
        <v>27</v>
      </c>
      <c r="C873">
        <v>7.87</v>
      </c>
      <c r="D873">
        <v>6.35</v>
      </c>
      <c r="E873" s="27">
        <v>124.04</v>
      </c>
      <c r="F873">
        <v>5.7</v>
      </c>
      <c r="G873">
        <v>2.34</v>
      </c>
      <c r="H873">
        <v>8.0399999999999991</v>
      </c>
      <c r="I873">
        <v>70.900000000000006</v>
      </c>
      <c r="J873">
        <v>97.97</v>
      </c>
      <c r="K873" s="9">
        <v>45313</v>
      </c>
      <c r="L873">
        <f xml:space="preserve"> (交易處理資料__3[[#This Row],[售出工時]] * 60) / 5</f>
        <v>94.44</v>
      </c>
      <c r="M873" t="str">
        <f>VLOOKUP(交易處理資料__3[[#This Row],[人員代號]],團隊分組!$B$1:$C$52,2,FALSE)</f>
        <v>快速保養團隊B</v>
      </c>
      <c r="N873">
        <f>IF(交易處理資料__3[[#This Row],[上班時間]]=0,0,交易處理資料__3[[#This Row],[售出工時]]/交易處理資料__3[[#This Row],[上班時間]])</f>
        <v>0.97885572139303489</v>
      </c>
      <c r="O873" s="31" t="str">
        <f>IF(交易處理資料__3[[#This Row],[上班時間]]=0,"否","是")</f>
        <v>是</v>
      </c>
    </row>
    <row r="874" spans="1:15" hidden="1">
      <c r="A874" t="s">
        <v>75</v>
      </c>
      <c r="B874" t="s">
        <v>28</v>
      </c>
      <c r="C874">
        <v>8.91</v>
      </c>
      <c r="D874">
        <v>8.33</v>
      </c>
      <c r="E874" s="27">
        <v>107.04</v>
      </c>
      <c r="F874">
        <v>7.45</v>
      </c>
      <c r="G874">
        <v>1.03</v>
      </c>
      <c r="H874">
        <v>8.48</v>
      </c>
      <c r="I874">
        <v>87.85</v>
      </c>
      <c r="J874">
        <v>105.15</v>
      </c>
      <c r="K874" s="9">
        <v>45313</v>
      </c>
      <c r="L874">
        <f xml:space="preserve"> (交易處理資料__3[[#This Row],[售出工時]] * 60) / 5</f>
        <v>106.92</v>
      </c>
      <c r="M874" t="str">
        <f>VLOOKUP(交易處理資料__3[[#This Row],[人員代號]],團隊分組!$B$1:$C$52,2,FALSE)</f>
        <v>快速保養團隊A</v>
      </c>
      <c r="N874">
        <f>IF(交易處理資料__3[[#This Row],[上班時間]]=0,0,交易處理資料__3[[#This Row],[售出工時]]/交易處理資料__3[[#This Row],[上班時間]])</f>
        <v>1.0507075471698113</v>
      </c>
      <c r="O874" s="31" t="str">
        <f>IF(交易處理資料__3[[#This Row],[上班時間]]=0,"否","是")</f>
        <v>是</v>
      </c>
    </row>
    <row r="875" spans="1:15" hidden="1">
      <c r="A875" t="s">
        <v>75</v>
      </c>
      <c r="B875" t="s">
        <v>31</v>
      </c>
      <c r="C875">
        <v>0</v>
      </c>
      <c r="D875">
        <v>0</v>
      </c>
      <c r="E875" s="27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 s="9">
        <v>45313</v>
      </c>
      <c r="L875">
        <f xml:space="preserve"> (交易處理資料__3[[#This Row],[售出工時]] * 60) / 5</f>
        <v>0</v>
      </c>
      <c r="M875" t="str">
        <f>VLOOKUP(交易處理資料__3[[#This Row],[人員代號]],團隊分組!$B$1:$C$52,2,FALSE)</f>
        <v>快速保養團隊A</v>
      </c>
      <c r="N875">
        <f>IF(交易處理資料__3[[#This Row],[上班時間]]=0,0,交易處理資料__3[[#This Row],[售出工時]]/交易處理資料__3[[#This Row],[上班時間]])</f>
        <v>0</v>
      </c>
      <c r="O875" s="31" t="str">
        <f>IF(交易處理資料__3[[#This Row],[上班時間]]=0,"否","是")</f>
        <v>否</v>
      </c>
    </row>
    <row r="876" spans="1:15" hidden="1">
      <c r="A876" t="s">
        <v>75</v>
      </c>
      <c r="B876" t="s">
        <v>32</v>
      </c>
      <c r="C876">
        <v>9.3800000000000008</v>
      </c>
      <c r="D876">
        <v>6.16</v>
      </c>
      <c r="E876" s="27">
        <v>152.27000000000001</v>
      </c>
      <c r="F876">
        <v>9.02</v>
      </c>
      <c r="G876">
        <v>1.04</v>
      </c>
      <c r="H876">
        <v>10.06</v>
      </c>
      <c r="I876">
        <v>89.66</v>
      </c>
      <c r="J876">
        <v>93.24</v>
      </c>
      <c r="K876" s="9">
        <v>45313</v>
      </c>
      <c r="L876">
        <f xml:space="preserve"> (交易處理資料__3[[#This Row],[售出工時]] * 60) / 5</f>
        <v>112.56000000000002</v>
      </c>
      <c r="M876" t="str">
        <f>VLOOKUP(交易處理資料__3[[#This Row],[人員代號]],團隊分組!$B$1:$C$52,2,FALSE)</f>
        <v>快速保養團隊B</v>
      </c>
      <c r="N876">
        <f>IF(交易處理資料__3[[#This Row],[上班時間]]=0,0,交易處理資料__3[[#This Row],[售出工時]]/交易處理資料__3[[#This Row],[上班時間]])</f>
        <v>0.93240556660039764</v>
      </c>
      <c r="O876" s="31" t="str">
        <f>IF(交易處理資料__3[[#This Row],[上班時間]]=0,"否","是")</f>
        <v>是</v>
      </c>
    </row>
    <row r="877" spans="1:15">
      <c r="A877" t="s">
        <v>75</v>
      </c>
      <c r="B877" t="s">
        <v>33</v>
      </c>
      <c r="C877">
        <v>0</v>
      </c>
      <c r="D877">
        <v>0</v>
      </c>
      <c r="E877" s="2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 s="9">
        <v>45313</v>
      </c>
      <c r="L877">
        <f xml:space="preserve"> (交易處理資料__3[[#This Row],[售出工時]] * 60) / 5</f>
        <v>0</v>
      </c>
      <c r="M877" t="str">
        <f>VLOOKUP(交易處理資料__3[[#This Row],[人員代號]],團隊分組!$B$1:$C$52,2,FALSE)</f>
        <v>快速保養團隊B</v>
      </c>
      <c r="N877">
        <f>IF(交易處理資料__3[[#This Row],[上班時間]]=0,0,交易處理資料__3[[#This Row],[售出工時]]/交易處理資料__3[[#This Row],[上班時間]])</f>
        <v>0</v>
      </c>
      <c r="O877" s="31" t="str">
        <f>IF(交易處理資料__3[[#This Row],[上班時間]]=0,"否","是")</f>
        <v>否</v>
      </c>
    </row>
    <row r="878" spans="1:15" hidden="1">
      <c r="A878" t="s">
        <v>75</v>
      </c>
      <c r="B878" t="s">
        <v>34</v>
      </c>
      <c r="C878">
        <v>11.16</v>
      </c>
      <c r="D878">
        <v>7.85</v>
      </c>
      <c r="E878" s="27">
        <v>142.25</v>
      </c>
      <c r="F878">
        <v>7.85</v>
      </c>
      <c r="G878">
        <v>0.65</v>
      </c>
      <c r="H878">
        <v>8.5</v>
      </c>
      <c r="I878">
        <v>92.35</v>
      </c>
      <c r="J878">
        <v>131.37</v>
      </c>
      <c r="K878" s="9">
        <v>45313</v>
      </c>
      <c r="L878">
        <f xml:space="preserve"> (交易處理資料__3[[#This Row],[售出工時]] * 60) / 5</f>
        <v>133.92000000000002</v>
      </c>
      <c r="M878" t="str">
        <f>VLOOKUP(交易處理資料__3[[#This Row],[人員代號]],團隊分組!$B$1:$C$52,2,FALSE)</f>
        <v>快速保養團隊A</v>
      </c>
      <c r="N878">
        <f>IF(交易處理資料__3[[#This Row],[上班時間]]=0,0,交易處理資料__3[[#This Row],[售出工時]]/交易處理資料__3[[#This Row],[上班時間]])</f>
        <v>1.3129411764705883</v>
      </c>
      <c r="O878" s="31" t="str">
        <f>IF(交易處理資料__3[[#This Row],[上班時間]]=0,"否","是")</f>
        <v>是</v>
      </c>
    </row>
    <row r="879" spans="1:15" hidden="1">
      <c r="A879" t="s">
        <v>75</v>
      </c>
      <c r="B879" t="s">
        <v>35</v>
      </c>
      <c r="C879">
        <v>3.08</v>
      </c>
      <c r="D879">
        <v>4.87</v>
      </c>
      <c r="E879" s="27">
        <v>63.31</v>
      </c>
      <c r="F879">
        <v>5.85</v>
      </c>
      <c r="G879">
        <v>2.78</v>
      </c>
      <c r="H879">
        <v>8.6300000000000008</v>
      </c>
      <c r="I879">
        <v>67.790000000000006</v>
      </c>
      <c r="J879">
        <v>35.729999999999997</v>
      </c>
      <c r="K879" s="9">
        <v>45313</v>
      </c>
      <c r="L879">
        <f xml:space="preserve"> (交易處理資料__3[[#This Row],[售出工時]] * 60) / 5</f>
        <v>36.96</v>
      </c>
      <c r="M879" t="str">
        <f>VLOOKUP(交易處理資料__3[[#This Row],[人員代號]],團隊分組!$B$1:$C$52,2,FALSE)</f>
        <v>查修團隊B</v>
      </c>
      <c r="N879">
        <f>IF(交易處理資料__3[[#This Row],[上班時間]]=0,0,交易處理資料__3[[#This Row],[售出工時]]/交易處理資料__3[[#This Row],[上班時間]])</f>
        <v>0.35689455388180763</v>
      </c>
      <c r="O879" s="31" t="str">
        <f>IF(交易處理資料__3[[#This Row],[上班時間]]=0,"否","是")</f>
        <v>是</v>
      </c>
    </row>
    <row r="880" spans="1:15" hidden="1">
      <c r="A880" t="s">
        <v>75</v>
      </c>
      <c r="B880" t="s">
        <v>36</v>
      </c>
      <c r="C880">
        <v>0.42</v>
      </c>
      <c r="D880">
        <v>2.52</v>
      </c>
      <c r="E880" s="27">
        <v>16.66</v>
      </c>
      <c r="F880">
        <v>7.14</v>
      </c>
      <c r="G880">
        <v>1.29</v>
      </c>
      <c r="H880">
        <v>8.43</v>
      </c>
      <c r="I880">
        <v>84.7</v>
      </c>
      <c r="J880">
        <v>4.9800000000000004</v>
      </c>
      <c r="K880" s="9">
        <v>45313</v>
      </c>
      <c r="L880">
        <f xml:space="preserve"> (交易處理資料__3[[#This Row],[售出工時]] * 60) / 5</f>
        <v>5.04</v>
      </c>
      <c r="M880" t="str">
        <f>VLOOKUP(交易處理資料__3[[#This Row],[人員代號]],團隊分組!$B$1:$C$52,2,FALSE)</f>
        <v>查修團隊B</v>
      </c>
      <c r="N880">
        <f>IF(交易處理資料__3[[#This Row],[上班時間]]=0,0,交易處理資料__3[[#This Row],[售出工時]]/交易處理資料__3[[#This Row],[上班時間]])</f>
        <v>4.9822064056939501E-2</v>
      </c>
      <c r="O880" s="31" t="str">
        <f>IF(交易處理資料__3[[#This Row],[上班時間]]=0,"否","是")</f>
        <v>是</v>
      </c>
    </row>
    <row r="881" spans="1:15" hidden="1">
      <c r="A881" t="s">
        <v>75</v>
      </c>
      <c r="B881" t="s">
        <v>37</v>
      </c>
      <c r="C881">
        <v>2.83</v>
      </c>
      <c r="D881">
        <v>1.4</v>
      </c>
      <c r="E881" s="27">
        <v>202.38</v>
      </c>
      <c r="F881">
        <v>9.9600000000000009</v>
      </c>
      <c r="G881">
        <v>0.98</v>
      </c>
      <c r="H881">
        <v>10.94</v>
      </c>
      <c r="I881">
        <v>91.04</v>
      </c>
      <c r="J881">
        <v>25.9</v>
      </c>
      <c r="K881" s="9">
        <v>45313</v>
      </c>
      <c r="L881">
        <f xml:space="preserve"> (交易處理資料__3[[#This Row],[售出工時]] * 60) / 5</f>
        <v>33.96</v>
      </c>
      <c r="M881" t="str">
        <f>VLOOKUP(交易處理資料__3[[#This Row],[人員代號]],團隊分組!$B$1:$C$52,2,FALSE)</f>
        <v>查修團隊A</v>
      </c>
      <c r="N881">
        <f>IF(交易處理資料__3[[#This Row],[上班時間]]=0,0,交易處理資料__3[[#This Row],[售出工時]]/交易處理資料__3[[#This Row],[上班時間]])</f>
        <v>0.25868372943327239</v>
      </c>
      <c r="O881" s="31" t="str">
        <f>IF(交易處理資料__3[[#This Row],[上班時間]]=0,"否","是")</f>
        <v>是</v>
      </c>
    </row>
    <row r="882" spans="1:15" hidden="1">
      <c r="A882" t="s">
        <v>75</v>
      </c>
      <c r="B882" t="s">
        <v>39</v>
      </c>
      <c r="C882">
        <v>0</v>
      </c>
      <c r="D882">
        <v>0</v>
      </c>
      <c r="E882" s="27">
        <v>0</v>
      </c>
      <c r="F882">
        <v>5.05</v>
      </c>
      <c r="G882">
        <v>3.84</v>
      </c>
      <c r="H882">
        <v>8.89</v>
      </c>
      <c r="I882">
        <v>56.81</v>
      </c>
      <c r="J882">
        <v>0</v>
      </c>
      <c r="K882" s="9">
        <v>45313</v>
      </c>
      <c r="L882">
        <f xml:space="preserve"> (交易處理資料__3[[#This Row],[售出工時]] * 60) / 5</f>
        <v>0</v>
      </c>
      <c r="M882" t="str">
        <f>VLOOKUP(交易處理資料__3[[#This Row],[人員代號]],團隊分組!$B$1:$C$52,2,FALSE)</f>
        <v>查修團隊A</v>
      </c>
      <c r="N882">
        <f>IF(交易處理資料__3[[#This Row],[上班時間]]=0,0,交易處理資料__3[[#This Row],[售出工時]]/交易處理資料__3[[#This Row],[上班時間]])</f>
        <v>0</v>
      </c>
      <c r="O882" s="31" t="str">
        <f>IF(交易處理資料__3[[#This Row],[上班時間]]=0,"否","是")</f>
        <v>是</v>
      </c>
    </row>
    <row r="883" spans="1:15" hidden="1">
      <c r="A883" t="s">
        <v>75</v>
      </c>
      <c r="B883" t="s">
        <v>40</v>
      </c>
      <c r="C883">
        <v>0</v>
      </c>
      <c r="D883">
        <v>0</v>
      </c>
      <c r="E883" s="27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 s="9">
        <v>45313</v>
      </c>
      <c r="L883">
        <f xml:space="preserve"> (交易處理資料__3[[#This Row],[售出工時]] * 60) / 5</f>
        <v>0</v>
      </c>
      <c r="M883" t="str">
        <f>VLOOKUP(交易處理資料__3[[#This Row],[人員代號]],團隊分組!$B$1:$C$52,2,FALSE)</f>
        <v>查修團隊A</v>
      </c>
      <c r="N883">
        <f>IF(交易處理資料__3[[#This Row],[上班時間]]=0,0,交易處理資料__3[[#This Row],[售出工時]]/交易處理資料__3[[#This Row],[上班時間]])</f>
        <v>0</v>
      </c>
      <c r="O883" s="31" t="str">
        <f>IF(交易處理資料__3[[#This Row],[上班時間]]=0,"否","是")</f>
        <v>否</v>
      </c>
    </row>
    <row r="884" spans="1:15" hidden="1">
      <c r="A884" t="s">
        <v>75</v>
      </c>
      <c r="B884" t="s">
        <v>43</v>
      </c>
      <c r="C884">
        <v>1.58</v>
      </c>
      <c r="D884">
        <v>5.38</v>
      </c>
      <c r="E884" s="27">
        <v>29.36</v>
      </c>
      <c r="F884">
        <v>6.64</v>
      </c>
      <c r="G884">
        <v>1.73</v>
      </c>
      <c r="H884">
        <v>8.3699999999999992</v>
      </c>
      <c r="I884">
        <v>79.33</v>
      </c>
      <c r="J884">
        <v>18.88</v>
      </c>
      <c r="K884" s="9">
        <v>45313</v>
      </c>
      <c r="L884">
        <f xml:space="preserve"> (交易處理資料__3[[#This Row],[售出工時]] * 60) / 5</f>
        <v>18.96</v>
      </c>
      <c r="M884" t="str">
        <f>VLOOKUP(交易處理資料__3[[#This Row],[人員代號]],團隊分組!$B$1:$C$52,2,FALSE)</f>
        <v>查修團隊B</v>
      </c>
      <c r="N884">
        <f>IF(交易處理資料__3[[#This Row],[上班時間]]=0,0,交易處理資料__3[[#This Row],[售出工時]]/交易處理資料__3[[#This Row],[上班時間]])</f>
        <v>0.18876941457586621</v>
      </c>
      <c r="O884" s="31" t="str">
        <f>IF(交易處理資料__3[[#This Row],[上班時間]]=0,"否","是")</f>
        <v>是</v>
      </c>
    </row>
    <row r="885" spans="1:15" hidden="1">
      <c r="A885" t="s">
        <v>75</v>
      </c>
      <c r="B885" t="s">
        <v>47</v>
      </c>
      <c r="C885">
        <v>1.33</v>
      </c>
      <c r="D885">
        <v>1.1499999999999999</v>
      </c>
      <c r="E885" s="27">
        <v>115.94</v>
      </c>
      <c r="F885">
        <v>5.75</v>
      </c>
      <c r="G885">
        <v>2.41</v>
      </c>
      <c r="H885">
        <v>8.16</v>
      </c>
      <c r="I885">
        <v>70.47</v>
      </c>
      <c r="J885">
        <v>16.34</v>
      </c>
      <c r="K885" s="9">
        <v>45313</v>
      </c>
      <c r="L885">
        <f xml:space="preserve"> (交易處理資料__3[[#This Row],[售出工時]] * 60) / 5</f>
        <v>15.960000000000003</v>
      </c>
      <c r="M885" t="str">
        <f>VLOOKUP(交易處理資料__3[[#This Row],[人員代號]],團隊分組!$B$1:$C$52,2,FALSE)</f>
        <v>查修團隊B</v>
      </c>
      <c r="N885">
        <f>IF(交易處理資料__3[[#This Row],[上班時間]]=0,0,交易處理資料__3[[#This Row],[售出工時]]/交易處理資料__3[[#This Row],[上班時間]])</f>
        <v>0.16299019607843138</v>
      </c>
      <c r="O885" s="31" t="str">
        <f>IF(交易處理資料__3[[#This Row],[上班時間]]=0,"否","是")</f>
        <v>是</v>
      </c>
    </row>
    <row r="886" spans="1:15" hidden="1">
      <c r="A886" t="s">
        <v>75</v>
      </c>
      <c r="B886" t="s">
        <v>49</v>
      </c>
      <c r="C886">
        <v>5.34</v>
      </c>
      <c r="D886">
        <v>7.58</v>
      </c>
      <c r="E886" s="27">
        <v>70.489999999999995</v>
      </c>
      <c r="F886">
        <v>7.77</v>
      </c>
      <c r="G886">
        <v>0.1</v>
      </c>
      <c r="H886">
        <v>7.87</v>
      </c>
      <c r="I886">
        <v>98.73</v>
      </c>
      <c r="J886">
        <v>67.89</v>
      </c>
      <c r="K886" s="9">
        <v>45313</v>
      </c>
      <c r="L886">
        <f xml:space="preserve"> (交易處理資料__3[[#This Row],[售出工時]] * 60) / 5</f>
        <v>64.08</v>
      </c>
      <c r="M886" t="str">
        <f>VLOOKUP(交易處理資料__3[[#This Row],[人員代號]],團隊分組!$B$1:$C$52,2,FALSE)</f>
        <v>查修團隊A</v>
      </c>
      <c r="N886">
        <f>IF(交易處理資料__3[[#This Row],[上班時間]]=0,0,交易處理資料__3[[#This Row],[售出工時]]/交易處理資料__3[[#This Row],[上班時間]])</f>
        <v>0.67852604828462515</v>
      </c>
      <c r="O886" s="31" t="str">
        <f>IF(交易處理資料__3[[#This Row],[上班時間]]=0,"否","是")</f>
        <v>是</v>
      </c>
    </row>
    <row r="887" spans="1:15" hidden="1">
      <c r="A887" t="s">
        <v>75</v>
      </c>
      <c r="B887" t="s">
        <v>50</v>
      </c>
      <c r="C887">
        <v>8.1999999999999993</v>
      </c>
      <c r="D887">
        <v>7.25</v>
      </c>
      <c r="E887" s="27">
        <v>113.14</v>
      </c>
      <c r="F887">
        <v>6.98</v>
      </c>
      <c r="G887">
        <v>1.1599999999999999</v>
      </c>
      <c r="H887">
        <v>8.14</v>
      </c>
      <c r="I887">
        <v>85.75</v>
      </c>
      <c r="J887">
        <v>100.78</v>
      </c>
      <c r="K887" s="9">
        <v>45313</v>
      </c>
      <c r="L887">
        <f xml:space="preserve"> (交易處理資料__3[[#This Row],[售出工時]] * 60) / 5</f>
        <v>98.399999999999991</v>
      </c>
      <c r="M887" t="str">
        <f>VLOOKUP(交易處理資料__3[[#This Row],[人員代號]],團隊分組!$B$1:$C$52,2,FALSE)</f>
        <v>快速保養團隊B</v>
      </c>
      <c r="N887">
        <f>IF(交易處理資料__3[[#This Row],[上班時間]]=0,0,交易處理資料__3[[#This Row],[售出工時]]/交易處理資料__3[[#This Row],[上班時間]])</f>
        <v>1.0073710073710072</v>
      </c>
      <c r="O887" s="31" t="str">
        <f>IF(交易處理資料__3[[#This Row],[上班時間]]=0,"否","是")</f>
        <v>是</v>
      </c>
    </row>
    <row r="888" spans="1:15" hidden="1">
      <c r="A888" t="s">
        <v>75</v>
      </c>
      <c r="B888" t="s">
        <v>51</v>
      </c>
      <c r="C888">
        <v>0</v>
      </c>
      <c r="D888">
        <v>0</v>
      </c>
      <c r="E888" s="27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 s="9">
        <v>45313</v>
      </c>
      <c r="L888">
        <f xml:space="preserve"> (交易處理資料__3[[#This Row],[售出工時]] * 60) / 5</f>
        <v>0</v>
      </c>
      <c r="M888" t="str">
        <f>VLOOKUP(交易處理資料__3[[#This Row],[人員代號]],團隊分組!$B$1:$C$52,2,FALSE)</f>
        <v>無效數據</v>
      </c>
      <c r="N888">
        <f>IF(交易處理資料__3[[#This Row],[上班時間]]=0,0,交易處理資料__3[[#This Row],[售出工時]]/交易處理資料__3[[#This Row],[上班時間]])</f>
        <v>0</v>
      </c>
      <c r="O888" s="31" t="str">
        <f>IF(交易處理資料__3[[#This Row],[上班時間]]=0,"否","是")</f>
        <v>否</v>
      </c>
    </row>
    <row r="889" spans="1:15" hidden="1">
      <c r="A889" t="s">
        <v>75</v>
      </c>
      <c r="B889" t="s">
        <v>53</v>
      </c>
      <c r="C889">
        <v>4.41</v>
      </c>
      <c r="D889">
        <v>4.78</v>
      </c>
      <c r="E889" s="27">
        <v>92.39</v>
      </c>
      <c r="F889">
        <v>7.75</v>
      </c>
      <c r="G889">
        <v>0.14000000000000001</v>
      </c>
      <c r="H889">
        <v>7.89</v>
      </c>
      <c r="I889">
        <v>98.23</v>
      </c>
      <c r="J889">
        <v>55.98</v>
      </c>
      <c r="K889" s="9">
        <v>45313</v>
      </c>
      <c r="L889">
        <f xml:space="preserve"> (交易處理資料__3[[#This Row],[售出工時]] * 60) / 5</f>
        <v>52.92</v>
      </c>
      <c r="M889" t="str">
        <f>VLOOKUP(交易處理資料__3[[#This Row],[人員代號]],團隊分組!$B$1:$C$52,2,FALSE)</f>
        <v>查修團隊A</v>
      </c>
      <c r="N889">
        <f>IF(交易處理資料__3[[#This Row],[上班時間]]=0,0,交易處理資料__3[[#This Row],[售出工時]]/交易處理資料__3[[#This Row],[上班時間]])</f>
        <v>0.55893536121673004</v>
      </c>
      <c r="O889" s="31" t="str">
        <f>IF(交易處理資料__3[[#This Row],[上班時間]]=0,"否","是")</f>
        <v>是</v>
      </c>
    </row>
    <row r="890" spans="1:15" hidden="1">
      <c r="A890" s="10" t="s">
        <v>73</v>
      </c>
      <c r="B890" t="s">
        <v>1</v>
      </c>
      <c r="C890">
        <v>0</v>
      </c>
      <c r="D890">
        <v>0</v>
      </c>
      <c r="E890" s="27">
        <v>0</v>
      </c>
      <c r="F890">
        <v>6.62</v>
      </c>
      <c r="G890">
        <v>1.4</v>
      </c>
      <c r="H890">
        <v>8.02</v>
      </c>
      <c r="I890">
        <v>82.54</v>
      </c>
      <c r="J890">
        <v>0</v>
      </c>
      <c r="K890" s="9">
        <v>45314</v>
      </c>
      <c r="L890">
        <f xml:space="preserve"> (交易處理資料__3[[#This Row],[售出工時]] * 60) / 5</f>
        <v>0</v>
      </c>
      <c r="M890" t="str">
        <f>VLOOKUP(交易處理資料__3[[#This Row],[人員代號]],團隊分組!$B$1:$C$52,2,FALSE)</f>
        <v>噴漆維修組</v>
      </c>
      <c r="N890">
        <f>IF(交易處理資料__3[[#This Row],[上班時間]]=0,0,交易處理資料__3[[#This Row],[售出工時]]/交易處理資料__3[[#This Row],[上班時間]])</f>
        <v>0</v>
      </c>
      <c r="O890" s="31" t="str">
        <f>IF(交易處理資料__3[[#This Row],[上班時間]]=0,"否","是")</f>
        <v>是</v>
      </c>
    </row>
    <row r="891" spans="1:15" hidden="1">
      <c r="A891" s="10" t="s">
        <v>73</v>
      </c>
      <c r="B891" t="s">
        <v>2</v>
      </c>
      <c r="C891">
        <v>0</v>
      </c>
      <c r="D891">
        <v>0</v>
      </c>
      <c r="E891" s="27">
        <v>0</v>
      </c>
      <c r="F891">
        <v>7.72</v>
      </c>
      <c r="G891">
        <v>0.26</v>
      </c>
      <c r="H891">
        <v>7.98</v>
      </c>
      <c r="I891">
        <v>96.74</v>
      </c>
      <c r="J891">
        <v>0</v>
      </c>
      <c r="K891" s="9">
        <v>45314</v>
      </c>
      <c r="L891">
        <f xml:space="preserve"> (交易處理資料__3[[#This Row],[售出工時]] * 60) / 5</f>
        <v>0</v>
      </c>
      <c r="M891" t="str">
        <f>VLOOKUP(交易處理資料__3[[#This Row],[人員代號]],團隊分組!$B$1:$C$52,2,FALSE)</f>
        <v>噴漆維修組</v>
      </c>
      <c r="N891">
        <f>IF(交易處理資料__3[[#This Row],[上班時間]]=0,0,交易處理資料__3[[#This Row],[售出工時]]/交易處理資料__3[[#This Row],[上班時間]])</f>
        <v>0</v>
      </c>
      <c r="O891" s="31" t="str">
        <f>IF(交易處理資料__3[[#This Row],[上班時間]]=0,"否","是")</f>
        <v>是</v>
      </c>
    </row>
    <row r="892" spans="1:15" hidden="1">
      <c r="A892" s="10" t="s">
        <v>73</v>
      </c>
      <c r="B892" t="s">
        <v>3</v>
      </c>
      <c r="C892">
        <v>0</v>
      </c>
      <c r="D892">
        <v>0</v>
      </c>
      <c r="E892" s="27">
        <v>0</v>
      </c>
      <c r="F892">
        <v>7.74</v>
      </c>
      <c r="G892">
        <v>0.25</v>
      </c>
      <c r="H892">
        <v>7.99</v>
      </c>
      <c r="I892">
        <v>96.87</v>
      </c>
      <c r="J892">
        <v>0</v>
      </c>
      <c r="K892" s="9">
        <v>45314</v>
      </c>
      <c r="L892">
        <f xml:space="preserve"> (交易處理資料__3[[#This Row],[售出工時]] * 60) / 5</f>
        <v>0</v>
      </c>
      <c r="M892" t="str">
        <f>VLOOKUP(交易處理資料__3[[#This Row],[人員代號]],團隊分組!$B$1:$C$52,2,FALSE)</f>
        <v>噴漆維修組</v>
      </c>
      <c r="N892">
        <f>IF(交易處理資料__3[[#This Row],[上班時間]]=0,0,交易處理資料__3[[#This Row],[售出工時]]/交易處理資料__3[[#This Row],[上班時間]])</f>
        <v>0</v>
      </c>
      <c r="O892" s="31" t="str">
        <f>IF(交易處理資料__3[[#This Row],[上班時間]]=0,"否","是")</f>
        <v>是</v>
      </c>
    </row>
    <row r="893" spans="1:15" hidden="1">
      <c r="A893" s="10" t="s">
        <v>73</v>
      </c>
      <c r="B893" t="s">
        <v>4</v>
      </c>
      <c r="C893">
        <v>2.42</v>
      </c>
      <c r="D893">
        <v>7.25</v>
      </c>
      <c r="E893" s="27">
        <v>33.369999999999997</v>
      </c>
      <c r="F893">
        <v>3.22</v>
      </c>
      <c r="G893">
        <v>4.82</v>
      </c>
      <c r="H893">
        <v>8.0399999999999991</v>
      </c>
      <c r="I893">
        <v>40.049999999999997</v>
      </c>
      <c r="J893">
        <v>30.1</v>
      </c>
      <c r="K893" s="9">
        <v>45314</v>
      </c>
      <c r="L893">
        <f xml:space="preserve"> (交易處理資料__3[[#This Row],[售出工時]] * 60) / 5</f>
        <v>29.04</v>
      </c>
      <c r="M893" t="str">
        <f>VLOOKUP(交易處理資料__3[[#This Row],[人員代號]],團隊分組!$B$1:$C$52,2,FALSE)</f>
        <v>噴漆維修組</v>
      </c>
      <c r="N893">
        <f>IF(交易處理資料__3[[#This Row],[上班時間]]=0,0,交易處理資料__3[[#This Row],[售出工時]]/交易處理資料__3[[#This Row],[上班時間]])</f>
        <v>0.30099502487562191</v>
      </c>
      <c r="O893" s="31" t="str">
        <f>IF(交易處理資料__3[[#This Row],[上班時間]]=0,"否","是")</f>
        <v>是</v>
      </c>
    </row>
    <row r="894" spans="1:15" hidden="1">
      <c r="A894" s="10" t="s">
        <v>73</v>
      </c>
      <c r="B894" t="s">
        <v>5</v>
      </c>
      <c r="C894">
        <v>0</v>
      </c>
      <c r="D894">
        <v>0</v>
      </c>
      <c r="E894" s="27">
        <v>0</v>
      </c>
      <c r="F894">
        <v>5.65</v>
      </c>
      <c r="G894">
        <v>2.37</v>
      </c>
      <c r="H894">
        <v>8.02</v>
      </c>
      <c r="I894">
        <v>70.45</v>
      </c>
      <c r="J894">
        <v>0</v>
      </c>
      <c r="K894" s="9">
        <v>45314</v>
      </c>
      <c r="L894">
        <f xml:space="preserve"> (交易處理資料__3[[#This Row],[售出工時]] * 60) / 5</f>
        <v>0</v>
      </c>
      <c r="M894" t="str">
        <f>VLOOKUP(交易處理資料__3[[#This Row],[人員代號]],團隊分組!$B$1:$C$52,2,FALSE)</f>
        <v>噴漆維修組</v>
      </c>
      <c r="N894">
        <f>IF(交易處理資料__3[[#This Row],[上班時間]]=0,0,交易處理資料__3[[#This Row],[售出工時]]/交易處理資料__3[[#This Row],[上班時間]])</f>
        <v>0</v>
      </c>
      <c r="O894" s="31" t="str">
        <f>IF(交易處理資料__3[[#This Row],[上班時間]]=0,"否","是")</f>
        <v>是</v>
      </c>
    </row>
    <row r="895" spans="1:15" hidden="1">
      <c r="A895" s="10" t="s">
        <v>73</v>
      </c>
      <c r="B895" t="s">
        <v>6</v>
      </c>
      <c r="C895">
        <v>0</v>
      </c>
      <c r="D895">
        <v>0</v>
      </c>
      <c r="E895" s="27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 s="9">
        <v>45314</v>
      </c>
      <c r="L895">
        <f xml:space="preserve"> (交易處理資料__3[[#This Row],[售出工時]] * 60) / 5</f>
        <v>0</v>
      </c>
      <c r="M895" t="str">
        <f>VLOOKUP(交易處理資料__3[[#This Row],[人員代號]],團隊分組!$B$1:$C$52,2,FALSE)</f>
        <v>噴漆維修組</v>
      </c>
      <c r="N895">
        <f>IF(交易處理資料__3[[#This Row],[上班時間]]=0,0,交易處理資料__3[[#This Row],[售出工時]]/交易處理資料__3[[#This Row],[上班時間]])</f>
        <v>0</v>
      </c>
      <c r="O895" s="31" t="str">
        <f>IF(交易處理資料__3[[#This Row],[上班時間]]=0,"否","是")</f>
        <v>否</v>
      </c>
    </row>
    <row r="896" spans="1:15" hidden="1">
      <c r="A896" s="10" t="s">
        <v>73</v>
      </c>
      <c r="B896" t="s">
        <v>7</v>
      </c>
      <c r="C896">
        <v>0</v>
      </c>
      <c r="D896">
        <v>0</v>
      </c>
      <c r="E896" s="27">
        <v>0</v>
      </c>
      <c r="F896">
        <v>5.65</v>
      </c>
      <c r="G896">
        <v>2.37</v>
      </c>
      <c r="H896">
        <v>8.02</v>
      </c>
      <c r="I896">
        <v>70.45</v>
      </c>
      <c r="J896">
        <v>0</v>
      </c>
      <c r="K896" s="9">
        <v>45314</v>
      </c>
      <c r="L896">
        <f xml:space="preserve"> (交易處理資料__3[[#This Row],[售出工時]] * 60) / 5</f>
        <v>0</v>
      </c>
      <c r="M896" t="str">
        <f>VLOOKUP(交易處理資料__3[[#This Row],[人員代號]],團隊分組!$B$1:$C$52,2,FALSE)</f>
        <v>噴漆維修組</v>
      </c>
      <c r="N896">
        <f>IF(交易處理資料__3[[#This Row],[上班時間]]=0,0,交易處理資料__3[[#This Row],[售出工時]]/交易處理資料__3[[#This Row],[上班時間]])</f>
        <v>0</v>
      </c>
      <c r="O896" s="31" t="str">
        <f>IF(交易處理資料__3[[#This Row],[上班時間]]=0,"否","是")</f>
        <v>是</v>
      </c>
    </row>
    <row r="897" spans="1:15" hidden="1">
      <c r="A897" s="10" t="s">
        <v>73</v>
      </c>
      <c r="B897" t="s">
        <v>9</v>
      </c>
      <c r="C897">
        <v>0</v>
      </c>
      <c r="D897">
        <v>0</v>
      </c>
      <c r="E897" s="27">
        <v>0</v>
      </c>
      <c r="F897">
        <v>7.19</v>
      </c>
      <c r="G897">
        <v>0.87</v>
      </c>
      <c r="H897">
        <v>8.06</v>
      </c>
      <c r="I897">
        <v>89.21</v>
      </c>
      <c r="J897">
        <v>0</v>
      </c>
      <c r="K897" s="9">
        <v>45314</v>
      </c>
      <c r="L897">
        <f xml:space="preserve"> (交易處理資料__3[[#This Row],[售出工時]] * 60) / 5</f>
        <v>0</v>
      </c>
      <c r="M897" t="str">
        <f>VLOOKUP(交易處理資料__3[[#This Row],[人員代號]],團隊分組!$B$1:$C$52,2,FALSE)</f>
        <v>噴漆維修組</v>
      </c>
      <c r="N897">
        <f>IF(交易處理資料__3[[#This Row],[上班時間]]=0,0,交易處理資料__3[[#This Row],[售出工時]]/交易處理資料__3[[#This Row],[上班時間]])</f>
        <v>0</v>
      </c>
      <c r="O897" s="31" t="str">
        <f>IF(交易處理資料__3[[#This Row],[上班時間]]=0,"否","是")</f>
        <v>是</v>
      </c>
    </row>
    <row r="898" spans="1:15" hidden="1">
      <c r="A898" t="s">
        <v>74</v>
      </c>
      <c r="B898" t="s">
        <v>11</v>
      </c>
      <c r="C898">
        <v>4.16</v>
      </c>
      <c r="D898">
        <v>4.7</v>
      </c>
      <c r="E898" s="27">
        <v>88.65</v>
      </c>
      <c r="F898">
        <v>7</v>
      </c>
      <c r="G898">
        <v>1.05</v>
      </c>
      <c r="H898">
        <v>8.0500000000000007</v>
      </c>
      <c r="I898">
        <v>86.96</v>
      </c>
      <c r="J898">
        <v>51.76</v>
      </c>
      <c r="K898" s="9">
        <v>45314</v>
      </c>
      <c r="L898">
        <f xml:space="preserve"> (交易處理資料__3[[#This Row],[售出工時]] * 60) / 5</f>
        <v>49.92</v>
      </c>
      <c r="M898" t="str">
        <f>VLOOKUP(交易處理資料__3[[#This Row],[人員代號]],團隊分組!$B$1:$C$52,2,FALSE)</f>
        <v>鈑金維修組</v>
      </c>
      <c r="N898">
        <f>IF(交易處理資料__3[[#This Row],[上班時間]]=0,0,交易處理資料__3[[#This Row],[售出工時]]/交易處理資料__3[[#This Row],[上班時間]])</f>
        <v>0.51677018633540373</v>
      </c>
      <c r="O898" s="31" t="str">
        <f>IF(交易處理資料__3[[#This Row],[上班時間]]=0,"否","是")</f>
        <v>是</v>
      </c>
    </row>
    <row r="899" spans="1:15" hidden="1">
      <c r="A899" t="s">
        <v>74</v>
      </c>
      <c r="B899" t="s">
        <v>12</v>
      </c>
      <c r="C899">
        <v>0</v>
      </c>
      <c r="D899">
        <v>0</v>
      </c>
      <c r="E899" s="27">
        <v>0</v>
      </c>
      <c r="F899">
        <v>6.38</v>
      </c>
      <c r="G899">
        <v>1.66</v>
      </c>
      <c r="H899">
        <v>8.0399999999999991</v>
      </c>
      <c r="I899">
        <v>79.349999999999994</v>
      </c>
      <c r="J899">
        <v>0</v>
      </c>
      <c r="K899" s="9">
        <v>45314</v>
      </c>
      <c r="L899">
        <f xml:space="preserve"> (交易處理資料__3[[#This Row],[售出工時]] * 60) / 5</f>
        <v>0</v>
      </c>
      <c r="M899" t="str">
        <f>VLOOKUP(交易處理資料__3[[#This Row],[人員代號]],團隊分組!$B$1:$C$52,2,FALSE)</f>
        <v>鈑金維修組</v>
      </c>
      <c r="N899">
        <f>IF(交易處理資料__3[[#This Row],[上班時間]]=0,0,交易處理資料__3[[#This Row],[售出工時]]/交易處理資料__3[[#This Row],[上班時間]])</f>
        <v>0</v>
      </c>
      <c r="O899" s="31" t="str">
        <f>IF(交易處理資料__3[[#This Row],[上班時間]]=0,"否","是")</f>
        <v>是</v>
      </c>
    </row>
    <row r="900" spans="1:15" hidden="1">
      <c r="A900" t="s">
        <v>74</v>
      </c>
      <c r="B900" t="s">
        <v>13</v>
      </c>
      <c r="C900">
        <v>0</v>
      </c>
      <c r="D900">
        <v>0</v>
      </c>
      <c r="E900" s="27">
        <v>0</v>
      </c>
      <c r="F900">
        <v>5</v>
      </c>
      <c r="G900">
        <v>3.04</v>
      </c>
      <c r="H900">
        <v>8.0399999999999991</v>
      </c>
      <c r="I900">
        <v>62.19</v>
      </c>
      <c r="J900">
        <v>0</v>
      </c>
      <c r="K900" s="9">
        <v>45314</v>
      </c>
      <c r="L900">
        <f xml:space="preserve"> (交易處理資料__3[[#This Row],[售出工時]] * 60) / 5</f>
        <v>0</v>
      </c>
      <c r="M900" t="str">
        <f>VLOOKUP(交易處理資料__3[[#This Row],[人員代號]],團隊分組!$B$1:$C$52,2,FALSE)</f>
        <v>鈑金維修組</v>
      </c>
      <c r="N900">
        <f>IF(交易處理資料__3[[#This Row],[上班時間]]=0,0,交易處理資料__3[[#This Row],[售出工時]]/交易處理資料__3[[#This Row],[上班時間]])</f>
        <v>0</v>
      </c>
      <c r="O900" s="31" t="str">
        <f>IF(交易處理資料__3[[#This Row],[上班時間]]=0,"否","是")</f>
        <v>是</v>
      </c>
    </row>
    <row r="901" spans="1:15" hidden="1">
      <c r="A901" t="s">
        <v>74</v>
      </c>
      <c r="B901" t="s">
        <v>14</v>
      </c>
      <c r="C901">
        <v>0</v>
      </c>
      <c r="D901">
        <v>0</v>
      </c>
      <c r="E901" s="27">
        <v>0</v>
      </c>
      <c r="F901">
        <v>4.45</v>
      </c>
      <c r="G901">
        <v>3.6</v>
      </c>
      <c r="H901">
        <v>8.0500000000000007</v>
      </c>
      <c r="I901">
        <v>55.28</v>
      </c>
      <c r="J901">
        <v>0</v>
      </c>
      <c r="K901" s="9">
        <v>45314</v>
      </c>
      <c r="L901">
        <f xml:space="preserve"> (交易處理資料__3[[#This Row],[售出工時]] * 60) / 5</f>
        <v>0</v>
      </c>
      <c r="M901" t="str">
        <f>VLOOKUP(交易處理資料__3[[#This Row],[人員代號]],團隊分組!$B$1:$C$52,2,FALSE)</f>
        <v>鈑金維修組</v>
      </c>
      <c r="N901">
        <f>IF(交易處理資料__3[[#This Row],[上班時間]]=0,0,交易處理資料__3[[#This Row],[售出工時]]/交易處理資料__3[[#This Row],[上班時間]])</f>
        <v>0</v>
      </c>
      <c r="O901" s="31" t="str">
        <f>IF(交易處理資料__3[[#This Row],[上班時間]]=0,"否","是")</f>
        <v>是</v>
      </c>
    </row>
    <row r="902" spans="1:15" hidden="1">
      <c r="A902" t="s">
        <v>74</v>
      </c>
      <c r="B902" t="s">
        <v>15</v>
      </c>
      <c r="C902">
        <v>0</v>
      </c>
      <c r="D902">
        <v>0</v>
      </c>
      <c r="E902" s="27">
        <v>0</v>
      </c>
      <c r="F902">
        <v>3.23</v>
      </c>
      <c r="G902">
        <v>4.82</v>
      </c>
      <c r="H902">
        <v>8.0500000000000007</v>
      </c>
      <c r="I902">
        <v>40.119999999999997</v>
      </c>
      <c r="J902">
        <v>0</v>
      </c>
      <c r="K902" s="9">
        <v>45314</v>
      </c>
      <c r="L902">
        <f xml:space="preserve"> (交易處理資料__3[[#This Row],[售出工時]] * 60) / 5</f>
        <v>0</v>
      </c>
      <c r="M902" t="str">
        <f>VLOOKUP(交易處理資料__3[[#This Row],[人員代號]],團隊分組!$B$1:$C$52,2,FALSE)</f>
        <v>鈑金維修組</v>
      </c>
      <c r="N902">
        <f>IF(交易處理資料__3[[#This Row],[上班時間]]=0,0,交易處理資料__3[[#This Row],[售出工時]]/交易處理資料__3[[#This Row],[上班時間]])</f>
        <v>0</v>
      </c>
      <c r="O902" s="31" t="str">
        <f>IF(交易處理資料__3[[#This Row],[上班時間]]=0,"否","是")</f>
        <v>是</v>
      </c>
    </row>
    <row r="903" spans="1:15" hidden="1">
      <c r="A903" t="s">
        <v>75</v>
      </c>
      <c r="B903" t="s">
        <v>17</v>
      </c>
      <c r="C903">
        <v>16.05</v>
      </c>
      <c r="D903">
        <v>9.67</v>
      </c>
      <c r="E903" s="27">
        <v>165.97</v>
      </c>
      <c r="F903">
        <v>10.27</v>
      </c>
      <c r="G903">
        <v>0.16</v>
      </c>
      <c r="H903">
        <v>10.43</v>
      </c>
      <c r="I903">
        <v>98.47</v>
      </c>
      <c r="J903">
        <v>153.88</v>
      </c>
      <c r="K903" s="9">
        <v>45314</v>
      </c>
      <c r="L903">
        <f xml:space="preserve"> (交易處理資料__3[[#This Row],[售出工時]] * 60) / 5</f>
        <v>192.6</v>
      </c>
      <c r="M903" t="str">
        <f>VLOOKUP(交易處理資料__3[[#This Row],[人員代號]],團隊分組!$B$1:$C$52,2,FALSE)</f>
        <v>快速保養團隊A</v>
      </c>
      <c r="N903">
        <f>IF(交易處理資料__3[[#This Row],[上班時間]]=0,0,交易處理資料__3[[#This Row],[售出工時]]/交易處理資料__3[[#This Row],[上班時間]])</f>
        <v>1.5388302972195591</v>
      </c>
      <c r="O903" s="31" t="str">
        <f>IF(交易處理資料__3[[#This Row],[上班時間]]=0,"否","是")</f>
        <v>是</v>
      </c>
    </row>
    <row r="904" spans="1:15" hidden="1">
      <c r="A904" t="s">
        <v>75</v>
      </c>
      <c r="B904" t="s">
        <v>19</v>
      </c>
      <c r="C904">
        <v>0</v>
      </c>
      <c r="D904">
        <v>0</v>
      </c>
      <c r="E904" s="27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 s="9">
        <v>45314</v>
      </c>
      <c r="L904">
        <f xml:space="preserve"> (交易處理資料__3[[#This Row],[售出工時]] * 60) / 5</f>
        <v>0</v>
      </c>
      <c r="M904" t="str">
        <f>VLOOKUP(交易處理資料__3[[#This Row],[人員代號]],團隊分組!$B$1:$C$52,2,FALSE)</f>
        <v>查修團隊A</v>
      </c>
      <c r="N904">
        <f>IF(交易處理資料__3[[#This Row],[上班時間]]=0,0,交易處理資料__3[[#This Row],[售出工時]]/交易處理資料__3[[#This Row],[上班時間]])</f>
        <v>0</v>
      </c>
      <c r="O904" s="31" t="str">
        <f>IF(交易處理資料__3[[#This Row],[上班時間]]=0,"否","是")</f>
        <v>否</v>
      </c>
    </row>
    <row r="905" spans="1:15" hidden="1">
      <c r="A905" t="s">
        <v>75</v>
      </c>
      <c r="B905" t="s">
        <v>20</v>
      </c>
      <c r="C905">
        <v>2.75</v>
      </c>
      <c r="D905">
        <v>6.53</v>
      </c>
      <c r="E905" s="27">
        <v>42.11</v>
      </c>
      <c r="F905">
        <v>2.5</v>
      </c>
      <c r="G905">
        <v>5.98</v>
      </c>
      <c r="H905">
        <v>8.48</v>
      </c>
      <c r="I905">
        <v>29.48</v>
      </c>
      <c r="J905">
        <v>32.43</v>
      </c>
      <c r="K905" s="9">
        <v>45314</v>
      </c>
      <c r="L905">
        <f xml:space="preserve"> (交易處理資料__3[[#This Row],[售出工時]] * 60) / 5</f>
        <v>33</v>
      </c>
      <c r="M905" t="str">
        <f>VLOOKUP(交易處理資料__3[[#This Row],[人員代號]],團隊分組!$B$1:$C$52,2,FALSE)</f>
        <v>查修團隊B</v>
      </c>
      <c r="N905">
        <f>IF(交易處理資料__3[[#This Row],[上班時間]]=0,0,交易處理資料__3[[#This Row],[售出工時]]/交易處理資料__3[[#This Row],[上班時間]])</f>
        <v>0.32429245283018865</v>
      </c>
      <c r="O905" s="31" t="str">
        <f>IF(交易處理資料__3[[#This Row],[上班時間]]=0,"否","是")</f>
        <v>是</v>
      </c>
    </row>
    <row r="906" spans="1:15" hidden="1">
      <c r="A906" t="s">
        <v>75</v>
      </c>
      <c r="B906" t="s">
        <v>22</v>
      </c>
      <c r="C906">
        <v>0</v>
      </c>
      <c r="D906">
        <v>0</v>
      </c>
      <c r="E906" s="27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 s="9">
        <v>45314</v>
      </c>
      <c r="L906">
        <f xml:space="preserve"> (交易處理資料__3[[#This Row],[售出工時]] * 60) / 5</f>
        <v>0</v>
      </c>
      <c r="M906" t="str">
        <f>VLOOKUP(交易處理資料__3[[#This Row],[人員代號]],團隊分組!$B$1:$C$52,2,FALSE)</f>
        <v>快速保養團隊A</v>
      </c>
      <c r="N906">
        <f>IF(交易處理資料__3[[#This Row],[上班時間]]=0,0,交易處理資料__3[[#This Row],[售出工時]]/交易處理資料__3[[#This Row],[上班時間]])</f>
        <v>0</v>
      </c>
      <c r="O906" s="31" t="str">
        <f>IF(交易處理資料__3[[#This Row],[上班時間]]=0,"否","是")</f>
        <v>否</v>
      </c>
    </row>
    <row r="907" spans="1:15" hidden="1">
      <c r="A907" t="s">
        <v>75</v>
      </c>
      <c r="B907" t="s">
        <v>23</v>
      </c>
      <c r="C907">
        <v>9.4600000000000009</v>
      </c>
      <c r="D907">
        <v>4.5999999999999996</v>
      </c>
      <c r="E907" s="27">
        <v>205.65</v>
      </c>
      <c r="F907">
        <v>6.6</v>
      </c>
      <c r="G907">
        <v>1.57</v>
      </c>
      <c r="H907">
        <v>8.17</v>
      </c>
      <c r="I907">
        <v>80.78</v>
      </c>
      <c r="J907">
        <v>115.79</v>
      </c>
      <c r="K907" s="9">
        <v>45314</v>
      </c>
      <c r="L907">
        <f xml:space="preserve"> (交易處理資料__3[[#This Row],[售出工時]] * 60) / 5</f>
        <v>113.52000000000001</v>
      </c>
      <c r="M907" t="str">
        <f>VLOOKUP(交易處理資料__3[[#This Row],[人員代號]],團隊分組!$B$1:$C$52,2,FALSE)</f>
        <v>快速保養團隊B</v>
      </c>
      <c r="N907">
        <f>IF(交易處理資料__3[[#This Row],[上班時間]]=0,0,交易處理資料__3[[#This Row],[售出工時]]/交易處理資料__3[[#This Row],[上班時間]])</f>
        <v>1.1578947368421053</v>
      </c>
      <c r="O907" s="31" t="str">
        <f>IF(交易處理資料__3[[#This Row],[上班時間]]=0,"否","是")</f>
        <v>是</v>
      </c>
    </row>
    <row r="908" spans="1:15" hidden="1">
      <c r="A908" t="s">
        <v>75</v>
      </c>
      <c r="B908" t="s">
        <v>25</v>
      </c>
      <c r="C908">
        <v>4</v>
      </c>
      <c r="D908">
        <v>2.83</v>
      </c>
      <c r="E908" s="27">
        <v>141.34</v>
      </c>
      <c r="F908">
        <v>6.67</v>
      </c>
      <c r="G908">
        <v>2.34</v>
      </c>
      <c r="H908">
        <v>9.01</v>
      </c>
      <c r="I908">
        <v>74.03</v>
      </c>
      <c r="J908">
        <v>44.4</v>
      </c>
      <c r="K908" s="9">
        <v>45314</v>
      </c>
      <c r="L908">
        <f xml:space="preserve"> (交易處理資料__3[[#This Row],[售出工時]] * 60) / 5</f>
        <v>48</v>
      </c>
      <c r="M908" t="str">
        <f>VLOOKUP(交易處理資料__3[[#This Row],[人員代號]],團隊分組!$B$1:$C$52,2,FALSE)</f>
        <v>查修團隊A</v>
      </c>
      <c r="N908">
        <f>IF(交易處理資料__3[[#This Row],[上班時間]]=0,0,交易處理資料__3[[#This Row],[售出工時]]/交易處理資料__3[[#This Row],[上班時間]])</f>
        <v>0.44395116537180912</v>
      </c>
      <c r="O908" s="31" t="str">
        <f>IF(交易處理資料__3[[#This Row],[上班時間]]=0,"否","是")</f>
        <v>是</v>
      </c>
    </row>
    <row r="909" spans="1:15" hidden="1">
      <c r="A909" t="s">
        <v>75</v>
      </c>
      <c r="B909" t="s">
        <v>26</v>
      </c>
      <c r="C909">
        <v>2.2000000000000002</v>
      </c>
      <c r="D909">
        <v>1.87</v>
      </c>
      <c r="E909" s="27">
        <v>118</v>
      </c>
      <c r="F909">
        <v>1.32</v>
      </c>
      <c r="G909">
        <v>7.17</v>
      </c>
      <c r="H909">
        <v>8.49</v>
      </c>
      <c r="I909">
        <v>15.55</v>
      </c>
      <c r="J909">
        <v>25.99</v>
      </c>
      <c r="K909" s="9">
        <v>45314</v>
      </c>
      <c r="L909">
        <f xml:space="preserve"> (交易處理資料__3[[#This Row],[售出工時]] * 60) / 5</f>
        <v>26.4</v>
      </c>
      <c r="M909" t="str">
        <f>VLOOKUP(交易處理資料__3[[#This Row],[人員代號]],團隊分組!$B$1:$C$52,2,FALSE)</f>
        <v>查修團隊B</v>
      </c>
      <c r="N909">
        <f>IF(交易處理資料__3[[#This Row],[上班時間]]=0,0,交易處理資料__3[[#This Row],[售出工時]]/交易處理資料__3[[#This Row],[上班時間]])</f>
        <v>0.25912838633686691</v>
      </c>
      <c r="O909" s="31" t="str">
        <f>IF(交易處理資料__3[[#This Row],[上班時間]]=0,"否","是")</f>
        <v>是</v>
      </c>
    </row>
    <row r="910" spans="1:15" hidden="1">
      <c r="A910" t="s">
        <v>75</v>
      </c>
      <c r="B910" t="s">
        <v>27</v>
      </c>
      <c r="C910">
        <v>4.99</v>
      </c>
      <c r="D910">
        <v>2.88</v>
      </c>
      <c r="E910" s="27">
        <v>173.26</v>
      </c>
      <c r="F910">
        <v>9.16</v>
      </c>
      <c r="G910">
        <v>0.93</v>
      </c>
      <c r="H910">
        <v>10.09</v>
      </c>
      <c r="I910">
        <v>90.78</v>
      </c>
      <c r="J910">
        <v>49.45</v>
      </c>
      <c r="K910" s="9">
        <v>45314</v>
      </c>
      <c r="L910">
        <f xml:space="preserve"> (交易處理資料__3[[#This Row],[售出工時]] * 60) / 5</f>
        <v>59.88000000000001</v>
      </c>
      <c r="M910" t="str">
        <f>VLOOKUP(交易處理資料__3[[#This Row],[人員代號]],團隊分組!$B$1:$C$52,2,FALSE)</f>
        <v>快速保養團隊B</v>
      </c>
      <c r="N910">
        <f>IF(交易處理資料__3[[#This Row],[上班時間]]=0,0,交易處理資料__3[[#This Row],[售出工時]]/交易處理資料__3[[#This Row],[上班時間]])</f>
        <v>0.49454905847373642</v>
      </c>
      <c r="O910" s="31" t="str">
        <f>IF(交易處理資料__3[[#This Row],[上班時間]]=0,"否","是")</f>
        <v>是</v>
      </c>
    </row>
    <row r="911" spans="1:15" hidden="1">
      <c r="A911" t="s">
        <v>75</v>
      </c>
      <c r="B911" t="s">
        <v>28</v>
      </c>
      <c r="C911">
        <v>10.41</v>
      </c>
      <c r="D911">
        <v>8.42</v>
      </c>
      <c r="E911" s="27">
        <v>123.71</v>
      </c>
      <c r="F911">
        <v>9.39</v>
      </c>
      <c r="G911">
        <v>0.74</v>
      </c>
      <c r="H911">
        <v>10.130000000000001</v>
      </c>
      <c r="I911">
        <v>92.69</v>
      </c>
      <c r="J911">
        <v>102.83</v>
      </c>
      <c r="K911" s="9">
        <v>45314</v>
      </c>
      <c r="L911">
        <f xml:space="preserve"> (交易處理資料__3[[#This Row],[售出工時]] * 60) / 5</f>
        <v>124.92</v>
      </c>
      <c r="M911" t="str">
        <f>VLOOKUP(交易處理資料__3[[#This Row],[人員代號]],團隊分組!$B$1:$C$52,2,FALSE)</f>
        <v>快速保養團隊A</v>
      </c>
      <c r="N911">
        <f>IF(交易處理資料__3[[#This Row],[上班時間]]=0,0,交易處理資料__3[[#This Row],[售出工時]]/交易處理資料__3[[#This Row],[上班時間]])</f>
        <v>1.0276406712734452</v>
      </c>
      <c r="O911" s="31" t="str">
        <f>IF(交易處理資料__3[[#This Row],[上班時間]]=0,"否","是")</f>
        <v>是</v>
      </c>
    </row>
    <row r="912" spans="1:15" hidden="1">
      <c r="A912" t="s">
        <v>75</v>
      </c>
      <c r="B912" t="s">
        <v>29</v>
      </c>
      <c r="C912">
        <v>5.5</v>
      </c>
      <c r="D912">
        <v>5.35</v>
      </c>
      <c r="E912" s="27">
        <v>102.8</v>
      </c>
      <c r="F912">
        <v>7.02</v>
      </c>
      <c r="G912">
        <v>1.5</v>
      </c>
      <c r="H912">
        <v>8.52</v>
      </c>
      <c r="I912">
        <v>82.39</v>
      </c>
      <c r="J912">
        <v>64.55</v>
      </c>
      <c r="K912" s="9">
        <v>45314</v>
      </c>
      <c r="L912">
        <f xml:space="preserve"> (交易處理資料__3[[#This Row],[售出工時]] * 60) / 5</f>
        <v>66</v>
      </c>
      <c r="M912" t="str">
        <f>VLOOKUP(交易處理資料__3[[#This Row],[人員代號]],團隊分組!$B$1:$C$52,2,FALSE)</f>
        <v>查修團隊B</v>
      </c>
      <c r="N912">
        <f>IF(交易處理資料__3[[#This Row],[上班時間]]=0,0,交易處理資料__3[[#This Row],[售出工時]]/交易處理資料__3[[#This Row],[上班時間]])</f>
        <v>0.64553990610328638</v>
      </c>
      <c r="O912" s="31" t="str">
        <f>IF(交易處理資料__3[[#This Row],[上班時間]]=0,"否","是")</f>
        <v>是</v>
      </c>
    </row>
    <row r="913" spans="1:15" hidden="1">
      <c r="A913" t="s">
        <v>75</v>
      </c>
      <c r="B913" t="s">
        <v>30</v>
      </c>
      <c r="C913">
        <v>8.25</v>
      </c>
      <c r="D913">
        <v>4.4400000000000004</v>
      </c>
      <c r="E913" s="27">
        <v>185.88</v>
      </c>
      <c r="F913">
        <v>9.99</v>
      </c>
      <c r="G913">
        <v>0.11</v>
      </c>
      <c r="H913">
        <v>10.1</v>
      </c>
      <c r="I913">
        <v>98.91</v>
      </c>
      <c r="J913">
        <v>81.72</v>
      </c>
      <c r="K913" s="9">
        <v>45314</v>
      </c>
      <c r="L913">
        <f xml:space="preserve"> (交易處理資料__3[[#This Row],[售出工時]] * 60) / 5</f>
        <v>99</v>
      </c>
      <c r="M913" t="str">
        <f>VLOOKUP(交易處理資料__3[[#This Row],[人員代號]],團隊分組!$B$1:$C$52,2,FALSE)</f>
        <v>快速保養團隊B</v>
      </c>
      <c r="N913">
        <f>IF(交易處理資料__3[[#This Row],[上班時間]]=0,0,交易處理資料__3[[#This Row],[售出工時]]/交易處理資料__3[[#This Row],[上班時間]])</f>
        <v>0.81683168316831689</v>
      </c>
      <c r="O913" s="31" t="str">
        <f>IF(交易處理資料__3[[#This Row],[上班時間]]=0,"否","是")</f>
        <v>是</v>
      </c>
    </row>
    <row r="914" spans="1:15" hidden="1">
      <c r="A914" t="s">
        <v>75</v>
      </c>
      <c r="B914" t="s">
        <v>31</v>
      </c>
      <c r="C914">
        <v>0</v>
      </c>
      <c r="D914">
        <v>0</v>
      </c>
      <c r="E914" s="27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 s="9">
        <v>45314</v>
      </c>
      <c r="L914">
        <f xml:space="preserve"> (交易處理資料__3[[#This Row],[售出工時]] * 60) / 5</f>
        <v>0</v>
      </c>
      <c r="M914" t="str">
        <f>VLOOKUP(交易處理資料__3[[#This Row],[人員代號]],團隊分組!$B$1:$C$52,2,FALSE)</f>
        <v>快速保養團隊A</v>
      </c>
      <c r="N914">
        <f>IF(交易處理資料__3[[#This Row],[上班時間]]=0,0,交易處理資料__3[[#This Row],[售出工時]]/交易處理資料__3[[#This Row],[上班時間]])</f>
        <v>0</v>
      </c>
      <c r="O914" s="31" t="str">
        <f>IF(交易處理資料__3[[#This Row],[上班時間]]=0,"否","是")</f>
        <v>否</v>
      </c>
    </row>
    <row r="915" spans="1:15" hidden="1">
      <c r="A915" t="s">
        <v>75</v>
      </c>
      <c r="B915" t="s">
        <v>32</v>
      </c>
      <c r="C915">
        <v>10.57</v>
      </c>
      <c r="D915">
        <v>5.09</v>
      </c>
      <c r="E915" s="27">
        <v>207.66</v>
      </c>
      <c r="F915">
        <v>10.38</v>
      </c>
      <c r="G915">
        <v>1.94</v>
      </c>
      <c r="H915">
        <v>12.32</v>
      </c>
      <c r="I915">
        <v>84.25</v>
      </c>
      <c r="J915">
        <v>85.8</v>
      </c>
      <c r="K915" s="9">
        <v>45314</v>
      </c>
      <c r="L915">
        <f xml:space="preserve"> (交易處理資料__3[[#This Row],[售出工時]] * 60) / 5</f>
        <v>126.84</v>
      </c>
      <c r="M915" t="str">
        <f>VLOOKUP(交易處理資料__3[[#This Row],[人員代號]],團隊分組!$B$1:$C$52,2,FALSE)</f>
        <v>快速保養團隊B</v>
      </c>
      <c r="N915">
        <f>IF(交易處理資料__3[[#This Row],[上班時間]]=0,0,交易處理資料__3[[#This Row],[售出工時]]/交易處理資料__3[[#This Row],[上班時間]])</f>
        <v>0.85795454545454541</v>
      </c>
      <c r="O915" s="31" t="str">
        <f>IF(交易處理資料__3[[#This Row],[上班時間]]=0,"否","是")</f>
        <v>是</v>
      </c>
    </row>
    <row r="916" spans="1:15">
      <c r="A916" t="s">
        <v>75</v>
      </c>
      <c r="B916" t="s">
        <v>33</v>
      </c>
      <c r="C916">
        <v>0</v>
      </c>
      <c r="D916">
        <v>0</v>
      </c>
      <c r="E916" s="27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 s="9">
        <v>45314</v>
      </c>
      <c r="L916">
        <f xml:space="preserve"> (交易處理資料__3[[#This Row],[售出工時]] * 60) / 5</f>
        <v>0</v>
      </c>
      <c r="M916" t="str">
        <f>VLOOKUP(交易處理資料__3[[#This Row],[人員代號]],團隊分組!$B$1:$C$52,2,FALSE)</f>
        <v>快速保養團隊B</v>
      </c>
      <c r="N916">
        <f>IF(交易處理資料__3[[#This Row],[上班時間]]=0,0,交易處理資料__3[[#This Row],[售出工時]]/交易處理資料__3[[#This Row],[上班時間]])</f>
        <v>0</v>
      </c>
      <c r="O916" s="31" t="str">
        <f>IF(交易處理資料__3[[#This Row],[上班時間]]=0,"否","是")</f>
        <v>否</v>
      </c>
    </row>
    <row r="917" spans="1:15" hidden="1">
      <c r="A917" t="s">
        <v>75</v>
      </c>
      <c r="B917" t="s">
        <v>34</v>
      </c>
      <c r="C917">
        <v>21.08</v>
      </c>
      <c r="D917">
        <v>10.48</v>
      </c>
      <c r="E917" s="27">
        <v>201.17</v>
      </c>
      <c r="F917">
        <v>10.039999999999999</v>
      </c>
      <c r="G917">
        <v>0.44</v>
      </c>
      <c r="H917">
        <v>10.48</v>
      </c>
      <c r="I917">
        <v>95.8</v>
      </c>
      <c r="J917">
        <v>201.18</v>
      </c>
      <c r="K917" s="9">
        <v>45314</v>
      </c>
      <c r="L917">
        <f xml:space="preserve"> (交易處理資料__3[[#This Row],[售出工時]] * 60) / 5</f>
        <v>252.95999999999998</v>
      </c>
      <c r="M917" t="str">
        <f>VLOOKUP(交易處理資料__3[[#This Row],[人員代號]],團隊分組!$B$1:$C$52,2,FALSE)</f>
        <v>快速保養團隊A</v>
      </c>
      <c r="N917">
        <f>IF(交易處理資料__3[[#This Row],[上班時間]]=0,0,交易處理資料__3[[#This Row],[售出工時]]/交易處理資料__3[[#This Row],[上班時間]])</f>
        <v>2.0114503816793889</v>
      </c>
      <c r="O917" s="31" t="str">
        <f>IF(交易處理資料__3[[#This Row],[上班時間]]=0,"否","是")</f>
        <v>是</v>
      </c>
    </row>
    <row r="918" spans="1:15" hidden="1">
      <c r="A918" t="s">
        <v>75</v>
      </c>
      <c r="B918" t="s">
        <v>37</v>
      </c>
      <c r="C918">
        <v>3.59</v>
      </c>
      <c r="D918">
        <v>7.29</v>
      </c>
      <c r="E918" s="27">
        <v>49.24</v>
      </c>
      <c r="F918">
        <v>10.31</v>
      </c>
      <c r="G918">
        <v>0.68</v>
      </c>
      <c r="H918">
        <v>10.99</v>
      </c>
      <c r="I918">
        <v>93.81</v>
      </c>
      <c r="J918">
        <v>32.67</v>
      </c>
      <c r="K918" s="9">
        <v>45314</v>
      </c>
      <c r="L918">
        <f xml:space="preserve"> (交易處理資料__3[[#This Row],[售出工時]] * 60) / 5</f>
        <v>43.08</v>
      </c>
      <c r="M918" t="str">
        <f>VLOOKUP(交易處理資料__3[[#This Row],[人員代號]],團隊分組!$B$1:$C$52,2,FALSE)</f>
        <v>查修團隊A</v>
      </c>
      <c r="N918">
        <f>IF(交易處理資料__3[[#This Row],[上班時間]]=0,0,交易處理資料__3[[#This Row],[售出工時]]/交易處理資料__3[[#This Row],[上班時間]])</f>
        <v>0.32666060054595086</v>
      </c>
      <c r="O918" s="31" t="str">
        <f>IF(交易處理資料__3[[#This Row],[上班時間]]=0,"否","是")</f>
        <v>是</v>
      </c>
    </row>
    <row r="919" spans="1:15" hidden="1">
      <c r="A919" t="s">
        <v>75</v>
      </c>
      <c r="B919" t="s">
        <v>39</v>
      </c>
      <c r="C919">
        <v>4.25</v>
      </c>
      <c r="D919">
        <v>6.97</v>
      </c>
      <c r="E919" s="27">
        <v>60.97</v>
      </c>
      <c r="F919">
        <v>6.74</v>
      </c>
      <c r="G919">
        <v>2.75</v>
      </c>
      <c r="H919">
        <v>9.49</v>
      </c>
      <c r="I919">
        <v>71.02</v>
      </c>
      <c r="J919">
        <v>44.78</v>
      </c>
      <c r="K919" s="9">
        <v>45314</v>
      </c>
      <c r="L919">
        <f xml:space="preserve"> (交易處理資料__3[[#This Row],[售出工時]] * 60) / 5</f>
        <v>51</v>
      </c>
      <c r="M919" t="str">
        <f>VLOOKUP(交易處理資料__3[[#This Row],[人員代號]],團隊分組!$B$1:$C$52,2,FALSE)</f>
        <v>查修團隊A</v>
      </c>
      <c r="N919">
        <f>IF(交易處理資料__3[[#This Row],[上班時間]]=0,0,交易處理資料__3[[#This Row],[售出工時]]/交易處理資料__3[[#This Row],[上班時間]])</f>
        <v>0.44783983140147521</v>
      </c>
      <c r="O919" s="31" t="str">
        <f>IF(交易處理資料__3[[#This Row],[上班時間]]=0,"否","是")</f>
        <v>是</v>
      </c>
    </row>
    <row r="920" spans="1:15" hidden="1">
      <c r="A920" t="s">
        <v>75</v>
      </c>
      <c r="B920" t="s">
        <v>40</v>
      </c>
      <c r="C920">
        <v>0</v>
      </c>
      <c r="D920">
        <v>0</v>
      </c>
      <c r="E920" s="27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 s="9">
        <v>45314</v>
      </c>
      <c r="L920">
        <f xml:space="preserve"> (交易處理資料__3[[#This Row],[售出工時]] * 60) / 5</f>
        <v>0</v>
      </c>
      <c r="M920" t="str">
        <f>VLOOKUP(交易處理資料__3[[#This Row],[人員代號]],團隊分組!$B$1:$C$52,2,FALSE)</f>
        <v>查修團隊A</v>
      </c>
      <c r="N920">
        <f>IF(交易處理資料__3[[#This Row],[上班時間]]=0,0,交易處理資料__3[[#This Row],[售出工時]]/交易處理資料__3[[#This Row],[上班時間]])</f>
        <v>0</v>
      </c>
      <c r="O920" s="31" t="str">
        <f>IF(交易處理資料__3[[#This Row],[上班時間]]=0,"否","是")</f>
        <v>否</v>
      </c>
    </row>
    <row r="921" spans="1:15" hidden="1">
      <c r="A921" t="s">
        <v>75</v>
      </c>
      <c r="B921" t="s">
        <v>42</v>
      </c>
      <c r="C921">
        <v>9.82</v>
      </c>
      <c r="D921">
        <v>5.82</v>
      </c>
      <c r="E921" s="27">
        <v>168.78</v>
      </c>
      <c r="F921">
        <v>5.97</v>
      </c>
      <c r="G921">
        <v>1.57</v>
      </c>
      <c r="H921">
        <v>7.54</v>
      </c>
      <c r="I921">
        <v>79.180000000000007</v>
      </c>
      <c r="J921">
        <v>130.28</v>
      </c>
      <c r="K921" s="9">
        <v>45314</v>
      </c>
      <c r="L921">
        <f xml:space="preserve"> (交易處理資料__3[[#This Row],[售出工時]] * 60) / 5</f>
        <v>117.84</v>
      </c>
      <c r="M921" t="str">
        <f>VLOOKUP(交易處理資料__3[[#This Row],[人員代號]],團隊分組!$B$1:$C$52,2,FALSE)</f>
        <v>快速保養團隊A</v>
      </c>
      <c r="N921">
        <f>IF(交易處理資料__3[[#This Row],[上班時間]]=0,0,交易處理資料__3[[#This Row],[售出工時]]/交易處理資料__3[[#This Row],[上班時間]])</f>
        <v>1.3023872679045092</v>
      </c>
      <c r="O921" s="31" t="str">
        <f>IF(交易處理資料__3[[#This Row],[上班時間]]=0,"否","是")</f>
        <v>是</v>
      </c>
    </row>
    <row r="922" spans="1:15" hidden="1">
      <c r="A922" t="s">
        <v>75</v>
      </c>
      <c r="B922" t="s">
        <v>43</v>
      </c>
      <c r="C922">
        <v>6.77</v>
      </c>
      <c r="D922">
        <v>7.99</v>
      </c>
      <c r="E922" s="27">
        <v>84.77</v>
      </c>
      <c r="F922">
        <v>4.37</v>
      </c>
      <c r="G922">
        <v>4.1399999999999997</v>
      </c>
      <c r="H922">
        <v>8.51</v>
      </c>
      <c r="I922">
        <v>51.35</v>
      </c>
      <c r="J922">
        <v>79.59</v>
      </c>
      <c r="K922" s="9">
        <v>45314</v>
      </c>
      <c r="L922">
        <f xml:space="preserve"> (交易處理資料__3[[#This Row],[售出工時]] * 60) / 5</f>
        <v>81.239999999999995</v>
      </c>
      <c r="M922" t="str">
        <f>VLOOKUP(交易處理資料__3[[#This Row],[人員代號]],團隊分組!$B$1:$C$52,2,FALSE)</f>
        <v>查修團隊B</v>
      </c>
      <c r="N922">
        <f>IF(交易處理資料__3[[#This Row],[上班時間]]=0,0,交易處理資料__3[[#This Row],[售出工時]]/交易處理資料__3[[#This Row],[上班時間]])</f>
        <v>0.79553466509988247</v>
      </c>
      <c r="O922" s="31" t="str">
        <f>IF(交易處理資料__3[[#This Row],[上班時間]]=0,"否","是")</f>
        <v>是</v>
      </c>
    </row>
    <row r="923" spans="1:15" hidden="1">
      <c r="A923" t="s">
        <v>75</v>
      </c>
      <c r="B923" t="s">
        <v>46</v>
      </c>
      <c r="C923">
        <v>8.16</v>
      </c>
      <c r="D923">
        <v>7.6</v>
      </c>
      <c r="E923" s="27">
        <v>107.45</v>
      </c>
      <c r="F923">
        <v>6.47</v>
      </c>
      <c r="G923">
        <v>1.85</v>
      </c>
      <c r="H923">
        <v>8.32</v>
      </c>
      <c r="I923">
        <v>77.760000000000005</v>
      </c>
      <c r="J923">
        <v>98.16</v>
      </c>
      <c r="K923" s="9">
        <v>45314</v>
      </c>
      <c r="L923">
        <f xml:space="preserve"> (交易處理資料__3[[#This Row],[售出工時]] * 60) / 5</f>
        <v>97.92</v>
      </c>
      <c r="M923" t="str">
        <f>VLOOKUP(交易處理資料__3[[#This Row],[人員代號]],團隊分組!$B$1:$C$52,2,FALSE)</f>
        <v>查修團隊B</v>
      </c>
      <c r="N923">
        <f>IF(交易處理資料__3[[#This Row],[上班時間]]=0,0,交易處理資料__3[[#This Row],[售出工時]]/交易處理資料__3[[#This Row],[上班時間]])</f>
        <v>0.98076923076923073</v>
      </c>
      <c r="O923" s="31" t="str">
        <f>IF(交易處理資料__3[[#This Row],[上班時間]]=0,"否","是")</f>
        <v>是</v>
      </c>
    </row>
    <row r="924" spans="1:15" hidden="1">
      <c r="A924" t="s">
        <v>75</v>
      </c>
      <c r="B924" t="s">
        <v>47</v>
      </c>
      <c r="C924">
        <v>3.25</v>
      </c>
      <c r="D924">
        <v>3</v>
      </c>
      <c r="E924" s="27">
        <v>108.33</v>
      </c>
      <c r="F924">
        <v>6.43</v>
      </c>
      <c r="G924">
        <v>1.73</v>
      </c>
      <c r="H924">
        <v>8.16</v>
      </c>
      <c r="I924">
        <v>78.8</v>
      </c>
      <c r="J924">
        <v>39.83</v>
      </c>
      <c r="K924" s="9">
        <v>45314</v>
      </c>
      <c r="L924">
        <f xml:space="preserve"> (交易處理資料__3[[#This Row],[售出工時]] * 60) / 5</f>
        <v>39</v>
      </c>
      <c r="M924" t="str">
        <f>VLOOKUP(交易處理資料__3[[#This Row],[人員代號]],團隊分組!$B$1:$C$52,2,FALSE)</f>
        <v>查修團隊B</v>
      </c>
      <c r="N924">
        <f>IF(交易處理資料__3[[#This Row],[上班時間]]=0,0,交易處理資料__3[[#This Row],[售出工時]]/交易處理資料__3[[#This Row],[上班時間]])</f>
        <v>0.39828431372549017</v>
      </c>
      <c r="O924" s="31" t="str">
        <f>IF(交易處理資料__3[[#This Row],[上班時間]]=0,"否","是")</f>
        <v>是</v>
      </c>
    </row>
    <row r="925" spans="1:15" hidden="1">
      <c r="A925" t="s">
        <v>75</v>
      </c>
      <c r="B925" t="s">
        <v>48</v>
      </c>
      <c r="C925">
        <v>2.83</v>
      </c>
      <c r="D925">
        <v>4.63</v>
      </c>
      <c r="E925" s="27">
        <v>61.19</v>
      </c>
      <c r="F925">
        <v>5.51</v>
      </c>
      <c r="G925">
        <v>2.81</v>
      </c>
      <c r="H925">
        <v>8.32</v>
      </c>
      <c r="I925">
        <v>66.23</v>
      </c>
      <c r="J925">
        <v>34.049999999999997</v>
      </c>
      <c r="K925" s="9">
        <v>45314</v>
      </c>
      <c r="L925">
        <f xml:space="preserve"> (交易處理資料__3[[#This Row],[售出工時]] * 60) / 5</f>
        <v>33.96</v>
      </c>
      <c r="M925" t="str">
        <f>VLOOKUP(交易處理資料__3[[#This Row],[人員代號]],團隊分組!$B$1:$C$52,2,FALSE)</f>
        <v>查修團隊A</v>
      </c>
      <c r="N925">
        <f>IF(交易處理資料__3[[#This Row],[上班時間]]=0,0,交易處理資料__3[[#This Row],[售出工時]]/交易處理資料__3[[#This Row],[上班時間]])</f>
        <v>0.34014423076923078</v>
      </c>
      <c r="O925" s="31" t="str">
        <f>IF(交易處理資料__3[[#This Row],[上班時間]]=0,"否","是")</f>
        <v>是</v>
      </c>
    </row>
    <row r="926" spans="1:15" hidden="1">
      <c r="A926" t="s">
        <v>75</v>
      </c>
      <c r="B926" t="s">
        <v>49</v>
      </c>
      <c r="C926">
        <v>3.25</v>
      </c>
      <c r="D926">
        <v>2.36</v>
      </c>
      <c r="E926" s="27">
        <v>137.71</v>
      </c>
      <c r="F926">
        <v>7.06</v>
      </c>
      <c r="G926">
        <v>1.02</v>
      </c>
      <c r="H926">
        <v>8.08</v>
      </c>
      <c r="I926">
        <v>87.38</v>
      </c>
      <c r="J926">
        <v>40.22</v>
      </c>
      <c r="K926" s="9">
        <v>45314</v>
      </c>
      <c r="L926">
        <f xml:space="preserve"> (交易處理資料__3[[#This Row],[售出工時]] * 60) / 5</f>
        <v>39</v>
      </c>
      <c r="M926" t="str">
        <f>VLOOKUP(交易處理資料__3[[#This Row],[人員代號]],團隊分組!$B$1:$C$52,2,FALSE)</f>
        <v>查修團隊A</v>
      </c>
      <c r="N926">
        <f>IF(交易處理資料__3[[#This Row],[上班時間]]=0,0,交易處理資料__3[[#This Row],[售出工時]]/交易處理資料__3[[#This Row],[上班時間]])</f>
        <v>0.40222772277227725</v>
      </c>
      <c r="O926" s="31" t="str">
        <f>IF(交易處理資料__3[[#This Row],[上班時間]]=0,"否","是")</f>
        <v>是</v>
      </c>
    </row>
    <row r="927" spans="1:15" hidden="1">
      <c r="A927" t="s">
        <v>75</v>
      </c>
      <c r="B927" t="s">
        <v>51</v>
      </c>
      <c r="C927">
        <v>0</v>
      </c>
      <c r="D927">
        <v>0</v>
      </c>
      <c r="E927" s="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 s="9">
        <v>45314</v>
      </c>
      <c r="L927">
        <f xml:space="preserve"> (交易處理資料__3[[#This Row],[售出工時]] * 60) / 5</f>
        <v>0</v>
      </c>
      <c r="M927" t="str">
        <f>VLOOKUP(交易處理資料__3[[#This Row],[人員代號]],團隊分組!$B$1:$C$52,2,FALSE)</f>
        <v>無效數據</v>
      </c>
      <c r="N927">
        <f>IF(交易處理資料__3[[#This Row],[上班時間]]=0,0,交易處理資料__3[[#This Row],[售出工時]]/交易處理資料__3[[#This Row],[上班時間]])</f>
        <v>0</v>
      </c>
      <c r="O927" s="31" t="str">
        <f>IF(交易處理資料__3[[#This Row],[上班時間]]=0,"否","是")</f>
        <v>否</v>
      </c>
    </row>
    <row r="928" spans="1:15" hidden="1">
      <c r="A928" t="s">
        <v>75</v>
      </c>
      <c r="B928" t="s">
        <v>52</v>
      </c>
      <c r="C928">
        <v>3.16</v>
      </c>
      <c r="D928">
        <v>2.2400000000000002</v>
      </c>
      <c r="E928" s="27">
        <v>141.36000000000001</v>
      </c>
      <c r="F928">
        <v>7.75</v>
      </c>
      <c r="G928">
        <v>0.38</v>
      </c>
      <c r="H928">
        <v>8.1300000000000008</v>
      </c>
      <c r="I928">
        <v>95.33</v>
      </c>
      <c r="J928">
        <v>38.950000000000003</v>
      </c>
      <c r="K928" s="9">
        <v>45314</v>
      </c>
      <c r="L928">
        <f xml:space="preserve"> (交易處理資料__3[[#This Row],[售出工時]] * 60) / 5</f>
        <v>37.92</v>
      </c>
      <c r="M928" t="str">
        <f>VLOOKUP(交易處理資料__3[[#This Row],[人員代號]],團隊分組!$B$1:$C$52,2,FALSE)</f>
        <v>查修團隊B</v>
      </c>
      <c r="N928">
        <f>IF(交易處理資料__3[[#This Row],[上班時間]]=0,0,交易處理資料__3[[#This Row],[售出工時]]/交易處理資料__3[[#This Row],[上班時間]])</f>
        <v>0.38868388683886834</v>
      </c>
      <c r="O928" s="31" t="str">
        <f>IF(交易處理資料__3[[#This Row],[上班時間]]=0,"否","是")</f>
        <v>是</v>
      </c>
    </row>
    <row r="929" spans="1:15" hidden="1">
      <c r="A929" s="10" t="s">
        <v>73</v>
      </c>
      <c r="B929" t="s">
        <v>5</v>
      </c>
      <c r="C929">
        <v>0</v>
      </c>
      <c r="D929">
        <v>0</v>
      </c>
      <c r="E929" s="27">
        <v>0</v>
      </c>
      <c r="F929">
        <v>3.93</v>
      </c>
      <c r="G929">
        <v>4.01</v>
      </c>
      <c r="H929">
        <v>7.94</v>
      </c>
      <c r="I929">
        <v>49.5</v>
      </c>
      <c r="J929">
        <v>0</v>
      </c>
      <c r="K929" s="9">
        <v>45315</v>
      </c>
      <c r="L929">
        <f xml:space="preserve"> (交易處理資料__3[[#This Row],[售出工時]] * 60) / 5</f>
        <v>0</v>
      </c>
      <c r="M929" t="str">
        <f>VLOOKUP(交易處理資料__3[[#This Row],[人員代號]],團隊分組!$B$1:$C$52,2,FALSE)</f>
        <v>噴漆維修組</v>
      </c>
      <c r="N929">
        <f>IF(交易處理資料__3[[#This Row],[上班時間]]=0,0,交易處理資料__3[[#This Row],[售出工時]]/交易處理資料__3[[#This Row],[上班時間]])</f>
        <v>0</v>
      </c>
      <c r="O929" s="31" t="str">
        <f>IF(交易處理資料__3[[#This Row],[上班時間]]=0,"否","是")</f>
        <v>是</v>
      </c>
    </row>
    <row r="930" spans="1:15" hidden="1">
      <c r="A930" s="10" t="s">
        <v>73</v>
      </c>
      <c r="B930" t="s">
        <v>9</v>
      </c>
      <c r="C930">
        <v>0.73</v>
      </c>
      <c r="D930">
        <v>3.38</v>
      </c>
      <c r="E930" s="27">
        <v>21.597633139999999</v>
      </c>
      <c r="F930">
        <v>6.88</v>
      </c>
      <c r="G930">
        <v>1.18</v>
      </c>
      <c r="H930">
        <v>8.06</v>
      </c>
      <c r="I930">
        <v>85.36</v>
      </c>
      <c r="J930">
        <v>9.06</v>
      </c>
      <c r="K930" s="9">
        <v>45315</v>
      </c>
      <c r="L930">
        <f xml:space="preserve"> (交易處理資料__3[[#This Row],[售出工時]] * 60) / 5</f>
        <v>8.76</v>
      </c>
      <c r="M930" t="str">
        <f>VLOOKUP(交易處理資料__3[[#This Row],[人員代號]],團隊分組!$B$1:$C$52,2,FALSE)</f>
        <v>噴漆維修組</v>
      </c>
      <c r="N930">
        <f>IF(交易處理資料__3[[#This Row],[上班時間]]=0,0,交易處理資料__3[[#This Row],[售出工時]]/交易處理資料__3[[#This Row],[上班時間]])</f>
        <v>9.0570719602977662E-2</v>
      </c>
      <c r="O930" s="31" t="str">
        <f>IF(交易處理資料__3[[#This Row],[上班時間]]=0,"否","是")</f>
        <v>是</v>
      </c>
    </row>
    <row r="931" spans="1:15" hidden="1">
      <c r="A931" t="s">
        <v>74</v>
      </c>
      <c r="B931" t="s">
        <v>11</v>
      </c>
      <c r="C931">
        <v>8.1666666669999994</v>
      </c>
      <c r="D931">
        <v>1.83</v>
      </c>
      <c r="E931" s="27">
        <v>446.26593810000003</v>
      </c>
      <c r="F931">
        <v>4.22</v>
      </c>
      <c r="G931">
        <v>3.86</v>
      </c>
      <c r="H931">
        <v>8.08</v>
      </c>
      <c r="I931">
        <v>52.23</v>
      </c>
      <c r="J931">
        <v>101.07</v>
      </c>
      <c r="K931" s="9">
        <v>45315</v>
      </c>
      <c r="L931">
        <f xml:space="preserve"> (交易處理資料__3[[#This Row],[售出工時]] * 60) / 5</f>
        <v>98.000000003999986</v>
      </c>
      <c r="M931" t="str">
        <f>VLOOKUP(交易處理資料__3[[#This Row],[人員代號]],團隊分組!$B$1:$C$52,2,FALSE)</f>
        <v>鈑金維修組</v>
      </c>
      <c r="N931">
        <f>IF(交易處理資料__3[[#This Row],[上班時間]]=0,0,交易處理資料__3[[#This Row],[售出工時]]/交易處理資料__3[[#This Row],[上班時間]])</f>
        <v>1.0107260726485148</v>
      </c>
      <c r="O931" s="31" t="str">
        <f>IF(交易處理資料__3[[#This Row],[上班時間]]=0,"否","是")</f>
        <v>是</v>
      </c>
    </row>
    <row r="932" spans="1:15" hidden="1">
      <c r="A932" t="s">
        <v>74</v>
      </c>
      <c r="B932" t="s">
        <v>13</v>
      </c>
      <c r="C932">
        <v>0.9</v>
      </c>
      <c r="D932">
        <v>2.1</v>
      </c>
      <c r="E932" s="27">
        <v>42.857142860000003</v>
      </c>
      <c r="F932">
        <v>4</v>
      </c>
      <c r="G932">
        <v>4.07</v>
      </c>
      <c r="H932">
        <v>8.07</v>
      </c>
      <c r="I932">
        <v>49.57</v>
      </c>
      <c r="J932">
        <v>11.15</v>
      </c>
      <c r="K932" s="9">
        <v>45315</v>
      </c>
      <c r="L932">
        <f xml:space="preserve"> (交易處理資料__3[[#This Row],[售出工時]] * 60) / 5</f>
        <v>10.8</v>
      </c>
      <c r="M932" t="str">
        <f>VLOOKUP(交易處理資料__3[[#This Row],[人員代號]],團隊分組!$B$1:$C$52,2,FALSE)</f>
        <v>鈑金維修組</v>
      </c>
      <c r="N932">
        <f>IF(交易處理資料__3[[#This Row],[上班時間]]=0,0,交易處理資料__3[[#This Row],[售出工時]]/交易處理資料__3[[#This Row],[上班時間]])</f>
        <v>0.11152416356877323</v>
      </c>
      <c r="O932" s="31" t="str">
        <f>IF(交易處理資料__3[[#This Row],[上班時間]]=0,"否","是")</f>
        <v>是</v>
      </c>
    </row>
    <row r="933" spans="1:15" hidden="1">
      <c r="A933" t="s">
        <v>74</v>
      </c>
      <c r="B933" t="s">
        <v>14</v>
      </c>
      <c r="C933">
        <v>2.67</v>
      </c>
      <c r="D933">
        <v>6.95</v>
      </c>
      <c r="E933" s="27">
        <v>38.417266189999999</v>
      </c>
      <c r="F933">
        <v>1.68</v>
      </c>
      <c r="G933">
        <v>6.4</v>
      </c>
      <c r="H933">
        <v>8.08</v>
      </c>
      <c r="I933">
        <v>20.79</v>
      </c>
      <c r="J933">
        <v>33.04</v>
      </c>
      <c r="K933" s="9">
        <v>45315</v>
      </c>
      <c r="L933">
        <f xml:space="preserve"> (交易處理資料__3[[#This Row],[售出工時]] * 60) / 5</f>
        <v>32.04</v>
      </c>
      <c r="M933" t="str">
        <f>VLOOKUP(交易處理資料__3[[#This Row],[人員代號]],團隊分組!$B$1:$C$52,2,FALSE)</f>
        <v>鈑金維修組</v>
      </c>
      <c r="N933">
        <f>IF(交易處理資料__3[[#This Row],[上班時間]]=0,0,交易處理資料__3[[#This Row],[售出工時]]/交易處理資料__3[[#This Row],[上班時間]])</f>
        <v>0.33044554455445546</v>
      </c>
      <c r="O933" s="31" t="str">
        <f>IF(交易處理資料__3[[#This Row],[上班時間]]=0,"否","是")</f>
        <v>是</v>
      </c>
    </row>
    <row r="934" spans="1:15" hidden="1">
      <c r="A934" t="s">
        <v>75</v>
      </c>
      <c r="B934" t="s">
        <v>17</v>
      </c>
      <c r="C934">
        <v>17.86</v>
      </c>
      <c r="D934">
        <v>10.82</v>
      </c>
      <c r="E934" s="27">
        <v>165.064695</v>
      </c>
      <c r="F934">
        <v>11.17</v>
      </c>
      <c r="G934">
        <v>0.2</v>
      </c>
      <c r="H934">
        <v>11.37</v>
      </c>
      <c r="I934">
        <v>98.24</v>
      </c>
      <c r="J934">
        <v>157.08000000000001</v>
      </c>
      <c r="K934" s="9">
        <v>45315</v>
      </c>
      <c r="L934">
        <f xml:space="preserve"> (交易處理資料__3[[#This Row],[售出工時]] * 60) / 5</f>
        <v>214.32</v>
      </c>
      <c r="M934" t="str">
        <f>VLOOKUP(交易處理資料__3[[#This Row],[人員代號]],團隊分組!$B$1:$C$52,2,FALSE)</f>
        <v>快速保養團隊A</v>
      </c>
      <c r="N934">
        <f>IF(交易處理資料__3[[#This Row],[上班時間]]=0,0,交易處理資料__3[[#This Row],[售出工時]]/交易處理資料__3[[#This Row],[上班時間]])</f>
        <v>1.5708003518029905</v>
      </c>
      <c r="O934" s="31" t="str">
        <f>IF(交易處理資料__3[[#This Row],[上班時間]]=0,"否","是")</f>
        <v>是</v>
      </c>
    </row>
    <row r="935" spans="1:15" hidden="1">
      <c r="A935" t="s">
        <v>75</v>
      </c>
      <c r="B935" t="s">
        <v>18</v>
      </c>
      <c r="C935">
        <v>1.933333333</v>
      </c>
      <c r="D935">
        <v>6.13</v>
      </c>
      <c r="E935" s="27">
        <v>31.538879829999999</v>
      </c>
      <c r="F935">
        <v>7.87</v>
      </c>
      <c r="G935">
        <v>0.36</v>
      </c>
      <c r="H935">
        <v>8.23</v>
      </c>
      <c r="I935">
        <v>95.63</v>
      </c>
      <c r="J935">
        <v>23.49</v>
      </c>
      <c r="K935" s="9">
        <v>45315</v>
      </c>
      <c r="L935">
        <f xml:space="preserve"> (交易處理資料__3[[#This Row],[售出工時]] * 60) / 5</f>
        <v>23.199999995999999</v>
      </c>
      <c r="M935" t="str">
        <f>VLOOKUP(交易處理資料__3[[#This Row],[人員代號]],團隊分組!$B$1:$C$52,2,FALSE)</f>
        <v>查修團隊B</v>
      </c>
      <c r="N935">
        <f>IF(交易處理資料__3[[#This Row],[上班時間]]=0,0,交易處理資料__3[[#This Row],[售出工時]]/交易處理資料__3[[#This Row],[上班時間]])</f>
        <v>0.23491292017010934</v>
      </c>
      <c r="O935" s="31" t="str">
        <f>IF(交易處理資料__3[[#This Row],[上班時間]]=0,"否","是")</f>
        <v>是</v>
      </c>
    </row>
    <row r="936" spans="1:15" hidden="1">
      <c r="A936" t="s">
        <v>75</v>
      </c>
      <c r="B936" t="s">
        <v>19</v>
      </c>
      <c r="C936">
        <v>0</v>
      </c>
      <c r="D936">
        <v>0</v>
      </c>
      <c r="E936" s="27">
        <v>0</v>
      </c>
      <c r="F936">
        <v>7.69</v>
      </c>
      <c r="G936">
        <v>0.26</v>
      </c>
      <c r="H936">
        <v>7.95</v>
      </c>
      <c r="I936">
        <v>96.73</v>
      </c>
      <c r="J936">
        <v>0</v>
      </c>
      <c r="K936" s="9">
        <v>45315</v>
      </c>
      <c r="L936">
        <f xml:space="preserve"> (交易處理資料__3[[#This Row],[售出工時]] * 60) / 5</f>
        <v>0</v>
      </c>
      <c r="M936" t="str">
        <f>VLOOKUP(交易處理資料__3[[#This Row],[人員代號]],團隊分組!$B$1:$C$52,2,FALSE)</f>
        <v>查修團隊A</v>
      </c>
      <c r="N936">
        <f>IF(交易處理資料__3[[#This Row],[上班時間]]=0,0,交易處理資料__3[[#This Row],[售出工時]]/交易處理資料__3[[#This Row],[上班時間]])</f>
        <v>0</v>
      </c>
      <c r="O936" s="31" t="str">
        <f>IF(交易處理資料__3[[#This Row],[上班時間]]=0,"否","是")</f>
        <v>是</v>
      </c>
    </row>
    <row r="937" spans="1:15" hidden="1">
      <c r="A937" t="s">
        <v>75</v>
      </c>
      <c r="B937" t="s">
        <v>20</v>
      </c>
      <c r="C937">
        <v>0</v>
      </c>
      <c r="D937">
        <v>0</v>
      </c>
      <c r="E937" s="27">
        <v>0</v>
      </c>
      <c r="F937">
        <v>0.62</v>
      </c>
      <c r="G937">
        <v>7.77</v>
      </c>
      <c r="H937">
        <v>8.39</v>
      </c>
      <c r="I937">
        <v>7.39</v>
      </c>
      <c r="J937">
        <v>0</v>
      </c>
      <c r="K937" s="9">
        <v>45315</v>
      </c>
      <c r="L937">
        <f xml:space="preserve"> (交易處理資料__3[[#This Row],[售出工時]] * 60) / 5</f>
        <v>0</v>
      </c>
      <c r="M937" t="str">
        <f>VLOOKUP(交易處理資料__3[[#This Row],[人員代號]],團隊分組!$B$1:$C$52,2,FALSE)</f>
        <v>查修團隊B</v>
      </c>
      <c r="N937">
        <f>IF(交易處理資料__3[[#This Row],[上班時間]]=0,0,交易處理資料__3[[#This Row],[售出工時]]/交易處理資料__3[[#This Row],[上班時間]])</f>
        <v>0</v>
      </c>
      <c r="O937" s="31" t="str">
        <f>IF(交易處理資料__3[[#This Row],[上班時間]]=0,"否","是")</f>
        <v>是</v>
      </c>
    </row>
    <row r="938" spans="1:15" hidden="1">
      <c r="A938" t="s">
        <v>75</v>
      </c>
      <c r="B938" t="s">
        <v>21</v>
      </c>
      <c r="C938">
        <v>5.4166666670000003</v>
      </c>
      <c r="D938">
        <v>4.72</v>
      </c>
      <c r="E938" s="27">
        <v>114.75988700000001</v>
      </c>
      <c r="F938">
        <v>6.57</v>
      </c>
      <c r="G938">
        <v>1.58</v>
      </c>
      <c r="H938">
        <v>8.15</v>
      </c>
      <c r="I938">
        <v>80.61</v>
      </c>
      <c r="J938">
        <v>66.459999999999994</v>
      </c>
      <c r="K938" s="9">
        <v>45315</v>
      </c>
      <c r="L938">
        <f xml:space="preserve"> (交易處理資料__3[[#This Row],[售出工時]] * 60) / 5</f>
        <v>65.000000004</v>
      </c>
      <c r="M938" t="str">
        <f>VLOOKUP(交易處理資料__3[[#This Row],[人員代號]],團隊分組!$B$1:$C$52,2,FALSE)</f>
        <v>查修團隊B</v>
      </c>
      <c r="N938">
        <f>IF(交易處理資料__3[[#This Row],[上班時間]]=0,0,交易處理資料__3[[#This Row],[售出工時]]/交易處理資料__3[[#This Row],[上班時間]])</f>
        <v>0.66462167693251539</v>
      </c>
      <c r="O938" s="31" t="str">
        <f>IF(交易處理資料__3[[#This Row],[上班時間]]=0,"否","是")</f>
        <v>是</v>
      </c>
    </row>
    <row r="939" spans="1:15" hidden="1">
      <c r="A939" t="s">
        <v>75</v>
      </c>
      <c r="B939" t="s">
        <v>22</v>
      </c>
      <c r="C939">
        <v>0</v>
      </c>
      <c r="D939">
        <v>0</v>
      </c>
      <c r="E939" s="27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 s="9">
        <v>45315</v>
      </c>
      <c r="L939">
        <f xml:space="preserve"> (交易處理資料__3[[#This Row],[售出工時]] * 60) / 5</f>
        <v>0</v>
      </c>
      <c r="M939" t="str">
        <f>VLOOKUP(交易處理資料__3[[#This Row],[人員代號]],團隊分組!$B$1:$C$52,2,FALSE)</f>
        <v>快速保養團隊A</v>
      </c>
      <c r="N939">
        <f>IF(交易處理資料__3[[#This Row],[上班時間]]=0,0,交易處理資料__3[[#This Row],[售出工時]]/交易處理資料__3[[#This Row],[上班時間]])</f>
        <v>0</v>
      </c>
      <c r="O939" s="31" t="str">
        <f>IF(交易處理資料__3[[#This Row],[上班時間]]=0,"否","是")</f>
        <v>否</v>
      </c>
    </row>
    <row r="940" spans="1:15" hidden="1">
      <c r="A940" t="s">
        <v>75</v>
      </c>
      <c r="B940" t="s">
        <v>23</v>
      </c>
      <c r="C940">
        <v>7.07</v>
      </c>
      <c r="D940">
        <v>5.82</v>
      </c>
      <c r="E940" s="27">
        <v>121.47766319999999</v>
      </c>
      <c r="F940">
        <v>10.46</v>
      </c>
      <c r="G940">
        <v>0.96</v>
      </c>
      <c r="H940">
        <v>11.42</v>
      </c>
      <c r="I940">
        <v>91.59</v>
      </c>
      <c r="J940">
        <v>61.91</v>
      </c>
      <c r="K940" s="9">
        <v>45315</v>
      </c>
      <c r="L940">
        <f xml:space="preserve"> (交易處理資料__3[[#This Row],[售出工時]] * 60) / 5</f>
        <v>84.84</v>
      </c>
      <c r="M940" t="str">
        <f>VLOOKUP(交易處理資料__3[[#This Row],[人員代號]],團隊分組!$B$1:$C$52,2,FALSE)</f>
        <v>快速保養團隊B</v>
      </c>
      <c r="N940">
        <f>IF(交易處理資料__3[[#This Row],[上班時間]]=0,0,交易處理資料__3[[#This Row],[售出工時]]/交易處理資料__3[[#This Row],[上班時間]])</f>
        <v>0.61908931698774083</v>
      </c>
      <c r="O940" s="31" t="str">
        <f>IF(交易處理資料__3[[#This Row],[上班時間]]=0,"否","是")</f>
        <v>是</v>
      </c>
    </row>
    <row r="941" spans="1:15" hidden="1">
      <c r="A941" t="s">
        <v>75</v>
      </c>
      <c r="B941" t="s">
        <v>24</v>
      </c>
      <c r="C941">
        <v>12</v>
      </c>
      <c r="D941">
        <v>4.45</v>
      </c>
      <c r="E941" s="27">
        <v>269.66292129999999</v>
      </c>
      <c r="F941">
        <v>9.6300000000000008</v>
      </c>
      <c r="G941">
        <v>0.57999999999999996</v>
      </c>
      <c r="H941">
        <v>10.210000000000001</v>
      </c>
      <c r="I941">
        <v>94.32</v>
      </c>
      <c r="J941">
        <v>117.53</v>
      </c>
      <c r="K941" s="9">
        <v>45315</v>
      </c>
      <c r="L941">
        <f xml:space="preserve"> (交易處理資料__3[[#This Row],[售出工時]] * 60) / 5</f>
        <v>144</v>
      </c>
      <c r="M941" t="str">
        <f>VLOOKUP(交易處理資料__3[[#This Row],[人員代號]],團隊分組!$B$1:$C$52,2,FALSE)</f>
        <v>快速保養團隊A</v>
      </c>
      <c r="N941">
        <f>IF(交易處理資料__3[[#This Row],[上班時間]]=0,0,交易處理資料__3[[#This Row],[售出工時]]/交易處理資料__3[[#This Row],[上班時間]])</f>
        <v>1.1753183153770812</v>
      </c>
      <c r="O941" s="31" t="str">
        <f>IF(交易處理資料__3[[#This Row],[上班時間]]=0,"否","是")</f>
        <v>是</v>
      </c>
    </row>
    <row r="942" spans="1:15" hidden="1">
      <c r="A942" t="s">
        <v>75</v>
      </c>
      <c r="B942" t="s">
        <v>26</v>
      </c>
      <c r="C942">
        <v>1.3</v>
      </c>
      <c r="D942">
        <v>7.21</v>
      </c>
      <c r="E942" s="27">
        <v>18.03051318</v>
      </c>
      <c r="F942">
        <v>1.47</v>
      </c>
      <c r="G942">
        <v>6.91</v>
      </c>
      <c r="H942">
        <v>8.3800000000000008</v>
      </c>
      <c r="I942">
        <v>17.54</v>
      </c>
      <c r="J942">
        <v>15.51</v>
      </c>
      <c r="K942" s="9">
        <v>45315</v>
      </c>
      <c r="L942">
        <f xml:space="preserve"> (交易處理資料__3[[#This Row],[售出工時]] * 60) / 5</f>
        <v>15.6</v>
      </c>
      <c r="M942" t="str">
        <f>VLOOKUP(交易處理資料__3[[#This Row],[人員代號]],團隊分組!$B$1:$C$52,2,FALSE)</f>
        <v>查修團隊B</v>
      </c>
      <c r="N942">
        <f>IF(交易處理資料__3[[#This Row],[上班時間]]=0,0,交易處理資料__3[[#This Row],[售出工時]]/交易處理資料__3[[#This Row],[上班時間]])</f>
        <v>0.15513126491646778</v>
      </c>
      <c r="O942" s="31" t="str">
        <f>IF(交易處理資料__3[[#This Row],[上班時間]]=0,"否","是")</f>
        <v>是</v>
      </c>
    </row>
    <row r="943" spans="1:15" hidden="1">
      <c r="A943" t="s">
        <v>75</v>
      </c>
      <c r="B943" t="s">
        <v>27</v>
      </c>
      <c r="C943">
        <v>6.67</v>
      </c>
      <c r="D943">
        <v>7.86</v>
      </c>
      <c r="E943" s="27">
        <v>84.860050889999997</v>
      </c>
      <c r="F943">
        <v>9.9700000000000006</v>
      </c>
      <c r="G943">
        <v>0.1</v>
      </c>
      <c r="H943">
        <v>10.07</v>
      </c>
      <c r="I943">
        <v>99.01</v>
      </c>
      <c r="J943">
        <v>66.239999999999995</v>
      </c>
      <c r="K943" s="9">
        <v>45315</v>
      </c>
      <c r="L943">
        <f xml:space="preserve"> (交易處理資料__3[[#This Row],[售出工時]] * 60) / 5</f>
        <v>80.039999999999992</v>
      </c>
      <c r="M943" t="str">
        <f>VLOOKUP(交易處理資料__3[[#This Row],[人員代號]],團隊分組!$B$1:$C$52,2,FALSE)</f>
        <v>快速保養團隊B</v>
      </c>
      <c r="N943">
        <f>IF(交易處理資料__3[[#This Row],[上班時間]]=0,0,交易處理資料__3[[#This Row],[售出工時]]/交易處理資料__3[[#This Row],[上班時間]])</f>
        <v>0.66236345580933464</v>
      </c>
      <c r="O943" s="31" t="str">
        <f>IF(交易處理資料__3[[#This Row],[上班時間]]=0,"否","是")</f>
        <v>是</v>
      </c>
    </row>
    <row r="944" spans="1:15" hidden="1">
      <c r="A944" t="s">
        <v>75</v>
      </c>
      <c r="B944" t="s">
        <v>28</v>
      </c>
      <c r="C944">
        <v>7.75</v>
      </c>
      <c r="D944">
        <v>7.46</v>
      </c>
      <c r="E944" s="27">
        <v>103.8873995</v>
      </c>
      <c r="F944">
        <v>9.4</v>
      </c>
      <c r="G944">
        <v>0.18</v>
      </c>
      <c r="H944">
        <v>9.58</v>
      </c>
      <c r="I944">
        <v>98.12</v>
      </c>
      <c r="J944">
        <v>80.900000000000006</v>
      </c>
      <c r="K944" s="9">
        <v>45315</v>
      </c>
      <c r="L944">
        <f xml:space="preserve"> (交易處理資料__3[[#This Row],[售出工時]] * 60) / 5</f>
        <v>93</v>
      </c>
      <c r="M944" t="str">
        <f>VLOOKUP(交易處理資料__3[[#This Row],[人員代號]],團隊分組!$B$1:$C$52,2,FALSE)</f>
        <v>快速保養團隊A</v>
      </c>
      <c r="N944">
        <f>IF(交易處理資料__3[[#This Row],[上班時間]]=0,0,交易處理資料__3[[#This Row],[售出工時]]/交易處理資料__3[[#This Row],[上班時間]])</f>
        <v>0.8089770354906054</v>
      </c>
      <c r="O944" s="31" t="str">
        <f>IF(交易處理資料__3[[#This Row],[上班時間]]=0,"否","是")</f>
        <v>是</v>
      </c>
    </row>
    <row r="945" spans="1:15" hidden="1">
      <c r="A945" t="s">
        <v>75</v>
      </c>
      <c r="B945" t="s">
        <v>29</v>
      </c>
      <c r="C945">
        <v>3.6666666669999999</v>
      </c>
      <c r="D945">
        <v>4.41</v>
      </c>
      <c r="E945" s="27">
        <v>83.14436886</v>
      </c>
      <c r="F945">
        <v>7.62</v>
      </c>
      <c r="G945">
        <v>0.48</v>
      </c>
      <c r="H945">
        <v>8.1</v>
      </c>
      <c r="I945">
        <v>94.07</v>
      </c>
      <c r="J945">
        <v>45.27</v>
      </c>
      <c r="K945" s="9">
        <v>45315</v>
      </c>
      <c r="L945">
        <f xml:space="preserve"> (交易處理資料__3[[#This Row],[售出工時]] * 60) / 5</f>
        <v>44.000000004</v>
      </c>
      <c r="M945" t="str">
        <f>VLOOKUP(交易處理資料__3[[#This Row],[人員代號]],團隊分組!$B$1:$C$52,2,FALSE)</f>
        <v>查修團隊B</v>
      </c>
      <c r="N945">
        <f>IF(交易處理資料__3[[#This Row],[上班時間]]=0,0,交易處理資料__3[[#This Row],[售出工時]]/交易處理資料__3[[#This Row],[上班時間]])</f>
        <v>0.45267489716049381</v>
      </c>
      <c r="O945" s="31" t="str">
        <f>IF(交易處理資料__3[[#This Row],[上班時間]]=0,"否","是")</f>
        <v>是</v>
      </c>
    </row>
    <row r="946" spans="1:15" hidden="1">
      <c r="A946" t="s">
        <v>75</v>
      </c>
      <c r="B946" t="s">
        <v>32</v>
      </c>
      <c r="C946">
        <v>11.096666669999999</v>
      </c>
      <c r="D946">
        <v>6.26</v>
      </c>
      <c r="E946" s="27">
        <v>177.26304579999999</v>
      </c>
      <c r="F946">
        <v>6.63</v>
      </c>
      <c r="G946">
        <v>1.56</v>
      </c>
      <c r="H946">
        <v>8.19</v>
      </c>
      <c r="I946">
        <v>80.95</v>
      </c>
      <c r="J946">
        <v>135.49</v>
      </c>
      <c r="K946" s="9">
        <v>45315</v>
      </c>
      <c r="L946">
        <f xml:space="preserve"> (交易處理資料__3[[#This Row],[售出工時]] * 60) / 5</f>
        <v>133.16000004</v>
      </c>
      <c r="M946" t="str">
        <f>VLOOKUP(交易處理資料__3[[#This Row],[人員代號]],團隊分組!$B$1:$C$52,2,FALSE)</f>
        <v>快速保養團隊B</v>
      </c>
      <c r="N946">
        <f>IF(交易處理資料__3[[#This Row],[上班時間]]=0,0,交易處理資料__3[[#This Row],[售出工時]]/交易處理資料__3[[#This Row],[上班時間]])</f>
        <v>1.3549043553113553</v>
      </c>
      <c r="O946" s="31" t="str">
        <f>IF(交易處理資料__3[[#This Row],[上班時間]]=0,"否","是")</f>
        <v>是</v>
      </c>
    </row>
    <row r="947" spans="1:15">
      <c r="A947" t="s">
        <v>75</v>
      </c>
      <c r="B947" t="s">
        <v>33</v>
      </c>
      <c r="C947">
        <v>0</v>
      </c>
      <c r="D947">
        <v>0</v>
      </c>
      <c r="E947" s="2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 s="9">
        <v>45315</v>
      </c>
      <c r="L947">
        <f xml:space="preserve"> (交易處理資料__3[[#This Row],[售出工時]] * 60) / 5</f>
        <v>0</v>
      </c>
      <c r="M947" t="str">
        <f>VLOOKUP(交易處理資料__3[[#This Row],[人員代號]],團隊分組!$B$1:$C$52,2,FALSE)</f>
        <v>快速保養團隊B</v>
      </c>
      <c r="N947">
        <f>IF(交易處理資料__3[[#This Row],[上班時間]]=0,0,交易處理資料__3[[#This Row],[售出工時]]/交易處理資料__3[[#This Row],[上班時間]])</f>
        <v>0</v>
      </c>
      <c r="O947" s="31" t="str">
        <f>IF(交易處理資料__3[[#This Row],[上班時間]]=0,"否","是")</f>
        <v>否</v>
      </c>
    </row>
    <row r="948" spans="1:15" hidden="1">
      <c r="A948" t="s">
        <v>75</v>
      </c>
      <c r="B948" t="s">
        <v>35</v>
      </c>
      <c r="C948">
        <v>6.25</v>
      </c>
      <c r="D948">
        <v>8.2899999999999991</v>
      </c>
      <c r="E948" s="27">
        <v>75.392038600000006</v>
      </c>
      <c r="F948">
        <v>6.18</v>
      </c>
      <c r="G948">
        <v>2.15</v>
      </c>
      <c r="H948">
        <v>8.33</v>
      </c>
      <c r="I948">
        <v>74.19</v>
      </c>
      <c r="J948">
        <v>75.03</v>
      </c>
      <c r="K948" s="9">
        <v>45315</v>
      </c>
      <c r="L948">
        <f xml:space="preserve"> (交易處理資料__3[[#This Row],[售出工時]] * 60) / 5</f>
        <v>75</v>
      </c>
      <c r="M948" t="str">
        <f>VLOOKUP(交易處理資料__3[[#This Row],[人員代號]],團隊分組!$B$1:$C$52,2,FALSE)</f>
        <v>查修團隊B</v>
      </c>
      <c r="N948">
        <f>IF(交易處理資料__3[[#This Row],[上班時間]]=0,0,交易處理資料__3[[#This Row],[售出工時]]/交易處理資料__3[[#This Row],[上班時間]])</f>
        <v>0.75030012004801916</v>
      </c>
      <c r="O948" s="31" t="str">
        <f>IF(交易處理資料__3[[#This Row],[上班時間]]=0,"否","是")</f>
        <v>是</v>
      </c>
    </row>
    <row r="949" spans="1:15" hidden="1">
      <c r="A949" t="s">
        <v>75</v>
      </c>
      <c r="B949" t="s">
        <v>36</v>
      </c>
      <c r="C949">
        <v>1.75</v>
      </c>
      <c r="D949">
        <v>2.59</v>
      </c>
      <c r="E949" s="27">
        <v>67.567567569999994</v>
      </c>
      <c r="F949">
        <v>7.9</v>
      </c>
      <c r="G949">
        <v>0.26</v>
      </c>
      <c r="H949">
        <v>8.16</v>
      </c>
      <c r="I949">
        <v>96.81</v>
      </c>
      <c r="J949">
        <v>21.45</v>
      </c>
      <c r="K949" s="9">
        <v>45315</v>
      </c>
      <c r="L949">
        <f xml:space="preserve"> (交易處理資料__3[[#This Row],[售出工時]] * 60) / 5</f>
        <v>21</v>
      </c>
      <c r="M949" t="str">
        <f>VLOOKUP(交易處理資料__3[[#This Row],[人員代號]],團隊分組!$B$1:$C$52,2,FALSE)</f>
        <v>查修團隊B</v>
      </c>
      <c r="N949">
        <f>IF(交易處理資料__3[[#This Row],[上班時間]]=0,0,交易處理資料__3[[#This Row],[售出工時]]/交易處理資料__3[[#This Row],[上班時間]])</f>
        <v>0.21446078431372548</v>
      </c>
      <c r="O949" s="31" t="str">
        <f>IF(交易處理資料__3[[#This Row],[上班時間]]=0,"否","是")</f>
        <v>是</v>
      </c>
    </row>
    <row r="950" spans="1:15" hidden="1">
      <c r="A950" t="s">
        <v>75</v>
      </c>
      <c r="B950" t="s">
        <v>38</v>
      </c>
      <c r="C950">
        <v>9.81</v>
      </c>
      <c r="D950">
        <v>4.38</v>
      </c>
      <c r="E950" s="27">
        <v>223.97260270000001</v>
      </c>
      <c r="F950">
        <v>10.42</v>
      </c>
      <c r="G950">
        <v>0.2</v>
      </c>
      <c r="H950">
        <v>10.62</v>
      </c>
      <c r="I950">
        <v>98.12</v>
      </c>
      <c r="J950">
        <v>92.37</v>
      </c>
      <c r="K950" s="9">
        <v>45315</v>
      </c>
      <c r="L950">
        <f xml:space="preserve"> (交易處理資料__3[[#This Row],[售出工時]] * 60) / 5</f>
        <v>117.72</v>
      </c>
      <c r="M950" t="str">
        <f>VLOOKUP(交易處理資料__3[[#This Row],[人員代號]],團隊分組!$B$1:$C$52,2,FALSE)</f>
        <v>快速保養團隊A</v>
      </c>
      <c r="N950">
        <f>IF(交易處理資料__3[[#This Row],[上班時間]]=0,0,交易處理資料__3[[#This Row],[售出工時]]/交易處理資料__3[[#This Row],[上班時間]])</f>
        <v>0.92372881355932213</v>
      </c>
      <c r="O950" s="31" t="str">
        <f>IF(交易處理資料__3[[#This Row],[上班時間]]=0,"否","是")</f>
        <v>是</v>
      </c>
    </row>
    <row r="951" spans="1:15" hidden="1">
      <c r="A951" t="s">
        <v>75</v>
      </c>
      <c r="B951" t="s">
        <v>40</v>
      </c>
      <c r="C951">
        <v>0</v>
      </c>
      <c r="D951">
        <v>0</v>
      </c>
      <c r="E951" s="27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 s="9">
        <v>45315</v>
      </c>
      <c r="L951">
        <f xml:space="preserve"> (交易處理資料__3[[#This Row],[售出工時]] * 60) / 5</f>
        <v>0</v>
      </c>
      <c r="M951" t="str">
        <f>VLOOKUP(交易處理資料__3[[#This Row],[人員代號]],團隊分組!$B$1:$C$52,2,FALSE)</f>
        <v>查修團隊A</v>
      </c>
      <c r="N951">
        <f>IF(交易處理資料__3[[#This Row],[上班時間]]=0,0,交易處理資料__3[[#This Row],[售出工時]]/交易處理資料__3[[#This Row],[上班時間]])</f>
        <v>0</v>
      </c>
      <c r="O951" s="31" t="str">
        <f>IF(交易處理資料__3[[#This Row],[上班時間]]=0,"否","是")</f>
        <v>否</v>
      </c>
    </row>
    <row r="952" spans="1:15" hidden="1">
      <c r="A952" t="s">
        <v>75</v>
      </c>
      <c r="B952" t="s">
        <v>41</v>
      </c>
      <c r="C952">
        <v>6.4166666670000003</v>
      </c>
      <c r="D952">
        <v>3.78</v>
      </c>
      <c r="E952" s="27">
        <v>169.7530864</v>
      </c>
      <c r="F952">
        <v>7.58</v>
      </c>
      <c r="G952">
        <v>0.92</v>
      </c>
      <c r="H952">
        <v>8.5</v>
      </c>
      <c r="I952">
        <v>89.18</v>
      </c>
      <c r="J952">
        <v>75.489999999999995</v>
      </c>
      <c r="K952" s="9">
        <v>45315</v>
      </c>
      <c r="L952">
        <f xml:space="preserve"> (交易處理資料__3[[#This Row],[售出工時]] * 60) / 5</f>
        <v>77.000000004</v>
      </c>
      <c r="M952" t="str">
        <f>VLOOKUP(交易處理資料__3[[#This Row],[人員代號]],團隊分組!$B$1:$C$52,2,FALSE)</f>
        <v>快速保養團隊A</v>
      </c>
      <c r="N952">
        <f>IF(交易處理資料__3[[#This Row],[上班時間]]=0,0,交易處理資料__3[[#This Row],[售出工時]]/交易處理資料__3[[#This Row],[上班時間]])</f>
        <v>0.75490196082352945</v>
      </c>
      <c r="O952" s="31" t="str">
        <f>IF(交易處理資料__3[[#This Row],[上班時間]]=0,"否","是")</f>
        <v>是</v>
      </c>
    </row>
    <row r="953" spans="1:15" hidden="1">
      <c r="A953" t="s">
        <v>75</v>
      </c>
      <c r="B953" t="s">
        <v>42</v>
      </c>
      <c r="C953">
        <v>4.9166666670000003</v>
      </c>
      <c r="D953">
        <v>4.4800000000000004</v>
      </c>
      <c r="E953" s="27">
        <v>109.74702379999999</v>
      </c>
      <c r="F953">
        <v>9.43</v>
      </c>
      <c r="G953">
        <v>0.86</v>
      </c>
      <c r="H953">
        <v>10.29</v>
      </c>
      <c r="I953">
        <v>91.64</v>
      </c>
      <c r="J953">
        <v>47.78</v>
      </c>
      <c r="K953" s="9">
        <v>45315</v>
      </c>
      <c r="L953">
        <f xml:space="preserve"> (交易處理資料__3[[#This Row],[售出工時]] * 60) / 5</f>
        <v>59.000000004</v>
      </c>
      <c r="M953" t="str">
        <f>VLOOKUP(交易處理資料__3[[#This Row],[人員代號]],團隊分組!$B$1:$C$52,2,FALSE)</f>
        <v>快速保養團隊A</v>
      </c>
      <c r="N953">
        <f>IF(交易處理資料__3[[#This Row],[上班時間]]=0,0,交易處理資料__3[[#This Row],[售出工時]]/交易處理資料__3[[#This Row],[上班時間]])</f>
        <v>0.47781017172011669</v>
      </c>
      <c r="O953" s="31" t="str">
        <f>IF(交易處理資料__3[[#This Row],[上班時間]]=0,"否","是")</f>
        <v>是</v>
      </c>
    </row>
    <row r="954" spans="1:15" hidden="1">
      <c r="A954" t="s">
        <v>75</v>
      </c>
      <c r="B954" t="s">
        <v>43</v>
      </c>
      <c r="C954">
        <v>4.63</v>
      </c>
      <c r="D954">
        <v>7.4</v>
      </c>
      <c r="E954" s="27">
        <v>62.567567570000001</v>
      </c>
      <c r="F954">
        <v>7.89</v>
      </c>
      <c r="G954">
        <v>0.24</v>
      </c>
      <c r="H954">
        <v>8.1300000000000008</v>
      </c>
      <c r="I954">
        <v>97.05</v>
      </c>
      <c r="J954">
        <v>56.95</v>
      </c>
      <c r="K954" s="9">
        <v>45315</v>
      </c>
      <c r="L954">
        <f xml:space="preserve"> (交易處理資料__3[[#This Row],[售出工時]] * 60) / 5</f>
        <v>55.56</v>
      </c>
      <c r="M954" t="str">
        <f>VLOOKUP(交易處理資料__3[[#This Row],[人員代號]],團隊分組!$B$1:$C$52,2,FALSE)</f>
        <v>查修團隊B</v>
      </c>
      <c r="N954">
        <f>IF(交易處理資料__3[[#This Row],[上班時間]]=0,0,交易處理資料__3[[#This Row],[售出工時]]/交易處理資料__3[[#This Row],[上班時間]])</f>
        <v>0.56949569495694952</v>
      </c>
      <c r="O954" s="31" t="str">
        <f>IF(交易處理資料__3[[#This Row],[上班時間]]=0,"否","是")</f>
        <v>是</v>
      </c>
    </row>
    <row r="955" spans="1:15" hidden="1">
      <c r="A955" t="s">
        <v>75</v>
      </c>
      <c r="B955" t="s">
        <v>44</v>
      </c>
      <c r="C955">
        <v>4.45</v>
      </c>
      <c r="D955">
        <v>5.45</v>
      </c>
      <c r="E955" s="27">
        <v>81.651376150000004</v>
      </c>
      <c r="F955">
        <v>10.02</v>
      </c>
      <c r="G955">
        <v>0.09</v>
      </c>
      <c r="H955">
        <v>10.11</v>
      </c>
      <c r="I955">
        <v>99.11</v>
      </c>
      <c r="J955">
        <v>44.02</v>
      </c>
      <c r="K955" s="9">
        <v>45315</v>
      </c>
      <c r="L955">
        <f xml:space="preserve"> (交易處理資料__3[[#This Row],[售出工時]] * 60) / 5</f>
        <v>53.4</v>
      </c>
      <c r="M955" t="str">
        <f>VLOOKUP(交易處理資料__3[[#This Row],[人員代號]],團隊分組!$B$1:$C$52,2,FALSE)</f>
        <v>快速保養團隊B</v>
      </c>
      <c r="N955">
        <f>IF(交易處理資料__3[[#This Row],[上班時間]]=0,0,交易處理資料__3[[#This Row],[售出工時]]/交易處理資料__3[[#This Row],[上班時間]])</f>
        <v>0.44015825914935713</v>
      </c>
      <c r="O955" s="31" t="str">
        <f>IF(交易處理資料__3[[#This Row],[上班時間]]=0,"否","是")</f>
        <v>是</v>
      </c>
    </row>
    <row r="956" spans="1:15" hidden="1">
      <c r="A956" t="s">
        <v>75</v>
      </c>
      <c r="B956" t="s">
        <v>47</v>
      </c>
      <c r="C956">
        <v>4.4166666670000003</v>
      </c>
      <c r="D956">
        <v>5.5</v>
      </c>
      <c r="E956" s="27">
        <v>80.303030300000003</v>
      </c>
      <c r="F956">
        <v>3.98</v>
      </c>
      <c r="G956">
        <v>4.1399999999999997</v>
      </c>
      <c r="H956">
        <v>8.1199999999999992</v>
      </c>
      <c r="I956">
        <v>49.01</v>
      </c>
      <c r="J956">
        <v>54.39</v>
      </c>
      <c r="K956" s="9">
        <v>45315</v>
      </c>
      <c r="L956">
        <f xml:space="preserve"> (交易處理資料__3[[#This Row],[售出工時]] * 60) / 5</f>
        <v>53.000000004</v>
      </c>
      <c r="M956" t="str">
        <f>VLOOKUP(交易處理資料__3[[#This Row],[人員代號]],團隊分組!$B$1:$C$52,2,FALSE)</f>
        <v>查修團隊B</v>
      </c>
      <c r="N956">
        <f>IF(交易處理資料__3[[#This Row],[上班時間]]=0,0,交易處理資料__3[[#This Row],[售出工時]]/交易處理資料__3[[#This Row],[上班時間]])</f>
        <v>0.54392446637931047</v>
      </c>
      <c r="O956" s="31" t="str">
        <f>IF(交易處理資料__3[[#This Row],[上班時間]]=0,"否","是")</f>
        <v>是</v>
      </c>
    </row>
    <row r="957" spans="1:15" hidden="1">
      <c r="A957" t="s">
        <v>75</v>
      </c>
      <c r="B957" t="s">
        <v>48</v>
      </c>
      <c r="C957">
        <v>1.53</v>
      </c>
      <c r="D957">
        <v>1.93</v>
      </c>
      <c r="E957" s="27">
        <v>79.274611399999998</v>
      </c>
      <c r="F957">
        <v>6.5</v>
      </c>
      <c r="G957">
        <v>0.72</v>
      </c>
      <c r="H957">
        <v>7.22</v>
      </c>
      <c r="I957">
        <v>90.03</v>
      </c>
      <c r="J957">
        <v>21.19</v>
      </c>
      <c r="K957" s="9">
        <v>45315</v>
      </c>
      <c r="L957">
        <f xml:space="preserve"> (交易處理資料__3[[#This Row],[售出工時]] * 60) / 5</f>
        <v>18.36</v>
      </c>
      <c r="M957" t="str">
        <f>VLOOKUP(交易處理資料__3[[#This Row],[人員代號]],團隊分組!$B$1:$C$52,2,FALSE)</f>
        <v>查修團隊A</v>
      </c>
      <c r="N957">
        <f>IF(交易處理資料__3[[#This Row],[上班時間]]=0,0,交易處理資料__3[[#This Row],[售出工時]]/交易處理資料__3[[#This Row],[上班時間]])</f>
        <v>0.21191135734072022</v>
      </c>
      <c r="O957" s="31" t="str">
        <f>IF(交易處理資料__3[[#This Row],[上班時間]]=0,"否","是")</f>
        <v>是</v>
      </c>
    </row>
    <row r="958" spans="1:15" hidden="1">
      <c r="A958" t="s">
        <v>75</v>
      </c>
      <c r="B958" t="s">
        <v>49</v>
      </c>
      <c r="C958">
        <v>4.5</v>
      </c>
      <c r="D958">
        <v>6.42</v>
      </c>
      <c r="E958" s="27">
        <v>70.093457939999993</v>
      </c>
      <c r="F958">
        <v>7.65</v>
      </c>
      <c r="G958">
        <v>0.36</v>
      </c>
      <c r="H958">
        <v>8.01</v>
      </c>
      <c r="I958">
        <v>95.51</v>
      </c>
      <c r="J958">
        <v>56.18</v>
      </c>
      <c r="K958" s="9">
        <v>45315</v>
      </c>
      <c r="L958">
        <f xml:space="preserve"> (交易處理資料__3[[#This Row],[售出工時]] * 60) / 5</f>
        <v>54</v>
      </c>
      <c r="M958" t="str">
        <f>VLOOKUP(交易處理資料__3[[#This Row],[人員代號]],團隊分組!$B$1:$C$52,2,FALSE)</f>
        <v>查修團隊A</v>
      </c>
      <c r="N958">
        <f>IF(交易處理資料__3[[#This Row],[上班時間]]=0,0,交易處理資料__3[[#This Row],[售出工時]]/交易處理資料__3[[#This Row],[上班時間]])</f>
        <v>0.5617977528089888</v>
      </c>
      <c r="O958" s="31" t="str">
        <f>IF(交易處理資料__3[[#This Row],[上班時間]]=0,"否","是")</f>
        <v>是</v>
      </c>
    </row>
    <row r="959" spans="1:15" hidden="1">
      <c r="A959" t="s">
        <v>75</v>
      </c>
      <c r="B959" t="s">
        <v>50</v>
      </c>
      <c r="C959">
        <v>6.45</v>
      </c>
      <c r="D959">
        <v>5.44</v>
      </c>
      <c r="E959" s="27">
        <v>118.5661765</v>
      </c>
      <c r="F959">
        <v>7.87</v>
      </c>
      <c r="G959">
        <v>0.22</v>
      </c>
      <c r="H959">
        <v>8.09</v>
      </c>
      <c r="I959">
        <v>97.28</v>
      </c>
      <c r="J959">
        <v>79.73</v>
      </c>
      <c r="K959" s="9">
        <v>45315</v>
      </c>
      <c r="L959">
        <f xml:space="preserve"> (交易處理資料__3[[#This Row],[售出工時]] * 60) / 5</f>
        <v>77.400000000000006</v>
      </c>
      <c r="M959" t="str">
        <f>VLOOKUP(交易處理資料__3[[#This Row],[人員代號]],團隊分組!$B$1:$C$52,2,FALSE)</f>
        <v>快速保養團隊B</v>
      </c>
      <c r="N959">
        <f>IF(交易處理資料__3[[#This Row],[上班時間]]=0,0,交易處理資料__3[[#This Row],[售出工時]]/交易處理資料__3[[#This Row],[上班時間]])</f>
        <v>0.79728059332509271</v>
      </c>
      <c r="O959" s="31" t="str">
        <f>IF(交易處理資料__3[[#This Row],[上班時間]]=0,"否","是")</f>
        <v>是</v>
      </c>
    </row>
    <row r="960" spans="1:15" hidden="1">
      <c r="A960" t="s">
        <v>75</v>
      </c>
      <c r="B960" t="s">
        <v>51</v>
      </c>
      <c r="C960">
        <v>0</v>
      </c>
      <c r="D960">
        <v>0</v>
      </c>
      <c r="E960" s="27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 s="9">
        <v>45315</v>
      </c>
      <c r="L960">
        <f xml:space="preserve"> (交易處理資料__3[[#This Row],[售出工時]] * 60) / 5</f>
        <v>0</v>
      </c>
      <c r="M960" t="str">
        <f>VLOOKUP(交易處理資料__3[[#This Row],[人員代號]],團隊分組!$B$1:$C$52,2,FALSE)</f>
        <v>無效數據</v>
      </c>
      <c r="N960">
        <f>IF(交易處理資料__3[[#This Row],[上班時間]]=0,0,交易處理資料__3[[#This Row],[售出工時]]/交易處理資料__3[[#This Row],[上班時間]])</f>
        <v>0</v>
      </c>
      <c r="O960" s="31" t="str">
        <f>IF(交易處理資料__3[[#This Row],[上班時間]]=0,"否","是")</f>
        <v>否</v>
      </c>
    </row>
    <row r="961" spans="1:15" hidden="1">
      <c r="A961" t="s">
        <v>75</v>
      </c>
      <c r="B961" t="s">
        <v>52</v>
      </c>
      <c r="C961">
        <v>4</v>
      </c>
      <c r="D961">
        <v>5.76</v>
      </c>
      <c r="E961" s="27">
        <v>69.444444439999998</v>
      </c>
      <c r="F961">
        <v>7.79</v>
      </c>
      <c r="G961">
        <v>0.33</v>
      </c>
      <c r="H961">
        <v>8.1199999999999992</v>
      </c>
      <c r="I961">
        <v>95.94</v>
      </c>
      <c r="J961">
        <v>49.26</v>
      </c>
      <c r="K961" s="9">
        <v>45315</v>
      </c>
      <c r="L961">
        <f xml:space="preserve"> (交易處理資料__3[[#This Row],[售出工時]] * 60) / 5</f>
        <v>48</v>
      </c>
      <c r="M961" t="str">
        <f>VLOOKUP(交易處理資料__3[[#This Row],[人員代號]],團隊分組!$B$1:$C$52,2,FALSE)</f>
        <v>查修團隊B</v>
      </c>
      <c r="N961">
        <f>IF(交易處理資料__3[[#This Row],[上班時間]]=0,0,交易處理資料__3[[#This Row],[售出工時]]/交易處理資料__3[[#This Row],[上班時間]])</f>
        <v>0.49261083743842371</v>
      </c>
      <c r="O961" s="31" t="str">
        <f>IF(交易處理資料__3[[#This Row],[上班時間]]=0,"否","是")</f>
        <v>是</v>
      </c>
    </row>
    <row r="962" spans="1:15" hidden="1">
      <c r="A962" s="10" t="s">
        <v>73</v>
      </c>
      <c r="B962" t="s">
        <v>1</v>
      </c>
      <c r="C962">
        <v>2.38</v>
      </c>
      <c r="D962">
        <v>3.73</v>
      </c>
      <c r="E962" s="27">
        <v>63.806970509999999</v>
      </c>
      <c r="F962">
        <v>6.04</v>
      </c>
      <c r="G962">
        <v>1.99</v>
      </c>
      <c r="H962">
        <v>8.0299999999999994</v>
      </c>
      <c r="I962">
        <v>75.22</v>
      </c>
      <c r="J962">
        <v>29.64</v>
      </c>
      <c r="K962" s="9">
        <v>45316</v>
      </c>
      <c r="L962">
        <f xml:space="preserve"> (交易處理資料__3[[#This Row],[售出工時]] * 60) / 5</f>
        <v>28.559999999999995</v>
      </c>
      <c r="M962" t="str">
        <f>VLOOKUP(交易處理資料__3[[#This Row],[人員代號]],團隊分組!$B$1:$C$52,2,FALSE)</f>
        <v>噴漆維修組</v>
      </c>
      <c r="N962">
        <f>IF(交易處理資料__3[[#This Row],[上班時間]]=0,0,交易處理資料__3[[#This Row],[售出工時]]/交易處理資料__3[[#This Row],[上班時間]])</f>
        <v>0.29638854296388545</v>
      </c>
      <c r="O962" s="31" t="str">
        <f>IF(交易處理資料__3[[#This Row],[上班時間]]=0,"否","是")</f>
        <v>是</v>
      </c>
    </row>
    <row r="963" spans="1:15" hidden="1">
      <c r="A963" s="10" t="s">
        <v>73</v>
      </c>
      <c r="B963" t="s">
        <v>2</v>
      </c>
      <c r="C963">
        <v>3.0833333330000001</v>
      </c>
      <c r="D963">
        <v>6.1</v>
      </c>
      <c r="E963" s="27">
        <v>50.546448089999998</v>
      </c>
      <c r="F963">
        <v>8.3699999999999992</v>
      </c>
      <c r="G963">
        <v>2.63</v>
      </c>
      <c r="H963">
        <v>11</v>
      </c>
      <c r="I963">
        <v>76.09</v>
      </c>
      <c r="J963">
        <v>28.03</v>
      </c>
      <c r="K963" s="9">
        <v>45316</v>
      </c>
      <c r="L963">
        <f xml:space="preserve"> (交易處理資料__3[[#This Row],[售出工時]] * 60) / 5</f>
        <v>36.999999996</v>
      </c>
      <c r="M963" t="str">
        <f>VLOOKUP(交易處理資料__3[[#This Row],[人員代號]],團隊分組!$B$1:$C$52,2,FALSE)</f>
        <v>噴漆維修組</v>
      </c>
      <c r="N963">
        <f>IF(交易處理資料__3[[#This Row],[上班時間]]=0,0,交易處理資料__3[[#This Row],[售出工時]]/交易處理資料__3[[#This Row],[上班時間]])</f>
        <v>0.28030303027272729</v>
      </c>
      <c r="O963" s="31" t="str">
        <f>IF(交易處理資料__3[[#This Row],[上班時間]]=0,"否","是")</f>
        <v>是</v>
      </c>
    </row>
    <row r="964" spans="1:15" hidden="1">
      <c r="A964" s="10" t="s">
        <v>73</v>
      </c>
      <c r="B964" t="s">
        <v>3</v>
      </c>
      <c r="C964">
        <v>2.25</v>
      </c>
      <c r="D964">
        <v>3.87</v>
      </c>
      <c r="E964" s="27">
        <v>58.139534879999999</v>
      </c>
      <c r="F964">
        <v>8.3699999999999992</v>
      </c>
      <c r="G964">
        <v>2.63</v>
      </c>
      <c r="H964">
        <v>11</v>
      </c>
      <c r="I964">
        <v>76.09</v>
      </c>
      <c r="J964">
        <v>20.45</v>
      </c>
      <c r="K964" s="9">
        <v>45316</v>
      </c>
      <c r="L964">
        <f xml:space="preserve"> (交易處理資料__3[[#This Row],[售出工時]] * 60) / 5</f>
        <v>27</v>
      </c>
      <c r="M964" t="str">
        <f>VLOOKUP(交易處理資料__3[[#This Row],[人員代號]],團隊分組!$B$1:$C$52,2,FALSE)</f>
        <v>噴漆維修組</v>
      </c>
      <c r="N964">
        <f>IF(交易處理資料__3[[#This Row],[上班時間]]=0,0,交易處理資料__3[[#This Row],[售出工時]]/交易處理資料__3[[#This Row],[上班時間]])</f>
        <v>0.20454545454545456</v>
      </c>
      <c r="O964" s="31" t="str">
        <f>IF(交易處理資料__3[[#This Row],[上班時間]]=0,"否","是")</f>
        <v>是</v>
      </c>
    </row>
    <row r="965" spans="1:15" hidden="1">
      <c r="A965" s="10" t="s">
        <v>73</v>
      </c>
      <c r="B965" t="s">
        <v>5</v>
      </c>
      <c r="C965">
        <v>8.58</v>
      </c>
      <c r="D965">
        <v>10.029999999999999</v>
      </c>
      <c r="E965" s="27">
        <v>85.543369889999994</v>
      </c>
      <c r="F965">
        <v>10.4</v>
      </c>
      <c r="G965">
        <v>0.13</v>
      </c>
      <c r="H965">
        <v>10.53</v>
      </c>
      <c r="I965">
        <v>98.77</v>
      </c>
      <c r="J965">
        <v>81.48</v>
      </c>
      <c r="K965" s="9">
        <v>45316</v>
      </c>
      <c r="L965">
        <f xml:space="preserve"> (交易處理資料__3[[#This Row],[售出工時]] * 60) / 5</f>
        <v>102.96</v>
      </c>
      <c r="M965" t="str">
        <f>VLOOKUP(交易處理資料__3[[#This Row],[人員代號]],團隊分組!$B$1:$C$52,2,FALSE)</f>
        <v>噴漆維修組</v>
      </c>
      <c r="N965">
        <f>IF(交易處理資料__3[[#This Row],[上班時間]]=0,0,交易處理資料__3[[#This Row],[售出工時]]/交易處理資料__3[[#This Row],[上班時間]])</f>
        <v>0.81481481481481488</v>
      </c>
      <c r="O965" s="31" t="str">
        <f>IF(交易處理資料__3[[#This Row],[上班時間]]=0,"否","是")</f>
        <v>是</v>
      </c>
    </row>
    <row r="966" spans="1:15" hidden="1">
      <c r="A966" s="10" t="s">
        <v>73</v>
      </c>
      <c r="B966" t="s">
        <v>6</v>
      </c>
      <c r="C966">
        <v>0</v>
      </c>
      <c r="D966">
        <v>0</v>
      </c>
      <c r="E966" s="27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 s="9">
        <v>45316</v>
      </c>
      <c r="L966">
        <f xml:space="preserve"> (交易處理資料__3[[#This Row],[售出工時]] * 60) / 5</f>
        <v>0</v>
      </c>
      <c r="M966" t="str">
        <f>VLOOKUP(交易處理資料__3[[#This Row],[人員代號]],團隊分組!$B$1:$C$52,2,FALSE)</f>
        <v>噴漆維修組</v>
      </c>
      <c r="N966">
        <f>IF(交易處理資料__3[[#This Row],[上班時間]]=0,0,交易處理資料__3[[#This Row],[售出工時]]/交易處理資料__3[[#This Row],[上班時間]])</f>
        <v>0</v>
      </c>
      <c r="O966" s="31" t="str">
        <f>IF(交易處理資料__3[[#This Row],[上班時間]]=0,"否","是")</f>
        <v>否</v>
      </c>
    </row>
    <row r="967" spans="1:15" hidden="1">
      <c r="A967" s="10" t="s">
        <v>73</v>
      </c>
      <c r="B967" t="s">
        <v>9</v>
      </c>
      <c r="C967">
        <v>0</v>
      </c>
      <c r="D967">
        <v>0</v>
      </c>
      <c r="E967" s="27">
        <v>0</v>
      </c>
      <c r="F967">
        <v>6.27</v>
      </c>
      <c r="G967">
        <v>1.79</v>
      </c>
      <c r="H967">
        <v>8.06</v>
      </c>
      <c r="I967">
        <v>77.790000000000006</v>
      </c>
      <c r="J967">
        <v>0</v>
      </c>
      <c r="K967" s="9">
        <v>45316</v>
      </c>
      <c r="L967">
        <f xml:space="preserve"> (交易處理資料__3[[#This Row],[售出工時]] * 60) / 5</f>
        <v>0</v>
      </c>
      <c r="M967" t="str">
        <f>VLOOKUP(交易處理資料__3[[#This Row],[人員代號]],團隊分組!$B$1:$C$52,2,FALSE)</f>
        <v>噴漆維修組</v>
      </c>
      <c r="N967">
        <f>IF(交易處理資料__3[[#This Row],[上班時間]]=0,0,交易處理資料__3[[#This Row],[售出工時]]/交易處理資料__3[[#This Row],[上班時間]])</f>
        <v>0</v>
      </c>
      <c r="O967" s="31" t="str">
        <f>IF(交易處理資料__3[[#This Row],[上班時間]]=0,"否","是")</f>
        <v>是</v>
      </c>
    </row>
    <row r="968" spans="1:15" hidden="1">
      <c r="A968" t="s">
        <v>74</v>
      </c>
      <c r="B968" t="s">
        <v>11</v>
      </c>
      <c r="C968">
        <v>0</v>
      </c>
      <c r="D968">
        <v>0</v>
      </c>
      <c r="E968" s="27">
        <v>0</v>
      </c>
      <c r="F968">
        <v>6.99</v>
      </c>
      <c r="G968">
        <v>1.08</v>
      </c>
      <c r="H968">
        <v>8.07</v>
      </c>
      <c r="I968">
        <v>86.62</v>
      </c>
      <c r="J968">
        <v>0</v>
      </c>
      <c r="K968" s="9">
        <v>45316</v>
      </c>
      <c r="L968">
        <f xml:space="preserve"> (交易處理資料__3[[#This Row],[售出工時]] * 60) / 5</f>
        <v>0</v>
      </c>
      <c r="M968" t="str">
        <f>VLOOKUP(交易處理資料__3[[#This Row],[人員代號]],團隊分組!$B$1:$C$52,2,FALSE)</f>
        <v>鈑金維修組</v>
      </c>
      <c r="N968">
        <f>IF(交易處理資料__3[[#This Row],[上班時間]]=0,0,交易處理資料__3[[#This Row],[售出工時]]/交易處理資料__3[[#This Row],[上班時間]])</f>
        <v>0</v>
      </c>
      <c r="O968" s="31" t="str">
        <f>IF(交易處理資料__3[[#This Row],[上班時間]]=0,"否","是")</f>
        <v>是</v>
      </c>
    </row>
    <row r="969" spans="1:15" hidden="1">
      <c r="A969" t="s">
        <v>74</v>
      </c>
      <c r="B969" t="s">
        <v>12</v>
      </c>
      <c r="C969">
        <v>7.5833333329999997</v>
      </c>
      <c r="D969">
        <v>5.05</v>
      </c>
      <c r="E969" s="27">
        <v>150.16501650000001</v>
      </c>
      <c r="F969">
        <v>6.4</v>
      </c>
      <c r="G969">
        <v>1.66</v>
      </c>
      <c r="H969">
        <v>8.06</v>
      </c>
      <c r="I969">
        <v>79.400000000000006</v>
      </c>
      <c r="J969">
        <v>94.09</v>
      </c>
      <c r="K969" s="9">
        <v>45316</v>
      </c>
      <c r="L969">
        <f xml:space="preserve"> (交易處理資料__3[[#This Row],[售出工時]] * 60) / 5</f>
        <v>90.999999996</v>
      </c>
      <c r="M969" t="str">
        <f>VLOOKUP(交易處理資料__3[[#This Row],[人員代號]],團隊分組!$B$1:$C$52,2,FALSE)</f>
        <v>鈑金維修組</v>
      </c>
      <c r="N969">
        <f>IF(交易處理資料__3[[#This Row],[上班時間]]=0,0,交易處理資料__3[[#This Row],[售出工時]]/交易處理資料__3[[#This Row],[上班時間]])</f>
        <v>0.9408602150124068</v>
      </c>
      <c r="O969" s="31" t="str">
        <f>IF(交易處理資料__3[[#This Row],[上班時間]]=0,"否","是")</f>
        <v>是</v>
      </c>
    </row>
    <row r="970" spans="1:15" hidden="1">
      <c r="A970" t="s">
        <v>74</v>
      </c>
      <c r="B970" t="s">
        <v>14</v>
      </c>
      <c r="C970">
        <v>4.83</v>
      </c>
      <c r="D970">
        <v>5.38</v>
      </c>
      <c r="E970" s="27">
        <v>89.776951670000003</v>
      </c>
      <c r="F970">
        <v>5.54</v>
      </c>
      <c r="G970">
        <v>2.54</v>
      </c>
      <c r="H970">
        <v>8.08</v>
      </c>
      <c r="I970">
        <v>68.56</v>
      </c>
      <c r="J970">
        <v>59.78</v>
      </c>
      <c r="K970" s="9">
        <v>45316</v>
      </c>
      <c r="L970">
        <f xml:space="preserve"> (交易處理資料__3[[#This Row],[售出工時]] * 60) / 5</f>
        <v>57.96</v>
      </c>
      <c r="M970" t="str">
        <f>VLOOKUP(交易處理資料__3[[#This Row],[人員代號]],團隊分組!$B$1:$C$52,2,FALSE)</f>
        <v>鈑金維修組</v>
      </c>
      <c r="N970">
        <f>IF(交易處理資料__3[[#This Row],[上班時間]]=0,0,交易處理資料__3[[#This Row],[售出工時]]/交易處理資料__3[[#This Row],[上班時間]])</f>
        <v>0.59777227722772275</v>
      </c>
      <c r="O970" s="31" t="str">
        <f>IF(交易處理資料__3[[#This Row],[上班時間]]=0,"否","是")</f>
        <v>是</v>
      </c>
    </row>
    <row r="971" spans="1:15" hidden="1">
      <c r="A971" t="s">
        <v>74</v>
      </c>
      <c r="B971" t="s">
        <v>15</v>
      </c>
      <c r="C971">
        <v>4.76</v>
      </c>
      <c r="D971">
        <v>3.86</v>
      </c>
      <c r="E971" s="27">
        <v>123.3160622</v>
      </c>
      <c r="F971">
        <v>5.56</v>
      </c>
      <c r="G971">
        <v>2.5</v>
      </c>
      <c r="H971">
        <v>8.06</v>
      </c>
      <c r="I971">
        <v>68.98</v>
      </c>
      <c r="J971">
        <v>59.06</v>
      </c>
      <c r="K971" s="9">
        <v>45316</v>
      </c>
      <c r="L971">
        <f xml:space="preserve"> (交易處理資料__3[[#This Row],[售出工時]] * 60) / 5</f>
        <v>57.11999999999999</v>
      </c>
      <c r="M971" t="str">
        <f>VLOOKUP(交易處理資料__3[[#This Row],[人員代號]],團隊分組!$B$1:$C$52,2,FALSE)</f>
        <v>鈑金維修組</v>
      </c>
      <c r="N971">
        <f>IF(交易處理資料__3[[#This Row],[上班時間]]=0,0,交易處理資料__3[[#This Row],[售出工時]]/交易處理資料__3[[#This Row],[上班時間]])</f>
        <v>0.59057071960297758</v>
      </c>
      <c r="O971" s="31" t="str">
        <f>IF(交易處理資料__3[[#This Row],[上班時間]]=0,"否","是")</f>
        <v>是</v>
      </c>
    </row>
    <row r="972" spans="1:15" hidden="1">
      <c r="A972" t="s">
        <v>75</v>
      </c>
      <c r="B972" t="s">
        <v>17</v>
      </c>
      <c r="C972">
        <v>11.176666669999999</v>
      </c>
      <c r="D972">
        <v>9.07</v>
      </c>
      <c r="E972" s="27">
        <v>123.2267549</v>
      </c>
      <c r="F972">
        <v>9.7799999999999994</v>
      </c>
      <c r="G972">
        <v>0.26</v>
      </c>
      <c r="H972">
        <v>10.039999999999999</v>
      </c>
      <c r="I972">
        <v>97.41</v>
      </c>
      <c r="J972">
        <v>111.32</v>
      </c>
      <c r="K972" s="9">
        <v>45316</v>
      </c>
      <c r="L972">
        <f xml:space="preserve"> (交易處理資料__3[[#This Row],[售出工時]] * 60) / 5</f>
        <v>134.12000003999998</v>
      </c>
      <c r="M972" t="str">
        <f>VLOOKUP(交易處理資料__3[[#This Row],[人員代號]],團隊分組!$B$1:$C$52,2,FALSE)</f>
        <v>快速保養團隊A</v>
      </c>
      <c r="N972">
        <f>IF(交易處理資料__3[[#This Row],[上班時間]]=0,0,交易處理資料__3[[#This Row],[售出工時]]/交易處理資料__3[[#This Row],[上班時間]])</f>
        <v>1.1132138117529882</v>
      </c>
      <c r="O972" s="31" t="str">
        <f>IF(交易處理資料__3[[#This Row],[上班時間]]=0,"否","是")</f>
        <v>是</v>
      </c>
    </row>
    <row r="973" spans="1:15" hidden="1">
      <c r="A973" t="s">
        <v>75</v>
      </c>
      <c r="B973" t="s">
        <v>18</v>
      </c>
      <c r="C973">
        <v>0.83</v>
      </c>
      <c r="D973">
        <v>0.75</v>
      </c>
      <c r="E973" s="27">
        <v>110.66666669999999</v>
      </c>
      <c r="F973">
        <v>6.61</v>
      </c>
      <c r="G973">
        <v>1.67</v>
      </c>
      <c r="H973">
        <v>8.2799999999999994</v>
      </c>
      <c r="I973">
        <v>79.83</v>
      </c>
      <c r="J973">
        <v>10.02</v>
      </c>
      <c r="K973" s="9">
        <v>45316</v>
      </c>
      <c r="L973">
        <f xml:space="preserve"> (交易處理資料__3[[#This Row],[售出工時]] * 60) / 5</f>
        <v>9.9599999999999991</v>
      </c>
      <c r="M973" t="str">
        <f>VLOOKUP(交易處理資料__3[[#This Row],[人員代號]],團隊分組!$B$1:$C$52,2,FALSE)</f>
        <v>查修團隊B</v>
      </c>
      <c r="N973">
        <f>IF(交易處理資料__3[[#This Row],[上班時間]]=0,0,交易處理資料__3[[#This Row],[售出工時]]/交易處理資料__3[[#This Row],[上班時間]])</f>
        <v>0.10024154589371981</v>
      </c>
      <c r="O973" s="31" t="str">
        <f>IF(交易處理資料__3[[#This Row],[上班時間]]=0,"否","是")</f>
        <v>是</v>
      </c>
    </row>
    <row r="974" spans="1:15" hidden="1">
      <c r="A974" t="s">
        <v>75</v>
      </c>
      <c r="B974" t="s">
        <v>20</v>
      </c>
      <c r="C974">
        <v>1.25</v>
      </c>
      <c r="D974">
        <v>4.1500000000000004</v>
      </c>
      <c r="E974" s="27">
        <v>30.12048193</v>
      </c>
      <c r="F974">
        <v>5.55</v>
      </c>
      <c r="G974">
        <v>4.5999999999999996</v>
      </c>
      <c r="H974">
        <v>10.15</v>
      </c>
      <c r="I974">
        <v>54.68</v>
      </c>
      <c r="J974">
        <v>12.32</v>
      </c>
      <c r="K974" s="9">
        <v>45316</v>
      </c>
      <c r="L974">
        <f xml:space="preserve"> (交易處理資料__3[[#This Row],[售出工時]] * 60) / 5</f>
        <v>15</v>
      </c>
      <c r="M974" t="str">
        <f>VLOOKUP(交易處理資料__3[[#This Row],[人員代號]],團隊分組!$B$1:$C$52,2,FALSE)</f>
        <v>查修團隊B</v>
      </c>
      <c r="N974">
        <f>IF(交易處理資料__3[[#This Row],[上班時間]]=0,0,交易處理資料__3[[#This Row],[售出工時]]/交易處理資料__3[[#This Row],[上班時間]])</f>
        <v>0.12315270935960591</v>
      </c>
      <c r="O974" s="31" t="str">
        <f>IF(交易處理資料__3[[#This Row],[上班時間]]=0,"否","是")</f>
        <v>是</v>
      </c>
    </row>
    <row r="975" spans="1:15" hidden="1">
      <c r="A975" t="s">
        <v>75</v>
      </c>
      <c r="B975" t="s">
        <v>22</v>
      </c>
      <c r="C975">
        <v>0</v>
      </c>
      <c r="D975">
        <v>0</v>
      </c>
      <c r="E975" s="27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 s="9">
        <v>45316</v>
      </c>
      <c r="L975">
        <f xml:space="preserve"> (交易處理資料__3[[#This Row],[售出工時]] * 60) / 5</f>
        <v>0</v>
      </c>
      <c r="M975" t="str">
        <f>VLOOKUP(交易處理資料__3[[#This Row],[人員代號]],團隊分組!$B$1:$C$52,2,FALSE)</f>
        <v>快速保養團隊A</v>
      </c>
      <c r="N975">
        <f>IF(交易處理資料__3[[#This Row],[上班時間]]=0,0,交易處理資料__3[[#This Row],[售出工時]]/交易處理資料__3[[#This Row],[上班時間]])</f>
        <v>0</v>
      </c>
      <c r="O975" s="31" t="str">
        <f>IF(交易處理資料__3[[#This Row],[上班時間]]=0,"否","是")</f>
        <v>否</v>
      </c>
    </row>
    <row r="976" spans="1:15" hidden="1">
      <c r="A976" t="s">
        <v>75</v>
      </c>
      <c r="B976" t="s">
        <v>23</v>
      </c>
      <c r="C976">
        <v>5.25</v>
      </c>
      <c r="D976">
        <v>4.51</v>
      </c>
      <c r="E976" s="27">
        <v>116.4079823</v>
      </c>
      <c r="F976">
        <v>9.4499999999999993</v>
      </c>
      <c r="G976">
        <v>1.03</v>
      </c>
      <c r="H976">
        <v>10.48</v>
      </c>
      <c r="I976">
        <v>90.17</v>
      </c>
      <c r="J976">
        <v>50.1</v>
      </c>
      <c r="K976" s="9">
        <v>45316</v>
      </c>
      <c r="L976">
        <f xml:space="preserve"> (交易處理資料__3[[#This Row],[售出工時]] * 60) / 5</f>
        <v>63</v>
      </c>
      <c r="M976" t="str">
        <f>VLOOKUP(交易處理資料__3[[#This Row],[人員代號]],團隊分組!$B$1:$C$52,2,FALSE)</f>
        <v>快速保養團隊B</v>
      </c>
      <c r="N976">
        <f>IF(交易處理資料__3[[#This Row],[上班時間]]=0,0,交易處理資料__3[[#This Row],[售出工時]]/交易處理資料__3[[#This Row],[上班時間]])</f>
        <v>0.50095419847328237</v>
      </c>
      <c r="O976" s="31" t="str">
        <f>IF(交易處理資料__3[[#This Row],[上班時間]]=0,"否","是")</f>
        <v>是</v>
      </c>
    </row>
    <row r="977" spans="1:15" hidden="1">
      <c r="A977" t="s">
        <v>75</v>
      </c>
      <c r="B977" t="s">
        <v>26</v>
      </c>
      <c r="C977">
        <v>1</v>
      </c>
      <c r="D977">
        <v>1.4</v>
      </c>
      <c r="E977" s="27">
        <v>71.428571430000005</v>
      </c>
      <c r="F977">
        <v>9.6300000000000008</v>
      </c>
      <c r="G977">
        <v>0.74</v>
      </c>
      <c r="H977">
        <v>10.37</v>
      </c>
      <c r="I977">
        <v>92.86</v>
      </c>
      <c r="J977">
        <v>9.64</v>
      </c>
      <c r="K977" s="9">
        <v>45316</v>
      </c>
      <c r="L977">
        <f xml:space="preserve"> (交易處理資料__3[[#This Row],[售出工時]] * 60) / 5</f>
        <v>12</v>
      </c>
      <c r="M977" t="str">
        <f>VLOOKUP(交易處理資料__3[[#This Row],[人員代號]],團隊分組!$B$1:$C$52,2,FALSE)</f>
        <v>查修團隊B</v>
      </c>
      <c r="N977">
        <f>IF(交易處理資料__3[[#This Row],[上班時間]]=0,0,交易處理資料__3[[#This Row],[售出工時]]/交易處理資料__3[[#This Row],[上班時間]])</f>
        <v>9.643201542912247E-2</v>
      </c>
      <c r="O977" s="31" t="str">
        <f>IF(交易處理資料__3[[#This Row],[上班時間]]=0,"否","是")</f>
        <v>是</v>
      </c>
    </row>
    <row r="978" spans="1:15" hidden="1">
      <c r="A978" t="s">
        <v>75</v>
      </c>
      <c r="B978" t="s">
        <v>32</v>
      </c>
      <c r="C978">
        <v>11.45333333</v>
      </c>
      <c r="D978">
        <v>5.77</v>
      </c>
      <c r="E978" s="27">
        <v>198.49797799999999</v>
      </c>
      <c r="F978">
        <v>9.11</v>
      </c>
      <c r="G978">
        <v>1.2</v>
      </c>
      <c r="H978">
        <v>10.31</v>
      </c>
      <c r="I978">
        <v>88.36</v>
      </c>
      <c r="J978">
        <v>111.09</v>
      </c>
      <c r="K978" s="9">
        <v>45316</v>
      </c>
      <c r="L978">
        <f xml:space="preserve"> (交易處理資料__3[[#This Row],[售出工時]] * 60) / 5</f>
        <v>137.43999995999999</v>
      </c>
      <c r="M978" t="str">
        <f>VLOOKUP(交易處理資料__3[[#This Row],[人員代號]],團隊分組!$B$1:$C$52,2,FALSE)</f>
        <v>快速保養團隊B</v>
      </c>
      <c r="N978">
        <f>IF(交易處理資料__3[[#This Row],[上班時間]]=0,0,交易處理資料__3[[#This Row],[售出工時]]/交易處理資料__3[[#This Row],[上班時間]])</f>
        <v>1.1108955703200776</v>
      </c>
      <c r="O978" s="31" t="str">
        <f>IF(交易處理資料__3[[#This Row],[上班時間]]=0,"否","是")</f>
        <v>是</v>
      </c>
    </row>
    <row r="979" spans="1:15">
      <c r="A979" t="s">
        <v>75</v>
      </c>
      <c r="B979" t="s">
        <v>33</v>
      </c>
      <c r="C979">
        <v>0</v>
      </c>
      <c r="D979">
        <v>0</v>
      </c>
      <c r="E979" s="27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 s="9">
        <v>45316</v>
      </c>
      <c r="L979">
        <f xml:space="preserve"> (交易處理資料__3[[#This Row],[售出工時]] * 60) / 5</f>
        <v>0</v>
      </c>
      <c r="M979" t="str">
        <f>VLOOKUP(交易處理資料__3[[#This Row],[人員代號]],團隊分組!$B$1:$C$52,2,FALSE)</f>
        <v>快速保養團隊B</v>
      </c>
      <c r="N979">
        <f>IF(交易處理資料__3[[#This Row],[上班時間]]=0,0,交易處理資料__3[[#This Row],[售出工時]]/交易處理資料__3[[#This Row],[上班時間]])</f>
        <v>0</v>
      </c>
      <c r="O979" s="31" t="str">
        <f>IF(交易處理資料__3[[#This Row],[上班時間]]=0,"否","是")</f>
        <v>否</v>
      </c>
    </row>
    <row r="980" spans="1:15" hidden="1">
      <c r="A980" t="s">
        <v>75</v>
      </c>
      <c r="B980" t="s">
        <v>34</v>
      </c>
      <c r="C980">
        <v>6.3333333329999997</v>
      </c>
      <c r="D980">
        <v>4.1500000000000004</v>
      </c>
      <c r="E980" s="27">
        <v>152.61044179999999</v>
      </c>
      <c r="F980">
        <v>9.61</v>
      </c>
      <c r="G980">
        <v>0.8</v>
      </c>
      <c r="H980">
        <v>10.41</v>
      </c>
      <c r="I980">
        <v>92.32</v>
      </c>
      <c r="J980">
        <v>60.84</v>
      </c>
      <c r="K980" s="9">
        <v>45316</v>
      </c>
      <c r="L980">
        <f xml:space="preserve"> (交易處理資料__3[[#This Row],[售出工時]] * 60) / 5</f>
        <v>75.999999996</v>
      </c>
      <c r="M980" t="str">
        <f>VLOOKUP(交易處理資料__3[[#This Row],[人員代號]],團隊分組!$B$1:$C$52,2,FALSE)</f>
        <v>快速保養團隊A</v>
      </c>
      <c r="N980">
        <f>IF(交易處理資料__3[[#This Row],[上班時間]]=0,0,交易處理資料__3[[#This Row],[售出工時]]/交易處理資料__3[[#This Row],[上班時間]])</f>
        <v>0.60838936916426511</v>
      </c>
      <c r="O980" s="31" t="str">
        <f>IF(交易處理資料__3[[#This Row],[上班時間]]=0,"否","是")</f>
        <v>是</v>
      </c>
    </row>
    <row r="981" spans="1:15" hidden="1">
      <c r="A981" t="s">
        <v>75</v>
      </c>
      <c r="B981" t="s">
        <v>35</v>
      </c>
      <c r="C981">
        <v>5.25</v>
      </c>
      <c r="D981">
        <v>9.36</v>
      </c>
      <c r="E981" s="27">
        <v>56.089743589999998</v>
      </c>
      <c r="F981">
        <v>5.35</v>
      </c>
      <c r="G981">
        <v>4.8</v>
      </c>
      <c r="H981">
        <v>10.15</v>
      </c>
      <c r="I981">
        <v>52.71</v>
      </c>
      <c r="J981">
        <v>51.72</v>
      </c>
      <c r="K981" s="9">
        <v>45316</v>
      </c>
      <c r="L981">
        <f xml:space="preserve"> (交易處理資料__3[[#This Row],[售出工時]] * 60) / 5</f>
        <v>63</v>
      </c>
      <c r="M981" t="str">
        <f>VLOOKUP(交易處理資料__3[[#This Row],[人員代號]],團隊分組!$B$1:$C$52,2,FALSE)</f>
        <v>查修團隊B</v>
      </c>
      <c r="N981">
        <f>IF(交易處理資料__3[[#This Row],[上班時間]]=0,0,交易處理資料__3[[#This Row],[售出工時]]/交易處理資料__3[[#This Row],[上班時間]])</f>
        <v>0.51724137931034486</v>
      </c>
      <c r="O981" s="31" t="str">
        <f>IF(交易處理資料__3[[#This Row],[上班時間]]=0,"否","是")</f>
        <v>是</v>
      </c>
    </row>
    <row r="982" spans="1:15" hidden="1">
      <c r="A982" t="s">
        <v>75</v>
      </c>
      <c r="B982" t="s">
        <v>36</v>
      </c>
      <c r="C982">
        <v>2.2966666670000002</v>
      </c>
      <c r="D982">
        <v>4.6100000000000003</v>
      </c>
      <c r="E982" s="27">
        <v>49.81923355</v>
      </c>
      <c r="F982">
        <v>7.72</v>
      </c>
      <c r="G982">
        <v>0.71</v>
      </c>
      <c r="H982">
        <v>8.43</v>
      </c>
      <c r="I982">
        <v>91.58</v>
      </c>
      <c r="J982">
        <v>27.24</v>
      </c>
      <c r="K982" s="9">
        <v>45316</v>
      </c>
      <c r="L982">
        <f xml:space="preserve"> (交易處理資料__3[[#This Row],[售出工時]] * 60) / 5</f>
        <v>27.560000004000006</v>
      </c>
      <c r="M982" t="str">
        <f>VLOOKUP(交易處理資料__3[[#This Row],[人員代號]],團隊分組!$B$1:$C$52,2,FALSE)</f>
        <v>查修團隊B</v>
      </c>
      <c r="N982">
        <f>IF(交易處理資料__3[[#This Row],[上班時間]]=0,0,交易處理資料__3[[#This Row],[售出工時]]/交易處理資料__3[[#This Row],[上班時間]])</f>
        <v>0.27243969952550418</v>
      </c>
      <c r="O982" s="31" t="str">
        <f>IF(交易處理資料__3[[#This Row],[上班時間]]=0,"否","是")</f>
        <v>是</v>
      </c>
    </row>
    <row r="983" spans="1:15" hidden="1">
      <c r="A983" t="s">
        <v>75</v>
      </c>
      <c r="B983" t="s">
        <v>38</v>
      </c>
      <c r="C983">
        <v>16</v>
      </c>
      <c r="D983">
        <v>9.89</v>
      </c>
      <c r="E983" s="27">
        <v>161.7795753</v>
      </c>
      <c r="F983">
        <v>10.17</v>
      </c>
      <c r="G983">
        <v>1.01</v>
      </c>
      <c r="H983">
        <v>11.18</v>
      </c>
      <c r="I983">
        <v>90.97</v>
      </c>
      <c r="J983">
        <v>143.11000000000001</v>
      </c>
      <c r="K983" s="9">
        <v>45316</v>
      </c>
      <c r="L983">
        <f xml:space="preserve"> (交易處理資料__3[[#This Row],[售出工時]] * 60) / 5</f>
        <v>192</v>
      </c>
      <c r="M983" t="str">
        <f>VLOOKUP(交易處理資料__3[[#This Row],[人員代號]],團隊分組!$B$1:$C$52,2,FALSE)</f>
        <v>快速保養團隊A</v>
      </c>
      <c r="N983">
        <f>IF(交易處理資料__3[[#This Row],[上班時間]]=0,0,交易處理資料__3[[#This Row],[售出工時]]/交易處理資料__3[[#This Row],[上班時間]])</f>
        <v>1.4311270125223614</v>
      </c>
      <c r="O983" s="31" t="str">
        <f>IF(交易處理資料__3[[#This Row],[上班時間]]=0,"否","是")</f>
        <v>是</v>
      </c>
    </row>
    <row r="984" spans="1:15" hidden="1">
      <c r="A984" t="s">
        <v>75</v>
      </c>
      <c r="B984" t="s">
        <v>39</v>
      </c>
      <c r="C984">
        <v>2.75</v>
      </c>
      <c r="D984">
        <v>6.55</v>
      </c>
      <c r="E984" s="27">
        <v>41.984732819999998</v>
      </c>
      <c r="F984">
        <v>8.7899999999999991</v>
      </c>
      <c r="G984">
        <v>1.2</v>
      </c>
      <c r="H984">
        <v>9.99</v>
      </c>
      <c r="I984">
        <v>87.99</v>
      </c>
      <c r="J984">
        <v>27.53</v>
      </c>
      <c r="K984" s="9">
        <v>45316</v>
      </c>
      <c r="L984">
        <f xml:space="preserve"> (交易處理資料__3[[#This Row],[售出工時]] * 60) / 5</f>
        <v>33</v>
      </c>
      <c r="M984" t="str">
        <f>VLOOKUP(交易處理資料__3[[#This Row],[人員代號]],團隊分組!$B$1:$C$52,2,FALSE)</f>
        <v>查修團隊A</v>
      </c>
      <c r="N984">
        <f>IF(交易處理資料__3[[#This Row],[上班時間]]=0,0,交易處理資料__3[[#This Row],[售出工時]]/交易處理資料__3[[#This Row],[上班時間]])</f>
        <v>0.27527527527527529</v>
      </c>
      <c r="O984" s="31" t="str">
        <f>IF(交易處理資料__3[[#This Row],[上班時間]]=0,"否","是")</f>
        <v>是</v>
      </c>
    </row>
    <row r="985" spans="1:15" hidden="1">
      <c r="A985" t="s">
        <v>75</v>
      </c>
      <c r="B985" t="s">
        <v>40</v>
      </c>
      <c r="C985">
        <v>0</v>
      </c>
      <c r="D985">
        <v>0</v>
      </c>
      <c r="E985" s="27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 s="9">
        <v>45316</v>
      </c>
      <c r="L985">
        <f xml:space="preserve"> (交易處理資料__3[[#This Row],[售出工時]] * 60) / 5</f>
        <v>0</v>
      </c>
      <c r="M985" t="str">
        <f>VLOOKUP(交易處理資料__3[[#This Row],[人員代號]],團隊分組!$B$1:$C$52,2,FALSE)</f>
        <v>查修團隊A</v>
      </c>
      <c r="N985">
        <f>IF(交易處理資料__3[[#This Row],[上班時間]]=0,0,交易處理資料__3[[#This Row],[售出工時]]/交易處理資料__3[[#This Row],[上班時間]])</f>
        <v>0</v>
      </c>
      <c r="O985" s="31" t="str">
        <f>IF(交易處理資料__3[[#This Row],[上班時間]]=0,"否","是")</f>
        <v>否</v>
      </c>
    </row>
    <row r="986" spans="1:15" hidden="1">
      <c r="A986" t="s">
        <v>75</v>
      </c>
      <c r="B986" t="s">
        <v>41</v>
      </c>
      <c r="C986">
        <v>11.66666667</v>
      </c>
      <c r="D986">
        <v>6.08</v>
      </c>
      <c r="E986" s="27">
        <v>191.8859649</v>
      </c>
      <c r="F986">
        <v>7.81</v>
      </c>
      <c r="G986">
        <v>0.46</v>
      </c>
      <c r="H986">
        <v>8.27</v>
      </c>
      <c r="I986">
        <v>94.44</v>
      </c>
      <c r="J986">
        <v>141.07</v>
      </c>
      <c r="K986" s="9">
        <v>45316</v>
      </c>
      <c r="L986">
        <f xml:space="preserve"> (交易處理資料__3[[#This Row],[售出工時]] * 60) / 5</f>
        <v>140.00000003999997</v>
      </c>
      <c r="M986" t="str">
        <f>VLOOKUP(交易處理資料__3[[#This Row],[人員代號]],團隊分組!$B$1:$C$52,2,FALSE)</f>
        <v>快速保養團隊A</v>
      </c>
      <c r="N986">
        <f>IF(交易處理資料__3[[#This Row],[上班時間]]=0,0,交易處理資料__3[[#This Row],[售出工時]]/交易處理資料__3[[#This Row],[上班時間]])</f>
        <v>1.4107214836759372</v>
      </c>
      <c r="O986" s="31" t="str">
        <f>IF(交易處理資料__3[[#This Row],[上班時間]]=0,"否","是")</f>
        <v>是</v>
      </c>
    </row>
    <row r="987" spans="1:15" hidden="1">
      <c r="A987" t="s">
        <v>75</v>
      </c>
      <c r="B987" t="s">
        <v>43</v>
      </c>
      <c r="C987">
        <v>1.286666667</v>
      </c>
      <c r="D987">
        <v>3.36</v>
      </c>
      <c r="E987" s="27">
        <v>38.293650790000001</v>
      </c>
      <c r="F987">
        <v>7.7</v>
      </c>
      <c r="G987">
        <v>0.72</v>
      </c>
      <c r="H987">
        <v>8.42</v>
      </c>
      <c r="I987">
        <v>91.45</v>
      </c>
      <c r="J987">
        <v>15.28</v>
      </c>
      <c r="K987" s="9">
        <v>45316</v>
      </c>
      <c r="L987">
        <f xml:space="preserve"> (交易處理資料__3[[#This Row],[售出工時]] * 60) / 5</f>
        <v>15.440000004000002</v>
      </c>
      <c r="M987" t="str">
        <f>VLOOKUP(交易處理資料__3[[#This Row],[人員代號]],團隊分組!$B$1:$C$52,2,FALSE)</f>
        <v>查修團隊B</v>
      </c>
      <c r="N987">
        <f>IF(交易處理資料__3[[#This Row],[上班時間]]=0,0,交易處理資料__3[[#This Row],[售出工時]]/交易處理資料__3[[#This Row],[上班時間]])</f>
        <v>0.15281076805225652</v>
      </c>
      <c r="O987" s="31" t="str">
        <f>IF(交易處理資料__3[[#This Row],[上班時間]]=0,"否","是")</f>
        <v>是</v>
      </c>
    </row>
    <row r="988" spans="1:15" hidden="1">
      <c r="A988" t="s">
        <v>75</v>
      </c>
      <c r="B988" t="s">
        <v>46</v>
      </c>
      <c r="C988">
        <v>0</v>
      </c>
      <c r="D988">
        <v>0</v>
      </c>
      <c r="E988" s="27">
        <v>0</v>
      </c>
      <c r="F988">
        <v>7.15</v>
      </c>
      <c r="G988">
        <v>1.07</v>
      </c>
      <c r="H988">
        <v>8.2200000000000006</v>
      </c>
      <c r="I988">
        <v>86.98</v>
      </c>
      <c r="J988">
        <v>0</v>
      </c>
      <c r="K988" s="9">
        <v>45316</v>
      </c>
      <c r="L988">
        <f xml:space="preserve"> (交易處理資料__3[[#This Row],[售出工時]] * 60) / 5</f>
        <v>0</v>
      </c>
      <c r="M988" t="str">
        <f>VLOOKUP(交易處理資料__3[[#This Row],[人員代號]],團隊分組!$B$1:$C$52,2,FALSE)</f>
        <v>查修團隊B</v>
      </c>
      <c r="N988">
        <f>IF(交易處理資料__3[[#This Row],[上班時間]]=0,0,交易處理資料__3[[#This Row],[售出工時]]/交易處理資料__3[[#This Row],[上班時間]])</f>
        <v>0</v>
      </c>
      <c r="O988" s="31" t="str">
        <f>IF(交易處理資料__3[[#This Row],[上班時間]]=0,"否","是")</f>
        <v>是</v>
      </c>
    </row>
    <row r="989" spans="1:15" hidden="1">
      <c r="A989" t="s">
        <v>75</v>
      </c>
      <c r="B989" t="s">
        <v>47</v>
      </c>
      <c r="C989">
        <v>2.4166666669999999</v>
      </c>
      <c r="D989">
        <v>2.72</v>
      </c>
      <c r="E989" s="27">
        <v>88.848039220000004</v>
      </c>
      <c r="F989">
        <v>3.98</v>
      </c>
      <c r="G989">
        <v>4.3</v>
      </c>
      <c r="H989">
        <v>8.2799999999999994</v>
      </c>
      <c r="I989">
        <v>48.07</v>
      </c>
      <c r="J989">
        <v>29.19</v>
      </c>
      <c r="K989" s="9">
        <v>45316</v>
      </c>
      <c r="L989">
        <f xml:space="preserve"> (交易處理資料__3[[#This Row],[售出工時]] * 60) / 5</f>
        <v>29.000000003999997</v>
      </c>
      <c r="M989" t="str">
        <f>VLOOKUP(交易處理資料__3[[#This Row],[人員代號]],團隊分組!$B$1:$C$52,2,FALSE)</f>
        <v>查修團隊B</v>
      </c>
      <c r="N989">
        <f>IF(交易處理資料__3[[#This Row],[上班時間]]=0,0,交易處理資料__3[[#This Row],[售出工時]]/交易處理資料__3[[#This Row],[上班時間]])</f>
        <v>0.29186795495169082</v>
      </c>
      <c r="O989" s="31" t="str">
        <f>IF(交易處理資料__3[[#This Row],[上班時間]]=0,"否","是")</f>
        <v>是</v>
      </c>
    </row>
    <row r="990" spans="1:15" hidden="1">
      <c r="A990" t="s">
        <v>75</v>
      </c>
      <c r="B990" t="s">
        <v>48</v>
      </c>
      <c r="C990">
        <v>2.5</v>
      </c>
      <c r="D990">
        <v>5.0599999999999996</v>
      </c>
      <c r="E990" s="27">
        <v>49.407114620000002</v>
      </c>
      <c r="F990">
        <v>5.0599999999999996</v>
      </c>
      <c r="G990">
        <v>3.03</v>
      </c>
      <c r="H990">
        <v>8.09</v>
      </c>
      <c r="I990">
        <v>62.55</v>
      </c>
      <c r="J990">
        <v>30.9</v>
      </c>
      <c r="K990" s="9">
        <v>45316</v>
      </c>
      <c r="L990">
        <f xml:space="preserve"> (交易處理資料__3[[#This Row],[售出工時]] * 60) / 5</f>
        <v>30</v>
      </c>
      <c r="M990" t="str">
        <f>VLOOKUP(交易處理資料__3[[#This Row],[人員代號]],團隊分組!$B$1:$C$52,2,FALSE)</f>
        <v>查修團隊A</v>
      </c>
      <c r="N990">
        <f>IF(交易處理資料__3[[#This Row],[上班時間]]=0,0,交易處理資料__3[[#This Row],[售出工時]]/交易處理資料__3[[#This Row],[上班時間]])</f>
        <v>0.30902348578491967</v>
      </c>
      <c r="O990" s="31" t="str">
        <f>IF(交易處理資料__3[[#This Row],[上班時間]]=0,"否","是")</f>
        <v>是</v>
      </c>
    </row>
    <row r="991" spans="1:15" hidden="1">
      <c r="A991" t="s">
        <v>75</v>
      </c>
      <c r="B991" t="s">
        <v>51</v>
      </c>
      <c r="C991">
        <v>0</v>
      </c>
      <c r="D991">
        <v>0</v>
      </c>
      <c r="E991" s="27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 s="9">
        <v>45316</v>
      </c>
      <c r="L991">
        <f xml:space="preserve"> (交易處理資料__3[[#This Row],[售出工時]] * 60) / 5</f>
        <v>0</v>
      </c>
      <c r="M991" t="str">
        <f>VLOOKUP(交易處理資料__3[[#This Row],[人員代號]],團隊分組!$B$1:$C$52,2,FALSE)</f>
        <v>無效數據</v>
      </c>
      <c r="N991">
        <f>IF(交易處理資料__3[[#This Row],[上班時間]]=0,0,交易處理資料__3[[#This Row],[售出工時]]/交易處理資料__3[[#This Row],[上班時間]])</f>
        <v>0</v>
      </c>
      <c r="O991" s="31" t="str">
        <f>IF(交易處理資料__3[[#This Row],[上班時間]]=0,"否","是")</f>
        <v>否</v>
      </c>
    </row>
    <row r="992" spans="1:15" hidden="1">
      <c r="A992" s="10" t="s">
        <v>73</v>
      </c>
      <c r="B992" t="s">
        <v>4</v>
      </c>
      <c r="C992">
        <v>0.5</v>
      </c>
      <c r="D992">
        <v>3.65</v>
      </c>
      <c r="E992" s="27">
        <v>13.698630140000001</v>
      </c>
      <c r="F992">
        <v>6.86</v>
      </c>
      <c r="G992">
        <v>1.05</v>
      </c>
      <c r="H992">
        <v>7.91</v>
      </c>
      <c r="I992">
        <v>86.73</v>
      </c>
      <c r="J992">
        <v>6.32</v>
      </c>
      <c r="K992" s="9">
        <v>45317</v>
      </c>
      <c r="L992">
        <f xml:space="preserve"> (交易處理資料__3[[#This Row],[售出工時]] * 60) / 5</f>
        <v>6</v>
      </c>
      <c r="M992" t="str">
        <f>VLOOKUP(交易處理資料__3[[#This Row],[人員代號]],團隊分組!$B$1:$C$52,2,FALSE)</f>
        <v>噴漆維修組</v>
      </c>
      <c r="N992">
        <f>IF(交易處理資料__3[[#This Row],[上班時間]]=0,0,交易處理資料__3[[#This Row],[售出工時]]/交易處理資料__3[[#This Row],[上班時間]])</f>
        <v>6.3211125158027806E-2</v>
      </c>
      <c r="O992" s="31" t="str">
        <f>IF(交易處理資料__3[[#This Row],[上班時間]]=0,"否","是")</f>
        <v>是</v>
      </c>
    </row>
    <row r="993" spans="1:15" hidden="1">
      <c r="A993" s="10" t="s">
        <v>73</v>
      </c>
      <c r="B993" t="s">
        <v>8</v>
      </c>
      <c r="C993">
        <v>2.17</v>
      </c>
      <c r="D993">
        <v>7.33</v>
      </c>
      <c r="E993" s="27">
        <v>29.604365619999999</v>
      </c>
      <c r="F993">
        <v>6.86</v>
      </c>
      <c r="G993">
        <v>1.05</v>
      </c>
      <c r="H993">
        <v>7.91</v>
      </c>
      <c r="I993">
        <v>86.73</v>
      </c>
      <c r="J993">
        <v>27.43</v>
      </c>
      <c r="K993" s="9">
        <v>45317</v>
      </c>
      <c r="L993">
        <f xml:space="preserve"> (交易處理資料__3[[#This Row],[售出工時]] * 60) / 5</f>
        <v>26.04</v>
      </c>
      <c r="M993" t="str">
        <f>VLOOKUP(交易處理資料__3[[#This Row],[人員代號]],團隊分組!$B$1:$C$52,2,FALSE)</f>
        <v>噴漆維修組</v>
      </c>
      <c r="N993">
        <f>IF(交易處理資料__3[[#This Row],[上班時間]]=0,0,交易處理資料__3[[#This Row],[售出工時]]/交易處理資料__3[[#This Row],[上班時間]])</f>
        <v>0.27433628318584069</v>
      </c>
      <c r="O993" s="31" t="str">
        <f>IF(交易處理資料__3[[#This Row],[上班時間]]=0,"否","是")</f>
        <v>是</v>
      </c>
    </row>
    <row r="994" spans="1:15" hidden="1">
      <c r="A994" s="10" t="s">
        <v>73</v>
      </c>
      <c r="B994" t="s">
        <v>9</v>
      </c>
      <c r="C994">
        <v>5.1666666670000003</v>
      </c>
      <c r="D994">
        <v>3.43</v>
      </c>
      <c r="E994" s="27">
        <v>150.6316812</v>
      </c>
      <c r="F994">
        <v>7.12</v>
      </c>
      <c r="G994">
        <v>0.86</v>
      </c>
      <c r="H994">
        <v>7.98</v>
      </c>
      <c r="I994">
        <v>89.22</v>
      </c>
      <c r="J994">
        <v>64.75</v>
      </c>
      <c r="K994" s="9">
        <v>45317</v>
      </c>
      <c r="L994">
        <f xml:space="preserve"> (交易處理資料__3[[#This Row],[售出工時]] * 60) / 5</f>
        <v>62.000000004</v>
      </c>
      <c r="M994" t="str">
        <f>VLOOKUP(交易處理資料__3[[#This Row],[人員代號]],團隊分組!$B$1:$C$52,2,FALSE)</f>
        <v>噴漆維修組</v>
      </c>
      <c r="N994">
        <f>IF(交易處理資料__3[[#This Row],[上班時間]]=0,0,交易處理資料__3[[#This Row],[售出工時]]/交易處理資料__3[[#This Row],[上班時間]])</f>
        <v>0.64745196328320798</v>
      </c>
      <c r="O994" s="31" t="str">
        <f>IF(交易處理資料__3[[#This Row],[上班時間]]=0,"否","是")</f>
        <v>是</v>
      </c>
    </row>
    <row r="995" spans="1:15" hidden="1">
      <c r="A995" t="s">
        <v>74</v>
      </c>
      <c r="B995" t="s">
        <v>12</v>
      </c>
      <c r="C995">
        <v>6.4166666670000003</v>
      </c>
      <c r="D995">
        <v>7.88</v>
      </c>
      <c r="E995" s="27">
        <v>81.429780030000003</v>
      </c>
      <c r="F995">
        <v>2.4500000000000002</v>
      </c>
      <c r="G995">
        <v>5.6</v>
      </c>
      <c r="H995">
        <v>8.0500000000000007</v>
      </c>
      <c r="I995">
        <v>30.43</v>
      </c>
      <c r="J995">
        <v>79.709999999999994</v>
      </c>
      <c r="K995" s="9">
        <v>45317</v>
      </c>
      <c r="L995">
        <f xml:space="preserve"> (交易處理資料__3[[#This Row],[售出工時]] * 60) / 5</f>
        <v>77.000000004</v>
      </c>
      <c r="M995" t="str">
        <f>VLOOKUP(交易處理資料__3[[#This Row],[人員代號]],團隊分組!$B$1:$C$52,2,FALSE)</f>
        <v>鈑金維修組</v>
      </c>
      <c r="N995">
        <f>IF(交易處理資料__3[[#This Row],[上班時間]]=0,0,交易處理資料__3[[#This Row],[售出工時]]/交易處理資料__3[[#This Row],[上班時間]])</f>
        <v>0.79710144931677018</v>
      </c>
      <c r="O995" s="31" t="str">
        <f>IF(交易處理資料__3[[#This Row],[上班時間]]=0,"否","是")</f>
        <v>是</v>
      </c>
    </row>
    <row r="996" spans="1:15" hidden="1">
      <c r="A996" t="s">
        <v>74</v>
      </c>
      <c r="B996" t="s">
        <v>13</v>
      </c>
      <c r="C996">
        <v>17.84333333</v>
      </c>
      <c r="D996">
        <v>6.94</v>
      </c>
      <c r="E996" s="27">
        <v>257.10854949999998</v>
      </c>
      <c r="F996">
        <v>6.58</v>
      </c>
      <c r="G996">
        <v>1.48</v>
      </c>
      <c r="H996">
        <v>8.06</v>
      </c>
      <c r="I996">
        <v>81.64</v>
      </c>
      <c r="J996">
        <v>221.38</v>
      </c>
      <c r="K996" s="9">
        <v>45317</v>
      </c>
      <c r="L996">
        <f xml:space="preserve"> (交易處理資料__3[[#This Row],[售出工時]] * 60) / 5</f>
        <v>214.11999996</v>
      </c>
      <c r="M996" t="str">
        <f>VLOOKUP(交易處理資料__3[[#This Row],[人員代號]],團隊分組!$B$1:$C$52,2,FALSE)</f>
        <v>鈑金維修組</v>
      </c>
      <c r="N996">
        <f>IF(交易處理資料__3[[#This Row],[上班時間]]=0,0,交易處理資料__3[[#This Row],[售出工時]]/交易處理資料__3[[#This Row],[上班時間]])</f>
        <v>2.2138130682382133</v>
      </c>
      <c r="O996" s="31" t="str">
        <f>IF(交易處理資料__3[[#This Row],[上班時間]]=0,"否","是")</f>
        <v>是</v>
      </c>
    </row>
    <row r="997" spans="1:15" hidden="1">
      <c r="A997" t="s">
        <v>75</v>
      </c>
      <c r="B997" t="s">
        <v>18</v>
      </c>
      <c r="C997">
        <v>1.9166666670000001</v>
      </c>
      <c r="D997">
        <v>1.68</v>
      </c>
      <c r="E997" s="27">
        <v>114.0873016</v>
      </c>
      <c r="F997">
        <v>5.0999999999999996</v>
      </c>
      <c r="G997">
        <v>4.0999999999999996</v>
      </c>
      <c r="H997">
        <v>9.1999999999999993</v>
      </c>
      <c r="I997">
        <v>55.43</v>
      </c>
      <c r="J997">
        <v>20.83</v>
      </c>
      <c r="K997" s="9">
        <v>45317</v>
      </c>
      <c r="L997">
        <f xml:space="preserve"> (交易處理資料__3[[#This Row],[售出工時]] * 60) / 5</f>
        <v>23.000000004</v>
      </c>
      <c r="M997" t="str">
        <f>VLOOKUP(交易處理資料__3[[#This Row],[人員代號]],團隊分組!$B$1:$C$52,2,FALSE)</f>
        <v>查修團隊B</v>
      </c>
      <c r="N997">
        <f>IF(交易處理資料__3[[#This Row],[上班時間]]=0,0,交易處理資料__3[[#This Row],[售出工時]]/交易處理資料__3[[#This Row],[上班時間]])</f>
        <v>0.20833333336956525</v>
      </c>
      <c r="O997" s="31" t="str">
        <f>IF(交易處理資料__3[[#This Row],[上班時間]]=0,"否","是")</f>
        <v>是</v>
      </c>
    </row>
    <row r="998" spans="1:15" hidden="1">
      <c r="A998" t="s">
        <v>75</v>
      </c>
      <c r="B998" t="s">
        <v>20</v>
      </c>
      <c r="C998">
        <v>0</v>
      </c>
      <c r="D998">
        <v>0</v>
      </c>
      <c r="E998" s="27">
        <v>0</v>
      </c>
      <c r="F998">
        <v>2.96</v>
      </c>
      <c r="G998">
        <v>6.02</v>
      </c>
      <c r="H998">
        <v>8.98</v>
      </c>
      <c r="I998">
        <v>32.96</v>
      </c>
      <c r="J998">
        <v>0</v>
      </c>
      <c r="K998" s="9">
        <v>45317</v>
      </c>
      <c r="L998">
        <f xml:space="preserve"> (交易處理資料__3[[#This Row],[售出工時]] * 60) / 5</f>
        <v>0</v>
      </c>
      <c r="M998" t="str">
        <f>VLOOKUP(交易處理資料__3[[#This Row],[人員代號]],團隊分組!$B$1:$C$52,2,FALSE)</f>
        <v>查修團隊B</v>
      </c>
      <c r="N998">
        <f>IF(交易處理資料__3[[#This Row],[上班時間]]=0,0,交易處理資料__3[[#This Row],[售出工時]]/交易處理資料__3[[#This Row],[上班時間]])</f>
        <v>0</v>
      </c>
      <c r="O998" s="31" t="str">
        <f>IF(交易處理資料__3[[#This Row],[上班時間]]=0,"否","是")</f>
        <v>是</v>
      </c>
    </row>
    <row r="999" spans="1:15" hidden="1">
      <c r="A999" t="s">
        <v>75</v>
      </c>
      <c r="B999" t="s">
        <v>21</v>
      </c>
      <c r="C999">
        <v>5.5833333329999997</v>
      </c>
      <c r="D999">
        <v>6.96</v>
      </c>
      <c r="E999" s="27">
        <v>80.22030651</v>
      </c>
      <c r="F999">
        <v>4.71</v>
      </c>
      <c r="G999">
        <v>4.28</v>
      </c>
      <c r="H999">
        <v>8.99</v>
      </c>
      <c r="I999">
        <v>52.39</v>
      </c>
      <c r="J999">
        <v>62.11</v>
      </c>
      <c r="K999" s="9">
        <v>45317</v>
      </c>
      <c r="L999">
        <f xml:space="preserve"> (交易處理資料__3[[#This Row],[售出工時]] * 60) / 5</f>
        <v>66.999999996</v>
      </c>
      <c r="M999" t="str">
        <f>VLOOKUP(交易處理資料__3[[#This Row],[人員代號]],團隊分組!$B$1:$C$52,2,FALSE)</f>
        <v>查修團隊B</v>
      </c>
      <c r="N999">
        <f>IF(交易處理資料__3[[#This Row],[上班時間]]=0,0,交易處理資料__3[[#This Row],[售出工時]]/交易處理資料__3[[#This Row],[上班時間]])</f>
        <v>0.62106043748609563</v>
      </c>
      <c r="O999" s="31" t="str">
        <f>IF(交易處理資料__3[[#This Row],[上班時間]]=0,"否","是")</f>
        <v>是</v>
      </c>
    </row>
    <row r="1000" spans="1:15" hidden="1">
      <c r="A1000" t="s">
        <v>75</v>
      </c>
      <c r="B1000" t="s">
        <v>22</v>
      </c>
      <c r="C1000">
        <v>0</v>
      </c>
      <c r="D1000">
        <v>0</v>
      </c>
      <c r="E1000" s="27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 s="9">
        <v>45317</v>
      </c>
      <c r="L1000">
        <f xml:space="preserve"> (交易處理資料__3[[#This Row],[售出工時]] * 60) / 5</f>
        <v>0</v>
      </c>
      <c r="M1000" t="str">
        <f>VLOOKUP(交易處理資料__3[[#This Row],[人員代號]],團隊分組!$B$1:$C$52,2,FALSE)</f>
        <v>快速保養團隊A</v>
      </c>
      <c r="N1000">
        <f>IF(交易處理資料__3[[#This Row],[上班時間]]=0,0,交易處理資料__3[[#This Row],[售出工時]]/交易處理資料__3[[#This Row],[上班時間]])</f>
        <v>0</v>
      </c>
      <c r="O1000" s="31" t="str">
        <f>IF(交易處理資料__3[[#This Row],[上班時間]]=0,"否","是")</f>
        <v>否</v>
      </c>
    </row>
    <row r="1001" spans="1:15" hidden="1">
      <c r="A1001" t="s">
        <v>75</v>
      </c>
      <c r="B1001" t="s">
        <v>26</v>
      </c>
      <c r="C1001">
        <v>0.33333333300000001</v>
      </c>
      <c r="D1001">
        <v>0.67</v>
      </c>
      <c r="E1001" s="27">
        <v>49.751243780000003</v>
      </c>
      <c r="F1001">
        <v>1.33</v>
      </c>
      <c r="G1001">
        <v>7.63</v>
      </c>
      <c r="H1001">
        <v>8.9600000000000009</v>
      </c>
      <c r="I1001">
        <v>14.84</v>
      </c>
      <c r="J1001">
        <v>3.72</v>
      </c>
      <c r="K1001" s="9">
        <v>45317</v>
      </c>
      <c r="L1001">
        <f xml:space="preserve"> (交易處理資料__3[[#This Row],[售出工時]] * 60) / 5</f>
        <v>3.9999999960000006</v>
      </c>
      <c r="M1001" t="str">
        <f>VLOOKUP(交易處理資料__3[[#This Row],[人員代號]],團隊分組!$B$1:$C$52,2,FALSE)</f>
        <v>查修團隊B</v>
      </c>
      <c r="N1001">
        <f>IF(交易處理資料__3[[#This Row],[上班時間]]=0,0,交易處理資料__3[[#This Row],[售出工時]]/交易處理資料__3[[#This Row],[上班時間]])</f>
        <v>3.7202380915178572E-2</v>
      </c>
      <c r="O1001" s="31" t="str">
        <f>IF(交易處理資料__3[[#This Row],[上班時間]]=0,"否","是")</f>
        <v>是</v>
      </c>
    </row>
    <row r="1002" spans="1:15" hidden="1">
      <c r="A1002" t="s">
        <v>75</v>
      </c>
      <c r="B1002" t="s">
        <v>28</v>
      </c>
      <c r="C1002">
        <v>9.4166666669999994</v>
      </c>
      <c r="D1002">
        <v>7.41</v>
      </c>
      <c r="E1002" s="27">
        <v>127.0805218</v>
      </c>
      <c r="F1002">
        <v>7.4</v>
      </c>
      <c r="G1002">
        <v>0.62</v>
      </c>
      <c r="H1002">
        <v>8.02</v>
      </c>
      <c r="I1002">
        <v>92.27</v>
      </c>
      <c r="J1002">
        <v>117.41</v>
      </c>
      <c r="K1002" s="9">
        <v>45317</v>
      </c>
      <c r="L1002">
        <f xml:space="preserve"> (交易處理資料__3[[#This Row],[售出工時]] * 60) / 5</f>
        <v>113.000000004</v>
      </c>
      <c r="M1002" t="str">
        <f>VLOOKUP(交易處理資料__3[[#This Row],[人員代號]],團隊分組!$B$1:$C$52,2,FALSE)</f>
        <v>快速保養團隊A</v>
      </c>
      <c r="N1002">
        <f>IF(交易處理資料__3[[#This Row],[上班時間]]=0,0,交易處理資料__3[[#This Row],[售出工時]]/交易處理資料__3[[#This Row],[上班時間]])</f>
        <v>1.1741479634663341</v>
      </c>
      <c r="O1002" s="31" t="str">
        <f>IF(交易處理資料__3[[#This Row],[上班時間]]=0,"否","是")</f>
        <v>是</v>
      </c>
    </row>
    <row r="1003" spans="1:15" hidden="1">
      <c r="A1003" t="s">
        <v>75</v>
      </c>
      <c r="B1003" t="s">
        <v>30</v>
      </c>
      <c r="C1003">
        <v>7.95</v>
      </c>
      <c r="D1003">
        <v>7.02</v>
      </c>
      <c r="E1003" s="27">
        <v>113.2478632</v>
      </c>
      <c r="F1003">
        <v>6.86</v>
      </c>
      <c r="G1003">
        <v>3.37</v>
      </c>
      <c r="H1003">
        <v>10.23</v>
      </c>
      <c r="I1003">
        <v>67.06</v>
      </c>
      <c r="J1003">
        <v>77.709999999999994</v>
      </c>
      <c r="K1003" s="9">
        <v>45317</v>
      </c>
      <c r="L1003">
        <f xml:space="preserve"> (交易處理資料__3[[#This Row],[售出工時]] * 60) / 5</f>
        <v>95.4</v>
      </c>
      <c r="M1003" t="str">
        <f>VLOOKUP(交易處理資料__3[[#This Row],[人員代號]],團隊分組!$B$1:$C$52,2,FALSE)</f>
        <v>快速保養團隊B</v>
      </c>
      <c r="N1003">
        <f>IF(交易處理資料__3[[#This Row],[上班時間]]=0,0,交易處理資料__3[[#This Row],[售出工時]]/交易處理資料__3[[#This Row],[上班時間]])</f>
        <v>0.77712609970674484</v>
      </c>
      <c r="O1003" s="31" t="str">
        <f>IF(交易處理資料__3[[#This Row],[上班時間]]=0,"否","是")</f>
        <v>是</v>
      </c>
    </row>
    <row r="1004" spans="1:15">
      <c r="A1004" t="s">
        <v>75</v>
      </c>
      <c r="B1004" t="s">
        <v>33</v>
      </c>
      <c r="C1004">
        <v>0</v>
      </c>
      <c r="D1004">
        <v>0</v>
      </c>
      <c r="E1004" s="27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 s="9">
        <v>45317</v>
      </c>
      <c r="L1004">
        <f xml:space="preserve"> (交易處理資料__3[[#This Row],[售出工時]] * 60) / 5</f>
        <v>0</v>
      </c>
      <c r="M1004" t="str">
        <f>VLOOKUP(交易處理資料__3[[#This Row],[人員代號]],團隊分組!$B$1:$C$52,2,FALSE)</f>
        <v>快速保養團隊B</v>
      </c>
      <c r="N1004">
        <f>IF(交易處理資料__3[[#This Row],[上班時間]]=0,0,交易處理資料__3[[#This Row],[售出工時]]/交易處理資料__3[[#This Row],[上班時間]])</f>
        <v>0</v>
      </c>
      <c r="O1004" s="31" t="str">
        <f>IF(交易處理資料__3[[#This Row],[上班時間]]=0,"否","是")</f>
        <v>否</v>
      </c>
    </row>
    <row r="1005" spans="1:15" hidden="1">
      <c r="A1005" t="s">
        <v>75</v>
      </c>
      <c r="B1005" t="s">
        <v>34</v>
      </c>
      <c r="C1005">
        <v>9.8333333330000006</v>
      </c>
      <c r="D1005">
        <v>7.92</v>
      </c>
      <c r="E1005" s="27">
        <v>124.1582492</v>
      </c>
      <c r="F1005">
        <v>7.66</v>
      </c>
      <c r="G1005">
        <v>0.33</v>
      </c>
      <c r="H1005">
        <v>7.99</v>
      </c>
      <c r="I1005">
        <v>95.87</v>
      </c>
      <c r="J1005">
        <v>123.07</v>
      </c>
      <c r="K1005" s="9">
        <v>45317</v>
      </c>
      <c r="L1005">
        <f xml:space="preserve"> (交易處理資料__3[[#This Row],[售出工時]] * 60) / 5</f>
        <v>117.999999996</v>
      </c>
      <c r="M1005" t="str">
        <f>VLOOKUP(交易處理資料__3[[#This Row],[人員代號]],團隊分組!$B$1:$C$52,2,FALSE)</f>
        <v>快速保養團隊A</v>
      </c>
      <c r="N1005">
        <f>IF(交易處理資料__3[[#This Row],[上班時間]]=0,0,交易處理資料__3[[#This Row],[售出工時]]/交易處理資料__3[[#This Row],[上班時間]])</f>
        <v>1.2307050479349186</v>
      </c>
      <c r="O1005" s="31" t="str">
        <f>IF(交易處理資料__3[[#This Row],[上班時間]]=0,"否","是")</f>
        <v>是</v>
      </c>
    </row>
    <row r="1006" spans="1:15" hidden="1">
      <c r="A1006" t="s">
        <v>75</v>
      </c>
      <c r="B1006" t="s">
        <v>35</v>
      </c>
      <c r="C1006">
        <v>3</v>
      </c>
      <c r="D1006">
        <v>2.98</v>
      </c>
      <c r="E1006" s="27">
        <v>100.6711409</v>
      </c>
      <c r="F1006">
        <v>4.47</v>
      </c>
      <c r="G1006">
        <v>4.49</v>
      </c>
      <c r="H1006">
        <v>8.9600000000000009</v>
      </c>
      <c r="I1006">
        <v>49.89</v>
      </c>
      <c r="J1006">
        <v>33.479999999999997</v>
      </c>
      <c r="K1006" s="9">
        <v>45317</v>
      </c>
      <c r="L1006">
        <f xml:space="preserve"> (交易處理資料__3[[#This Row],[售出工時]] * 60) / 5</f>
        <v>36</v>
      </c>
      <c r="M1006" t="str">
        <f>VLOOKUP(交易處理資料__3[[#This Row],[人員代號]],團隊分組!$B$1:$C$52,2,FALSE)</f>
        <v>查修團隊B</v>
      </c>
      <c r="N1006">
        <f>IF(交易處理資料__3[[#This Row],[上班時間]]=0,0,交易處理資料__3[[#This Row],[售出工時]]/交易處理資料__3[[#This Row],[上班時間]])</f>
        <v>0.33482142857142855</v>
      </c>
      <c r="O1006" s="31" t="str">
        <f>IF(交易處理資料__3[[#This Row],[上班時間]]=0,"否","是")</f>
        <v>是</v>
      </c>
    </row>
    <row r="1007" spans="1:15" hidden="1">
      <c r="A1007" t="s">
        <v>75</v>
      </c>
      <c r="B1007" t="s">
        <v>36</v>
      </c>
      <c r="C1007">
        <v>3.26</v>
      </c>
      <c r="D1007">
        <v>7.61</v>
      </c>
      <c r="E1007" s="27">
        <v>42.838370570000002</v>
      </c>
      <c r="F1007">
        <v>2.1800000000000002</v>
      </c>
      <c r="G1007">
        <v>6.78</v>
      </c>
      <c r="H1007">
        <v>8.9600000000000009</v>
      </c>
      <c r="I1007">
        <v>24.33</v>
      </c>
      <c r="J1007">
        <v>36.380000000000003</v>
      </c>
      <c r="K1007" s="9">
        <v>45317</v>
      </c>
      <c r="L1007">
        <f xml:space="preserve"> (交易處理資料__3[[#This Row],[售出工時]] * 60) / 5</f>
        <v>39.119999999999997</v>
      </c>
      <c r="M1007" t="str">
        <f>VLOOKUP(交易處理資料__3[[#This Row],[人員代號]],團隊分組!$B$1:$C$52,2,FALSE)</f>
        <v>查修團隊B</v>
      </c>
      <c r="N1007">
        <f>IF(交易處理資料__3[[#This Row],[上班時間]]=0,0,交易處理資料__3[[#This Row],[售出工時]]/交易處理資料__3[[#This Row],[上班時間]])</f>
        <v>0.36383928571428564</v>
      </c>
      <c r="O1007" s="31" t="str">
        <f>IF(交易處理資料__3[[#This Row],[上班時間]]=0,"否","是")</f>
        <v>是</v>
      </c>
    </row>
    <row r="1008" spans="1:15" hidden="1">
      <c r="A1008" t="s">
        <v>75</v>
      </c>
      <c r="B1008" t="s">
        <v>40</v>
      </c>
      <c r="C1008">
        <v>0</v>
      </c>
      <c r="D1008">
        <v>0</v>
      </c>
      <c r="E1008" s="27">
        <v>0</v>
      </c>
      <c r="F1008">
        <v>0</v>
      </c>
      <c r="G1008">
        <v>0.1</v>
      </c>
      <c r="H1008">
        <v>0.1</v>
      </c>
      <c r="I1008">
        <v>0</v>
      </c>
      <c r="J1008">
        <v>0</v>
      </c>
      <c r="K1008" s="9">
        <v>45317</v>
      </c>
      <c r="L1008">
        <f xml:space="preserve"> (交易處理資料__3[[#This Row],[售出工時]] * 60) / 5</f>
        <v>0</v>
      </c>
      <c r="M1008" t="str">
        <f>VLOOKUP(交易處理資料__3[[#This Row],[人員代號]],團隊分組!$B$1:$C$52,2,FALSE)</f>
        <v>查修團隊A</v>
      </c>
      <c r="N1008">
        <f>IF(交易處理資料__3[[#This Row],[上班時間]]=0,0,交易處理資料__3[[#This Row],[售出工時]]/交易處理資料__3[[#This Row],[上班時間]])</f>
        <v>0</v>
      </c>
      <c r="O1008" s="31" t="str">
        <f>IF(交易處理資料__3[[#This Row],[上班時間]]=0,"否","是")</f>
        <v>是</v>
      </c>
    </row>
    <row r="1009" spans="1:15" hidden="1">
      <c r="A1009" t="s">
        <v>75</v>
      </c>
      <c r="B1009" t="s">
        <v>42</v>
      </c>
      <c r="C1009">
        <v>10.58333333</v>
      </c>
      <c r="D1009">
        <v>5.17</v>
      </c>
      <c r="E1009" s="27">
        <v>204.7066409</v>
      </c>
      <c r="F1009">
        <v>6.39</v>
      </c>
      <c r="G1009">
        <v>1.6</v>
      </c>
      <c r="H1009">
        <v>7.99</v>
      </c>
      <c r="I1009">
        <v>79.97</v>
      </c>
      <c r="J1009">
        <v>132.46</v>
      </c>
      <c r="K1009" s="9">
        <v>45317</v>
      </c>
      <c r="L1009">
        <f xml:space="preserve"> (交易處理資料__3[[#This Row],[售出工時]] * 60) / 5</f>
        <v>126.99999996000001</v>
      </c>
      <c r="M1009" t="str">
        <f>VLOOKUP(交易處理資料__3[[#This Row],[人員代號]],團隊分組!$B$1:$C$52,2,FALSE)</f>
        <v>快速保養團隊A</v>
      </c>
      <c r="N1009">
        <f>IF(交易處理資料__3[[#This Row],[上班時間]]=0,0,交易處理資料__3[[#This Row],[售出工時]]/交易處理資料__3[[#This Row],[上班時間]])</f>
        <v>1.3245723817271589</v>
      </c>
      <c r="O1009" s="31" t="str">
        <f>IF(交易處理資料__3[[#This Row],[上班時間]]=0,"否","是")</f>
        <v>是</v>
      </c>
    </row>
    <row r="1010" spans="1:15" hidden="1">
      <c r="A1010" t="s">
        <v>75</v>
      </c>
      <c r="B1010" t="s">
        <v>43</v>
      </c>
      <c r="C1010">
        <v>3.746666667</v>
      </c>
      <c r="D1010">
        <v>8.8800000000000008</v>
      </c>
      <c r="E1010" s="27">
        <v>42.19219219</v>
      </c>
      <c r="F1010">
        <v>0</v>
      </c>
      <c r="G1010">
        <v>9.5500000000000007</v>
      </c>
      <c r="H1010">
        <v>9.5500000000000007</v>
      </c>
      <c r="I1010">
        <v>0</v>
      </c>
      <c r="J1010">
        <v>39.229999999999997</v>
      </c>
      <c r="K1010" s="9">
        <v>45317</v>
      </c>
      <c r="L1010">
        <f xml:space="preserve"> (交易處理資料__3[[#This Row],[售出工時]] * 60) / 5</f>
        <v>44.960000004000001</v>
      </c>
      <c r="M1010" t="str">
        <f>VLOOKUP(交易處理資料__3[[#This Row],[人員代號]],團隊分組!$B$1:$C$52,2,FALSE)</f>
        <v>查修團隊B</v>
      </c>
      <c r="N1010">
        <f>IF(交易處理資料__3[[#This Row],[上班時間]]=0,0,交易處理資料__3[[#This Row],[售出工時]]/交易處理資料__3[[#This Row],[上班時間]])</f>
        <v>0.39232111696335076</v>
      </c>
      <c r="O1010" s="31" t="str">
        <f>IF(交易處理資料__3[[#This Row],[上班時間]]=0,"否","是")</f>
        <v>是</v>
      </c>
    </row>
    <row r="1011" spans="1:15" hidden="1">
      <c r="A1011" t="s">
        <v>75</v>
      </c>
      <c r="B1011" t="s">
        <v>44</v>
      </c>
      <c r="C1011">
        <v>8.8966666669999999</v>
      </c>
      <c r="D1011">
        <v>6.58</v>
      </c>
      <c r="E1011" s="27">
        <v>135.20770010000001</v>
      </c>
      <c r="F1011">
        <v>7.96</v>
      </c>
      <c r="G1011">
        <v>0.09</v>
      </c>
      <c r="H1011">
        <v>8.0500000000000007</v>
      </c>
      <c r="I1011">
        <v>98.88</v>
      </c>
      <c r="J1011">
        <v>110.52</v>
      </c>
      <c r="K1011" s="9">
        <v>45317</v>
      </c>
      <c r="L1011">
        <f xml:space="preserve"> (交易處理資料__3[[#This Row],[售出工時]] * 60) / 5</f>
        <v>106.76000000399999</v>
      </c>
      <c r="M1011" t="str">
        <f>VLOOKUP(交易處理資料__3[[#This Row],[人員代號]],團隊分組!$B$1:$C$52,2,FALSE)</f>
        <v>快速保養團隊B</v>
      </c>
      <c r="N1011">
        <f>IF(交易處理資料__3[[#This Row],[上班時間]]=0,0,交易處理資料__3[[#This Row],[售出工時]]/交易處理資料__3[[#This Row],[上班時間]])</f>
        <v>1.1051759834782608</v>
      </c>
      <c r="O1011" s="31" t="str">
        <f>IF(交易處理資料__3[[#This Row],[上班時間]]=0,"否","是")</f>
        <v>是</v>
      </c>
    </row>
    <row r="1012" spans="1:15" hidden="1">
      <c r="A1012" t="s">
        <v>75</v>
      </c>
      <c r="B1012" t="s">
        <v>45</v>
      </c>
      <c r="C1012">
        <v>17.916666670000001</v>
      </c>
      <c r="D1012">
        <v>7.62</v>
      </c>
      <c r="E1012" s="27">
        <v>235.12685909999999</v>
      </c>
      <c r="F1012">
        <v>7.34</v>
      </c>
      <c r="G1012">
        <v>1.38</v>
      </c>
      <c r="H1012">
        <v>8.7200000000000006</v>
      </c>
      <c r="I1012">
        <v>84.17</v>
      </c>
      <c r="J1012">
        <v>205.47</v>
      </c>
      <c r="K1012" s="9">
        <v>45317</v>
      </c>
      <c r="L1012">
        <f xml:space="preserve"> (交易處理資料__3[[#This Row],[售出工時]] * 60) / 5</f>
        <v>215.00000004000003</v>
      </c>
      <c r="M1012" t="str">
        <f>VLOOKUP(交易處理資料__3[[#This Row],[人員代號]],團隊分組!$B$1:$C$52,2,FALSE)</f>
        <v>快速保養團隊A</v>
      </c>
      <c r="N1012">
        <f>IF(交易處理資料__3[[#This Row],[上班時間]]=0,0,交易處理資料__3[[#This Row],[售出工時]]/交易處理資料__3[[#This Row],[上班時間]])</f>
        <v>2.0546636089449541</v>
      </c>
      <c r="O1012" s="31" t="str">
        <f>IF(交易處理資料__3[[#This Row],[上班時間]]=0,"否","是")</f>
        <v>是</v>
      </c>
    </row>
    <row r="1013" spans="1:15" hidden="1">
      <c r="A1013" t="s">
        <v>75</v>
      </c>
      <c r="B1013" t="s">
        <v>47</v>
      </c>
      <c r="C1013">
        <v>0</v>
      </c>
      <c r="D1013">
        <v>0</v>
      </c>
      <c r="E1013" s="27">
        <v>0</v>
      </c>
      <c r="F1013">
        <v>3.7</v>
      </c>
      <c r="G1013">
        <v>5.26</v>
      </c>
      <c r="H1013">
        <v>8.9600000000000009</v>
      </c>
      <c r="I1013">
        <v>41.29</v>
      </c>
      <c r="J1013">
        <v>0</v>
      </c>
      <c r="K1013" s="9">
        <v>45317</v>
      </c>
      <c r="L1013">
        <f xml:space="preserve"> (交易處理資料__3[[#This Row],[售出工時]] * 60) / 5</f>
        <v>0</v>
      </c>
      <c r="M1013" t="str">
        <f>VLOOKUP(交易處理資料__3[[#This Row],[人員代號]],團隊分組!$B$1:$C$52,2,FALSE)</f>
        <v>查修團隊B</v>
      </c>
      <c r="N1013">
        <f>IF(交易處理資料__3[[#This Row],[上班時間]]=0,0,交易處理資料__3[[#This Row],[售出工時]]/交易處理資料__3[[#This Row],[上班時間]])</f>
        <v>0</v>
      </c>
      <c r="O1013" s="31" t="str">
        <f>IF(交易處理資料__3[[#This Row],[上班時間]]=0,"否","是")</f>
        <v>是</v>
      </c>
    </row>
    <row r="1014" spans="1:15" hidden="1">
      <c r="A1014" t="s">
        <v>75</v>
      </c>
      <c r="B1014" t="s">
        <v>48</v>
      </c>
      <c r="C1014">
        <v>1.5</v>
      </c>
      <c r="D1014">
        <v>7.98</v>
      </c>
      <c r="E1014" s="27">
        <v>18.79699248</v>
      </c>
      <c r="F1014">
        <v>5.57</v>
      </c>
      <c r="G1014">
        <v>2.66</v>
      </c>
      <c r="H1014">
        <v>8.23</v>
      </c>
      <c r="I1014">
        <v>67.680000000000007</v>
      </c>
      <c r="J1014">
        <v>18.23</v>
      </c>
      <c r="K1014" s="9">
        <v>45317</v>
      </c>
      <c r="L1014">
        <f xml:space="preserve"> (交易處理資料__3[[#This Row],[售出工時]] * 60) / 5</f>
        <v>18</v>
      </c>
      <c r="M1014" t="str">
        <f>VLOOKUP(交易處理資料__3[[#This Row],[人員代號]],團隊分組!$B$1:$C$52,2,FALSE)</f>
        <v>查修團隊A</v>
      </c>
      <c r="N1014">
        <f>IF(交易處理資料__3[[#This Row],[上班時間]]=0,0,交易處理資料__3[[#This Row],[售出工時]]/交易處理資料__3[[#This Row],[上班時間]])</f>
        <v>0.18226002430133656</v>
      </c>
      <c r="O1014" s="31" t="str">
        <f>IF(交易處理資料__3[[#This Row],[上班時間]]=0,"否","是")</f>
        <v>是</v>
      </c>
    </row>
    <row r="1015" spans="1:15" hidden="1">
      <c r="A1015" t="s">
        <v>75</v>
      </c>
      <c r="B1015" t="s">
        <v>50</v>
      </c>
      <c r="C1015">
        <v>10.08666667</v>
      </c>
      <c r="D1015">
        <v>6.43</v>
      </c>
      <c r="E1015" s="27">
        <v>156.868844</v>
      </c>
      <c r="F1015">
        <v>7.96</v>
      </c>
      <c r="G1015">
        <v>0.08</v>
      </c>
      <c r="H1015">
        <v>8.0399999999999991</v>
      </c>
      <c r="I1015">
        <v>99</v>
      </c>
      <c r="J1015">
        <v>125.46</v>
      </c>
      <c r="K1015" s="9">
        <v>45317</v>
      </c>
      <c r="L1015">
        <f xml:space="preserve"> (交易處理資料__3[[#This Row],[售出工時]] * 60) / 5</f>
        <v>121.04000004</v>
      </c>
      <c r="M1015" t="str">
        <f>VLOOKUP(交易處理資料__3[[#This Row],[人員代號]],團隊分組!$B$1:$C$52,2,FALSE)</f>
        <v>快速保養團隊B</v>
      </c>
      <c r="N1015">
        <f>IF(交易處理資料__3[[#This Row],[上班時間]]=0,0,交易處理資料__3[[#This Row],[售出工時]]/交易處理資料__3[[#This Row],[上班時間]])</f>
        <v>1.2545605310945274</v>
      </c>
      <c r="O1015" s="31" t="str">
        <f>IF(交易處理資料__3[[#This Row],[上班時間]]=0,"否","是")</f>
        <v>是</v>
      </c>
    </row>
    <row r="1016" spans="1:15" hidden="1">
      <c r="A1016" t="s">
        <v>75</v>
      </c>
      <c r="B1016" t="s">
        <v>51</v>
      </c>
      <c r="C1016">
        <v>0</v>
      </c>
      <c r="D1016">
        <v>0</v>
      </c>
      <c r="E1016" s="27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 s="9">
        <v>45317</v>
      </c>
      <c r="L1016">
        <f xml:space="preserve"> (交易處理資料__3[[#This Row],[售出工時]] * 60) / 5</f>
        <v>0</v>
      </c>
      <c r="M1016" t="str">
        <f>VLOOKUP(交易處理資料__3[[#This Row],[人員代號]],團隊分組!$B$1:$C$52,2,FALSE)</f>
        <v>無效數據</v>
      </c>
      <c r="N1016">
        <f>IF(交易處理資料__3[[#This Row],[上班時間]]=0,0,交易處理資料__3[[#This Row],[售出工時]]/交易處理資料__3[[#This Row],[上班時間]])</f>
        <v>0</v>
      </c>
      <c r="O1016" s="31" t="str">
        <f>IF(交易處理資料__3[[#This Row],[上班時間]]=0,"否","是")</f>
        <v>否</v>
      </c>
    </row>
    <row r="1017" spans="1:15" hidden="1">
      <c r="A1017" t="s">
        <v>75</v>
      </c>
      <c r="B1017" t="s">
        <v>53</v>
      </c>
      <c r="C1017">
        <v>1.3333333329999999</v>
      </c>
      <c r="D1017">
        <v>1.2</v>
      </c>
      <c r="E1017" s="27">
        <v>111.1111111</v>
      </c>
      <c r="F1017">
        <v>7.26</v>
      </c>
      <c r="G1017">
        <v>0.76</v>
      </c>
      <c r="H1017">
        <v>8.02</v>
      </c>
      <c r="I1017">
        <v>90.52</v>
      </c>
      <c r="J1017">
        <v>16.63</v>
      </c>
      <c r="K1017" s="9">
        <v>45317</v>
      </c>
      <c r="L1017">
        <f xml:space="preserve"> (交易處理資料__3[[#This Row],[售出工時]] * 60) / 5</f>
        <v>15.999999996</v>
      </c>
      <c r="M1017" t="str">
        <f>VLOOKUP(交易處理資料__3[[#This Row],[人員代號]],團隊分組!$B$1:$C$52,2,FALSE)</f>
        <v>查修團隊A</v>
      </c>
      <c r="N1017">
        <f>IF(交易處理資料__3[[#This Row],[上班時間]]=0,0,交易處理資料__3[[#This Row],[售出工時]]/交易處理資料__3[[#This Row],[上班時間]])</f>
        <v>0.16625103902743141</v>
      </c>
      <c r="O1017" s="31" t="str">
        <f>IF(交易處理資料__3[[#This Row],[上班時間]]=0,"否","是")</f>
        <v>是</v>
      </c>
    </row>
    <row r="1018" spans="1:15" hidden="1">
      <c r="A1018" s="10" t="s">
        <v>73</v>
      </c>
      <c r="B1018" t="s">
        <v>1</v>
      </c>
      <c r="C1018">
        <v>0</v>
      </c>
      <c r="D1018">
        <v>0</v>
      </c>
      <c r="E1018" s="27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 s="9">
        <v>45318</v>
      </c>
      <c r="L1018">
        <f xml:space="preserve"> (交易處理資料__3[[#This Row],[售出工時]] * 60) / 5</f>
        <v>0</v>
      </c>
      <c r="M1018" t="str">
        <f>VLOOKUP(交易處理資料__3[[#This Row],[人員代號]],團隊分組!$B$1:$C$52,2,FALSE)</f>
        <v>噴漆維修組</v>
      </c>
      <c r="N1018">
        <f>IF(交易處理資料__3[[#This Row],[上班時間]]=0,0,交易處理資料__3[[#This Row],[售出工時]]/交易處理資料__3[[#This Row],[上班時間]])</f>
        <v>0</v>
      </c>
      <c r="O1018" s="31" t="str">
        <f>IF(交易處理資料__3[[#This Row],[上班時間]]=0,"否","是")</f>
        <v>否</v>
      </c>
    </row>
    <row r="1019" spans="1:15" hidden="1">
      <c r="A1019" s="10" t="s">
        <v>73</v>
      </c>
      <c r="B1019" t="s">
        <v>2</v>
      </c>
      <c r="C1019">
        <v>0</v>
      </c>
      <c r="D1019">
        <v>0</v>
      </c>
      <c r="E1019" s="27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 s="9">
        <v>45318</v>
      </c>
      <c r="L1019">
        <f xml:space="preserve"> (交易處理資料__3[[#This Row],[售出工時]] * 60) / 5</f>
        <v>0</v>
      </c>
      <c r="M1019" t="str">
        <f>VLOOKUP(交易處理資料__3[[#This Row],[人員代號]],團隊分組!$B$1:$C$52,2,FALSE)</f>
        <v>噴漆維修組</v>
      </c>
      <c r="N1019">
        <f>IF(交易處理資料__3[[#This Row],[上班時間]]=0,0,交易處理資料__3[[#This Row],[售出工時]]/交易處理資料__3[[#This Row],[上班時間]])</f>
        <v>0</v>
      </c>
      <c r="O1019" s="31" t="str">
        <f>IF(交易處理資料__3[[#This Row],[上班時間]]=0,"否","是")</f>
        <v>否</v>
      </c>
    </row>
    <row r="1020" spans="1:15" hidden="1">
      <c r="A1020" s="10" t="s">
        <v>73</v>
      </c>
      <c r="B1020" t="s">
        <v>3</v>
      </c>
      <c r="C1020">
        <v>0</v>
      </c>
      <c r="D1020">
        <v>0</v>
      </c>
      <c r="E1020" s="27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 s="9">
        <v>45318</v>
      </c>
      <c r="L1020">
        <f xml:space="preserve"> (交易處理資料__3[[#This Row],[售出工時]] * 60) / 5</f>
        <v>0</v>
      </c>
      <c r="M1020" t="str">
        <f>VLOOKUP(交易處理資料__3[[#This Row],[人員代號]],團隊分組!$B$1:$C$52,2,FALSE)</f>
        <v>噴漆維修組</v>
      </c>
      <c r="N1020">
        <f>IF(交易處理資料__3[[#This Row],[上班時間]]=0,0,交易處理資料__3[[#This Row],[售出工時]]/交易處理資料__3[[#This Row],[上班時間]])</f>
        <v>0</v>
      </c>
      <c r="O1020" s="31" t="str">
        <f>IF(交易處理資料__3[[#This Row],[上班時間]]=0,"否","是")</f>
        <v>否</v>
      </c>
    </row>
    <row r="1021" spans="1:15" hidden="1">
      <c r="A1021" s="10" t="s">
        <v>73</v>
      </c>
      <c r="B1021" t="s">
        <v>4</v>
      </c>
      <c r="C1021">
        <v>0</v>
      </c>
      <c r="D1021">
        <v>0</v>
      </c>
      <c r="E1021" s="27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 s="9">
        <v>45318</v>
      </c>
      <c r="L1021">
        <f xml:space="preserve"> (交易處理資料__3[[#This Row],[售出工時]] * 60) / 5</f>
        <v>0</v>
      </c>
      <c r="M1021" t="str">
        <f>VLOOKUP(交易處理資料__3[[#This Row],[人員代號]],團隊分組!$B$1:$C$52,2,FALSE)</f>
        <v>噴漆維修組</v>
      </c>
      <c r="N1021">
        <f>IF(交易處理資料__3[[#This Row],[上班時間]]=0,0,交易處理資料__3[[#This Row],[售出工時]]/交易處理資料__3[[#This Row],[上班時間]])</f>
        <v>0</v>
      </c>
      <c r="O1021" s="31" t="str">
        <f>IF(交易處理資料__3[[#This Row],[上班時間]]=0,"否","是")</f>
        <v>否</v>
      </c>
    </row>
    <row r="1022" spans="1:15" hidden="1">
      <c r="A1022" s="10" t="s">
        <v>73</v>
      </c>
      <c r="B1022" t="s">
        <v>5</v>
      </c>
      <c r="C1022">
        <v>1.25</v>
      </c>
      <c r="D1022">
        <v>2.6</v>
      </c>
      <c r="E1022" s="27">
        <v>48.07692308</v>
      </c>
      <c r="F1022">
        <v>7.17</v>
      </c>
      <c r="G1022">
        <v>0.75</v>
      </c>
      <c r="H1022">
        <v>7.92</v>
      </c>
      <c r="I1022">
        <v>90.53</v>
      </c>
      <c r="J1022">
        <v>15.78</v>
      </c>
      <c r="K1022" s="9">
        <v>45318</v>
      </c>
      <c r="L1022">
        <f xml:space="preserve"> (交易處理資料__3[[#This Row],[售出工時]] * 60) / 5</f>
        <v>15</v>
      </c>
      <c r="M1022" t="str">
        <f>VLOOKUP(交易處理資料__3[[#This Row],[人員代號]],團隊分組!$B$1:$C$52,2,FALSE)</f>
        <v>噴漆維修組</v>
      </c>
      <c r="N1022">
        <f>IF(交易處理資料__3[[#This Row],[上班時間]]=0,0,交易處理資料__3[[#This Row],[售出工時]]/交易處理資料__3[[#This Row],[上班時間]])</f>
        <v>0.15782828282828282</v>
      </c>
      <c r="O1022" s="31" t="str">
        <f>IF(交易處理資料__3[[#This Row],[上班時間]]=0,"否","是")</f>
        <v>是</v>
      </c>
    </row>
    <row r="1023" spans="1:15" hidden="1">
      <c r="A1023" s="10" t="s">
        <v>73</v>
      </c>
      <c r="B1023" t="s">
        <v>6</v>
      </c>
      <c r="C1023">
        <v>0</v>
      </c>
      <c r="D1023">
        <v>0</v>
      </c>
      <c r="E1023" s="27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 s="9">
        <v>45318</v>
      </c>
      <c r="L1023">
        <f xml:space="preserve"> (交易處理資料__3[[#This Row],[售出工時]] * 60) / 5</f>
        <v>0</v>
      </c>
      <c r="M1023" t="str">
        <f>VLOOKUP(交易處理資料__3[[#This Row],[人員代號]],團隊分組!$B$1:$C$52,2,FALSE)</f>
        <v>噴漆維修組</v>
      </c>
      <c r="N1023">
        <f>IF(交易處理資料__3[[#This Row],[上班時間]]=0,0,交易處理資料__3[[#This Row],[售出工時]]/交易處理資料__3[[#This Row],[上班時間]])</f>
        <v>0</v>
      </c>
      <c r="O1023" s="31" t="str">
        <f>IF(交易處理資料__3[[#This Row],[上班時間]]=0,"否","是")</f>
        <v>否</v>
      </c>
    </row>
    <row r="1024" spans="1:15" hidden="1">
      <c r="A1024" s="10" t="s">
        <v>73</v>
      </c>
      <c r="B1024" t="s">
        <v>7</v>
      </c>
      <c r="C1024">
        <v>1.25</v>
      </c>
      <c r="D1024">
        <v>2.6</v>
      </c>
      <c r="E1024" s="27">
        <v>48.07692308</v>
      </c>
      <c r="F1024">
        <v>7.17</v>
      </c>
      <c r="G1024">
        <v>0.75</v>
      </c>
      <c r="H1024">
        <v>7.92</v>
      </c>
      <c r="I1024">
        <v>90.53</v>
      </c>
      <c r="J1024">
        <v>15.78</v>
      </c>
      <c r="K1024" s="9">
        <v>45318</v>
      </c>
      <c r="L1024">
        <f xml:space="preserve"> (交易處理資料__3[[#This Row],[售出工時]] * 60) / 5</f>
        <v>15</v>
      </c>
      <c r="M1024" t="str">
        <f>VLOOKUP(交易處理資料__3[[#This Row],[人員代號]],團隊分組!$B$1:$C$52,2,FALSE)</f>
        <v>噴漆維修組</v>
      </c>
      <c r="N1024">
        <f>IF(交易處理資料__3[[#This Row],[上班時間]]=0,0,交易處理資料__3[[#This Row],[售出工時]]/交易處理資料__3[[#This Row],[上班時間]])</f>
        <v>0.15782828282828282</v>
      </c>
      <c r="O1024" s="31" t="str">
        <f>IF(交易處理資料__3[[#This Row],[上班時間]]=0,"否","是")</f>
        <v>是</v>
      </c>
    </row>
    <row r="1025" spans="1:15" hidden="1">
      <c r="A1025" s="10" t="s">
        <v>73</v>
      </c>
      <c r="B1025" t="s">
        <v>8</v>
      </c>
      <c r="C1025">
        <v>0</v>
      </c>
      <c r="D1025">
        <v>0</v>
      </c>
      <c r="E1025" s="27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 s="9">
        <v>45318</v>
      </c>
      <c r="L1025">
        <f xml:space="preserve"> (交易處理資料__3[[#This Row],[售出工時]] * 60) / 5</f>
        <v>0</v>
      </c>
      <c r="M1025" t="str">
        <f>VLOOKUP(交易處理資料__3[[#This Row],[人員代號]],團隊分組!$B$1:$C$52,2,FALSE)</f>
        <v>噴漆維修組</v>
      </c>
      <c r="N1025">
        <f>IF(交易處理資料__3[[#This Row],[上班時間]]=0,0,交易處理資料__3[[#This Row],[售出工時]]/交易處理資料__3[[#This Row],[上班時間]])</f>
        <v>0</v>
      </c>
      <c r="O1025" s="31" t="str">
        <f>IF(交易處理資料__3[[#This Row],[上班時間]]=0,"否","是")</f>
        <v>否</v>
      </c>
    </row>
    <row r="1026" spans="1:15" hidden="1">
      <c r="A1026" s="10" t="s">
        <v>73</v>
      </c>
      <c r="B1026" t="s">
        <v>9</v>
      </c>
      <c r="C1026">
        <v>0</v>
      </c>
      <c r="D1026">
        <v>0</v>
      </c>
      <c r="E1026" s="27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 s="9">
        <v>45318</v>
      </c>
      <c r="L1026">
        <f xml:space="preserve"> (交易處理資料__3[[#This Row],[售出工時]] * 60) / 5</f>
        <v>0</v>
      </c>
      <c r="M1026" t="str">
        <f>VLOOKUP(交易處理資料__3[[#This Row],[人員代號]],團隊分組!$B$1:$C$52,2,FALSE)</f>
        <v>噴漆維修組</v>
      </c>
      <c r="N1026">
        <f>IF(交易處理資料__3[[#This Row],[上班時間]]=0,0,交易處理資料__3[[#This Row],[售出工時]]/交易處理資料__3[[#This Row],[上班時間]])</f>
        <v>0</v>
      </c>
      <c r="O1026" s="31" t="str">
        <f>IF(交易處理資料__3[[#This Row],[上班時間]]=0,"否","是")</f>
        <v>否</v>
      </c>
    </row>
    <row r="1027" spans="1:15" hidden="1">
      <c r="A1027" t="s">
        <v>74</v>
      </c>
      <c r="B1027" t="s">
        <v>11</v>
      </c>
      <c r="C1027">
        <v>0</v>
      </c>
      <c r="D1027">
        <v>0</v>
      </c>
      <c r="E1027" s="27">
        <v>0</v>
      </c>
      <c r="F1027">
        <v>6.45</v>
      </c>
      <c r="G1027">
        <v>1.46</v>
      </c>
      <c r="H1027">
        <v>7.91</v>
      </c>
      <c r="I1027">
        <v>81.540000000000006</v>
      </c>
      <c r="J1027">
        <v>0</v>
      </c>
      <c r="K1027" s="9">
        <v>45318</v>
      </c>
      <c r="L1027">
        <f xml:space="preserve"> (交易處理資料__3[[#This Row],[售出工時]] * 60) / 5</f>
        <v>0</v>
      </c>
      <c r="M1027" t="str">
        <f>VLOOKUP(交易處理資料__3[[#This Row],[人員代號]],團隊分組!$B$1:$C$52,2,FALSE)</f>
        <v>鈑金維修組</v>
      </c>
      <c r="N1027">
        <f>IF(交易處理資料__3[[#This Row],[上班時間]]=0,0,交易處理資料__3[[#This Row],[售出工時]]/交易處理資料__3[[#This Row],[上班時間]])</f>
        <v>0</v>
      </c>
      <c r="O1027" s="31" t="str">
        <f>IF(交易處理資料__3[[#This Row],[上班時間]]=0,"否","是")</f>
        <v>是</v>
      </c>
    </row>
    <row r="1028" spans="1:15" hidden="1">
      <c r="A1028" t="s">
        <v>74</v>
      </c>
      <c r="B1028" t="s">
        <v>13</v>
      </c>
      <c r="C1028">
        <v>0</v>
      </c>
      <c r="D1028">
        <v>0</v>
      </c>
      <c r="E1028" s="27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 s="9">
        <v>45318</v>
      </c>
      <c r="L1028">
        <f xml:space="preserve"> (交易處理資料__3[[#This Row],[售出工時]] * 60) / 5</f>
        <v>0</v>
      </c>
      <c r="M1028" t="str">
        <f>VLOOKUP(交易處理資料__3[[#This Row],[人員代號]],團隊分組!$B$1:$C$52,2,FALSE)</f>
        <v>鈑金維修組</v>
      </c>
      <c r="N1028">
        <f>IF(交易處理資料__3[[#This Row],[上班時間]]=0,0,交易處理資料__3[[#This Row],[售出工時]]/交易處理資料__3[[#This Row],[上班時間]])</f>
        <v>0</v>
      </c>
      <c r="O1028" s="31" t="str">
        <f>IF(交易處理資料__3[[#This Row],[上班時間]]=0,"否","是")</f>
        <v>否</v>
      </c>
    </row>
    <row r="1029" spans="1:15" hidden="1">
      <c r="A1029" t="s">
        <v>74</v>
      </c>
      <c r="B1029" t="s">
        <v>14</v>
      </c>
      <c r="C1029">
        <v>0</v>
      </c>
      <c r="D1029">
        <v>0</v>
      </c>
      <c r="E1029" s="27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 s="9">
        <v>45318</v>
      </c>
      <c r="L1029">
        <f xml:space="preserve"> (交易處理資料__3[[#This Row],[售出工時]] * 60) / 5</f>
        <v>0</v>
      </c>
      <c r="M1029" t="str">
        <f>VLOOKUP(交易處理資料__3[[#This Row],[人員代號]],團隊分組!$B$1:$C$52,2,FALSE)</f>
        <v>鈑金維修組</v>
      </c>
      <c r="N1029">
        <f>IF(交易處理資料__3[[#This Row],[上班時間]]=0,0,交易處理資料__3[[#This Row],[售出工時]]/交易處理資料__3[[#This Row],[上班時間]])</f>
        <v>0</v>
      </c>
      <c r="O1029" s="31" t="str">
        <f>IF(交易處理資料__3[[#This Row],[上班時間]]=0,"否","是")</f>
        <v>否</v>
      </c>
    </row>
    <row r="1030" spans="1:15" hidden="1">
      <c r="A1030" t="s">
        <v>74</v>
      </c>
      <c r="B1030" t="s">
        <v>15</v>
      </c>
      <c r="C1030">
        <v>0</v>
      </c>
      <c r="D1030">
        <v>0</v>
      </c>
      <c r="E1030" s="27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 s="9">
        <v>45318</v>
      </c>
      <c r="L1030">
        <f xml:space="preserve"> (交易處理資料__3[[#This Row],[售出工時]] * 60) / 5</f>
        <v>0</v>
      </c>
      <c r="M1030" t="str">
        <f>VLOOKUP(交易處理資料__3[[#This Row],[人員代號]],團隊分組!$B$1:$C$52,2,FALSE)</f>
        <v>鈑金維修組</v>
      </c>
      <c r="N1030">
        <f>IF(交易處理資料__3[[#This Row],[上班時間]]=0,0,交易處理資料__3[[#This Row],[售出工時]]/交易處理資料__3[[#This Row],[上班時間]])</f>
        <v>0</v>
      </c>
      <c r="O1030" s="31" t="str">
        <f>IF(交易處理資料__3[[#This Row],[上班時間]]=0,"否","是")</f>
        <v>否</v>
      </c>
    </row>
    <row r="1031" spans="1:15" hidden="1">
      <c r="A1031" t="s">
        <v>75</v>
      </c>
      <c r="B1031" t="s">
        <v>17</v>
      </c>
      <c r="C1031">
        <v>3.9</v>
      </c>
      <c r="D1031">
        <v>3.65</v>
      </c>
      <c r="E1031" s="27">
        <v>106.8493151</v>
      </c>
      <c r="F1031">
        <v>5.55</v>
      </c>
      <c r="G1031">
        <v>2.33</v>
      </c>
      <c r="H1031">
        <v>7.88</v>
      </c>
      <c r="I1031">
        <v>70.430000000000007</v>
      </c>
      <c r="J1031">
        <v>49.49</v>
      </c>
      <c r="K1031" s="9">
        <v>45318</v>
      </c>
      <c r="L1031">
        <f xml:space="preserve"> (交易處理資料__3[[#This Row],[售出工時]] * 60) / 5</f>
        <v>46.8</v>
      </c>
      <c r="M1031" t="str">
        <f>VLOOKUP(交易處理資料__3[[#This Row],[人員代號]],團隊分組!$B$1:$C$52,2,FALSE)</f>
        <v>快速保養團隊A</v>
      </c>
      <c r="N1031">
        <f>IF(交易處理資料__3[[#This Row],[上班時間]]=0,0,交易處理資料__3[[#This Row],[售出工時]]/交易處理資料__3[[#This Row],[上班時間]])</f>
        <v>0.49492385786802029</v>
      </c>
      <c r="O1031" s="31" t="str">
        <f>IF(交易處理資料__3[[#This Row],[上班時間]]=0,"否","是")</f>
        <v>是</v>
      </c>
    </row>
    <row r="1032" spans="1:15" hidden="1">
      <c r="A1032" t="s">
        <v>75</v>
      </c>
      <c r="B1032" t="s">
        <v>19</v>
      </c>
      <c r="C1032">
        <v>4.4000000000000004</v>
      </c>
      <c r="D1032">
        <v>3.59</v>
      </c>
      <c r="E1032" s="27">
        <v>122.5626741</v>
      </c>
      <c r="F1032">
        <v>6.88</v>
      </c>
      <c r="G1032">
        <v>1.03</v>
      </c>
      <c r="H1032">
        <v>7.91</v>
      </c>
      <c r="I1032">
        <v>86.98</v>
      </c>
      <c r="J1032">
        <v>55.63</v>
      </c>
      <c r="K1032" s="9">
        <v>45318</v>
      </c>
      <c r="L1032">
        <f xml:space="preserve"> (交易處理資料__3[[#This Row],[售出工時]] * 60) / 5</f>
        <v>52.8</v>
      </c>
      <c r="M1032" t="str">
        <f>VLOOKUP(交易處理資料__3[[#This Row],[人員代號]],團隊分組!$B$1:$C$52,2,FALSE)</f>
        <v>查修團隊A</v>
      </c>
      <c r="N1032">
        <f>IF(交易處理資料__3[[#This Row],[上班時間]]=0,0,交易處理資料__3[[#This Row],[售出工時]]/交易處理資料__3[[#This Row],[上班時間]])</f>
        <v>0.55625790139064479</v>
      </c>
      <c r="O1032" s="31" t="str">
        <f>IF(交易處理資料__3[[#This Row],[上班時間]]=0,"否","是")</f>
        <v>是</v>
      </c>
    </row>
    <row r="1033" spans="1:15" hidden="1">
      <c r="A1033" t="s">
        <v>75</v>
      </c>
      <c r="B1033" t="s">
        <v>20</v>
      </c>
      <c r="C1033">
        <v>1.5</v>
      </c>
      <c r="D1033">
        <v>2.0699999999999998</v>
      </c>
      <c r="E1033" s="27">
        <v>72.463768119999997</v>
      </c>
      <c r="F1033">
        <v>2.87</v>
      </c>
      <c r="G1033">
        <v>5.05</v>
      </c>
      <c r="H1033">
        <v>7.92</v>
      </c>
      <c r="I1033">
        <v>36.24</v>
      </c>
      <c r="J1033">
        <v>18.940000000000001</v>
      </c>
      <c r="K1033" s="9">
        <v>45318</v>
      </c>
      <c r="L1033">
        <f xml:space="preserve"> (交易處理資料__3[[#This Row],[售出工時]] * 60) / 5</f>
        <v>18</v>
      </c>
      <c r="M1033" t="str">
        <f>VLOOKUP(交易處理資料__3[[#This Row],[人員代號]],團隊分組!$B$1:$C$52,2,FALSE)</f>
        <v>查修團隊B</v>
      </c>
      <c r="N1033">
        <f>IF(交易處理資料__3[[#This Row],[上班時間]]=0,0,交易處理資料__3[[#This Row],[售出工時]]/交易處理資料__3[[#This Row],[上班時間]])</f>
        <v>0.18939393939393939</v>
      </c>
      <c r="O1033" s="31" t="str">
        <f>IF(交易處理資料__3[[#This Row],[上班時間]]=0,"否","是")</f>
        <v>是</v>
      </c>
    </row>
    <row r="1034" spans="1:15" hidden="1">
      <c r="A1034" t="s">
        <v>75</v>
      </c>
      <c r="B1034" t="s">
        <v>21</v>
      </c>
      <c r="C1034">
        <v>0</v>
      </c>
      <c r="D1034">
        <v>0</v>
      </c>
      <c r="E1034" s="27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 s="9">
        <v>45318</v>
      </c>
      <c r="L1034">
        <f xml:space="preserve"> (交易處理資料__3[[#This Row],[售出工時]] * 60) / 5</f>
        <v>0</v>
      </c>
      <c r="M1034" t="str">
        <f>VLOOKUP(交易處理資料__3[[#This Row],[人員代號]],團隊分組!$B$1:$C$52,2,FALSE)</f>
        <v>查修團隊B</v>
      </c>
      <c r="N1034">
        <f>IF(交易處理資料__3[[#This Row],[上班時間]]=0,0,交易處理資料__3[[#This Row],[售出工時]]/交易處理資料__3[[#This Row],[上班時間]])</f>
        <v>0</v>
      </c>
      <c r="O1034" s="31" t="str">
        <f>IF(交易處理資料__3[[#This Row],[上班時間]]=0,"否","是")</f>
        <v>否</v>
      </c>
    </row>
    <row r="1035" spans="1:15" hidden="1">
      <c r="A1035" t="s">
        <v>75</v>
      </c>
      <c r="B1035" t="s">
        <v>22</v>
      </c>
      <c r="C1035">
        <v>0</v>
      </c>
      <c r="D1035">
        <v>0</v>
      </c>
      <c r="E1035" s="27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 s="9">
        <v>45318</v>
      </c>
      <c r="L1035">
        <f xml:space="preserve"> (交易處理資料__3[[#This Row],[售出工時]] * 60) / 5</f>
        <v>0</v>
      </c>
      <c r="M1035" t="str">
        <f>VLOOKUP(交易處理資料__3[[#This Row],[人員代號]],團隊分組!$B$1:$C$52,2,FALSE)</f>
        <v>快速保養團隊A</v>
      </c>
      <c r="N1035">
        <f>IF(交易處理資料__3[[#This Row],[上班時間]]=0,0,交易處理資料__3[[#This Row],[售出工時]]/交易處理資料__3[[#This Row],[上班時間]])</f>
        <v>0</v>
      </c>
      <c r="O1035" s="31" t="str">
        <f>IF(交易處理資料__3[[#This Row],[上班時間]]=0,"否","是")</f>
        <v>否</v>
      </c>
    </row>
    <row r="1036" spans="1:15" hidden="1">
      <c r="A1036" t="s">
        <v>75</v>
      </c>
      <c r="B1036" t="s">
        <v>23</v>
      </c>
      <c r="C1036">
        <v>8.4166666669999994</v>
      </c>
      <c r="D1036">
        <v>6.65</v>
      </c>
      <c r="E1036" s="27">
        <v>126.566416</v>
      </c>
      <c r="F1036">
        <v>7.29</v>
      </c>
      <c r="G1036">
        <v>0.61</v>
      </c>
      <c r="H1036">
        <v>7.9</v>
      </c>
      <c r="I1036">
        <v>92.28</v>
      </c>
      <c r="J1036">
        <v>106.54</v>
      </c>
      <c r="K1036" s="9">
        <v>45318</v>
      </c>
      <c r="L1036">
        <f xml:space="preserve"> (交易處理資料__3[[#This Row],[售出工時]] * 60) / 5</f>
        <v>101.00000000399999</v>
      </c>
      <c r="M1036" t="str">
        <f>VLOOKUP(交易處理資料__3[[#This Row],[人員代號]],團隊分組!$B$1:$C$52,2,FALSE)</f>
        <v>快速保養團隊B</v>
      </c>
      <c r="N1036">
        <f>IF(交易處理資料__3[[#This Row],[上班時間]]=0,0,交易處理資料__3[[#This Row],[售出工時]]/交易處理資料__3[[#This Row],[上班時間]])</f>
        <v>1.0654008439240505</v>
      </c>
      <c r="O1036" s="31" t="str">
        <f>IF(交易處理資料__3[[#This Row],[上班時間]]=0,"否","是")</f>
        <v>是</v>
      </c>
    </row>
    <row r="1037" spans="1:15" hidden="1">
      <c r="A1037" t="s">
        <v>75</v>
      </c>
      <c r="B1037" t="s">
        <v>24</v>
      </c>
      <c r="C1037">
        <v>5.3533333330000001</v>
      </c>
      <c r="D1037">
        <v>3.78</v>
      </c>
      <c r="E1037" s="27">
        <v>141.62257500000001</v>
      </c>
      <c r="F1037">
        <v>5.75</v>
      </c>
      <c r="G1037">
        <v>2.16</v>
      </c>
      <c r="H1037">
        <v>7.91</v>
      </c>
      <c r="I1037">
        <v>72.69</v>
      </c>
      <c r="J1037">
        <v>67.680000000000007</v>
      </c>
      <c r="K1037" s="9">
        <v>45318</v>
      </c>
      <c r="L1037">
        <f xml:space="preserve"> (交易處理資料__3[[#This Row],[售出工時]] * 60) / 5</f>
        <v>64.239999996000009</v>
      </c>
      <c r="M1037" t="str">
        <f>VLOOKUP(交易處理資料__3[[#This Row],[人員代號]],團隊分組!$B$1:$C$52,2,FALSE)</f>
        <v>快速保養團隊A</v>
      </c>
      <c r="N1037">
        <f>IF(交易處理資料__3[[#This Row],[上班時間]]=0,0,交易處理資料__3[[#This Row],[售出工時]]/交易處理資料__3[[#This Row],[上班時間]])</f>
        <v>0.67678044664981041</v>
      </c>
      <c r="O1037" s="31" t="str">
        <f>IF(交易處理資料__3[[#This Row],[上班時間]]=0,"否","是")</f>
        <v>是</v>
      </c>
    </row>
    <row r="1038" spans="1:15" hidden="1">
      <c r="A1038" t="s">
        <v>75</v>
      </c>
      <c r="B1038" t="s">
        <v>26</v>
      </c>
      <c r="C1038">
        <v>0</v>
      </c>
      <c r="D1038">
        <v>0</v>
      </c>
      <c r="E1038" s="27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 s="9">
        <v>45318</v>
      </c>
      <c r="L1038">
        <f xml:space="preserve"> (交易處理資料__3[[#This Row],[售出工時]] * 60) / 5</f>
        <v>0</v>
      </c>
      <c r="M1038" t="str">
        <f>VLOOKUP(交易處理資料__3[[#This Row],[人員代號]],團隊分組!$B$1:$C$52,2,FALSE)</f>
        <v>查修團隊B</v>
      </c>
      <c r="N1038">
        <f>IF(交易處理資料__3[[#This Row],[上班時間]]=0,0,交易處理資料__3[[#This Row],[售出工時]]/交易處理資料__3[[#This Row],[上班時間]])</f>
        <v>0</v>
      </c>
      <c r="O1038" s="31" t="str">
        <f>IF(交易處理資料__3[[#This Row],[上班時間]]=0,"否","是")</f>
        <v>否</v>
      </c>
    </row>
    <row r="1039" spans="1:15" hidden="1">
      <c r="A1039" t="s">
        <v>75</v>
      </c>
      <c r="B1039" t="s">
        <v>27</v>
      </c>
      <c r="C1039">
        <v>0</v>
      </c>
      <c r="D1039">
        <v>0</v>
      </c>
      <c r="E1039" s="27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 s="9">
        <v>45318</v>
      </c>
      <c r="L1039">
        <f xml:space="preserve"> (交易處理資料__3[[#This Row],[售出工時]] * 60) / 5</f>
        <v>0</v>
      </c>
      <c r="M1039" t="str">
        <f>VLOOKUP(交易處理資料__3[[#This Row],[人員代號]],團隊分組!$B$1:$C$52,2,FALSE)</f>
        <v>快速保養團隊B</v>
      </c>
      <c r="N1039">
        <f>IF(交易處理資料__3[[#This Row],[上班時間]]=0,0,交易處理資料__3[[#This Row],[售出工時]]/交易處理資料__3[[#This Row],[上班時間]])</f>
        <v>0</v>
      </c>
      <c r="O1039" s="31" t="str">
        <f>IF(交易處理資料__3[[#This Row],[上班時間]]=0,"否","是")</f>
        <v>否</v>
      </c>
    </row>
    <row r="1040" spans="1:15" hidden="1">
      <c r="A1040" t="s">
        <v>75</v>
      </c>
      <c r="B1040" t="s">
        <v>28</v>
      </c>
      <c r="C1040">
        <v>0</v>
      </c>
      <c r="D1040">
        <v>0</v>
      </c>
      <c r="E1040" s="27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 s="9">
        <v>45318</v>
      </c>
      <c r="L1040">
        <f xml:space="preserve"> (交易處理資料__3[[#This Row],[售出工時]] * 60) / 5</f>
        <v>0</v>
      </c>
      <c r="M1040" t="str">
        <f>VLOOKUP(交易處理資料__3[[#This Row],[人員代號]],團隊分組!$B$1:$C$52,2,FALSE)</f>
        <v>快速保養團隊A</v>
      </c>
      <c r="N1040">
        <f>IF(交易處理資料__3[[#This Row],[上班時間]]=0,0,交易處理資料__3[[#This Row],[售出工時]]/交易處理資料__3[[#This Row],[上班時間]])</f>
        <v>0</v>
      </c>
      <c r="O1040" s="31" t="str">
        <f>IF(交易處理資料__3[[#This Row],[上班時間]]=0,"否","是")</f>
        <v>否</v>
      </c>
    </row>
    <row r="1041" spans="1:15" hidden="1">
      <c r="A1041" t="s">
        <v>75</v>
      </c>
      <c r="B1041" t="s">
        <v>32</v>
      </c>
      <c r="C1041">
        <v>1.9566666669999999</v>
      </c>
      <c r="D1041">
        <v>1.55</v>
      </c>
      <c r="E1041" s="27">
        <v>126.23655909999999</v>
      </c>
      <c r="F1041">
        <v>5.92</v>
      </c>
      <c r="G1041">
        <v>1.96</v>
      </c>
      <c r="H1041">
        <v>7.88</v>
      </c>
      <c r="I1041">
        <v>75.13</v>
      </c>
      <c r="J1041">
        <v>24.83</v>
      </c>
      <c r="K1041" s="9">
        <v>45318</v>
      </c>
      <c r="L1041">
        <f xml:space="preserve"> (交易處理資料__3[[#This Row],[售出工時]] * 60) / 5</f>
        <v>23.480000003999997</v>
      </c>
      <c r="M1041" t="str">
        <f>VLOOKUP(交易處理資料__3[[#This Row],[人員代號]],團隊分組!$B$1:$C$52,2,FALSE)</f>
        <v>快速保養團隊B</v>
      </c>
      <c r="N1041">
        <f>IF(交易處理資料__3[[#This Row],[上班時間]]=0,0,交易處理資料__3[[#This Row],[售出工時]]/交易處理資料__3[[#This Row],[上班時間]])</f>
        <v>0.2483079526649746</v>
      </c>
      <c r="O1041" s="31" t="str">
        <f>IF(交易處理資料__3[[#This Row],[上班時間]]=0,"否","是")</f>
        <v>是</v>
      </c>
    </row>
    <row r="1042" spans="1:15">
      <c r="A1042" t="s">
        <v>75</v>
      </c>
      <c r="B1042" t="s">
        <v>33</v>
      </c>
      <c r="C1042">
        <v>0</v>
      </c>
      <c r="D1042">
        <v>0</v>
      </c>
      <c r="E1042" s="27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 s="9">
        <v>45318</v>
      </c>
      <c r="L1042">
        <f xml:space="preserve"> (交易處理資料__3[[#This Row],[售出工時]] * 60) / 5</f>
        <v>0</v>
      </c>
      <c r="M1042" t="str">
        <f>VLOOKUP(交易處理資料__3[[#This Row],[人員代號]],團隊分組!$B$1:$C$52,2,FALSE)</f>
        <v>快速保養團隊B</v>
      </c>
      <c r="N1042">
        <f>IF(交易處理資料__3[[#This Row],[上班時間]]=0,0,交易處理資料__3[[#This Row],[售出工時]]/交易處理資料__3[[#This Row],[上班時間]])</f>
        <v>0</v>
      </c>
      <c r="O1042" s="31" t="str">
        <f>IF(交易處理資料__3[[#This Row],[上班時間]]=0,"否","是")</f>
        <v>否</v>
      </c>
    </row>
    <row r="1043" spans="1:15" hidden="1">
      <c r="A1043" t="s">
        <v>75</v>
      </c>
      <c r="B1043" t="s">
        <v>34</v>
      </c>
      <c r="C1043">
        <v>0</v>
      </c>
      <c r="D1043">
        <v>0</v>
      </c>
      <c r="E1043" s="27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 s="9">
        <v>45318</v>
      </c>
      <c r="L1043">
        <f xml:space="preserve"> (交易處理資料__3[[#This Row],[售出工時]] * 60) / 5</f>
        <v>0</v>
      </c>
      <c r="M1043" t="str">
        <f>VLOOKUP(交易處理資料__3[[#This Row],[人員代號]],團隊分組!$B$1:$C$52,2,FALSE)</f>
        <v>快速保養團隊A</v>
      </c>
      <c r="N1043">
        <f>IF(交易處理資料__3[[#This Row],[上班時間]]=0,0,交易處理資料__3[[#This Row],[售出工時]]/交易處理資料__3[[#This Row],[上班時間]])</f>
        <v>0</v>
      </c>
      <c r="O1043" s="31" t="str">
        <f>IF(交易處理資料__3[[#This Row],[上班時間]]=0,"否","是")</f>
        <v>否</v>
      </c>
    </row>
    <row r="1044" spans="1:15" hidden="1">
      <c r="A1044" t="s">
        <v>75</v>
      </c>
      <c r="B1044" t="s">
        <v>35</v>
      </c>
      <c r="C1044">
        <v>5.42</v>
      </c>
      <c r="D1044">
        <v>5.51</v>
      </c>
      <c r="E1044" s="27">
        <v>98.366606169999997</v>
      </c>
      <c r="F1044">
        <v>4.3</v>
      </c>
      <c r="G1044">
        <v>3.58</v>
      </c>
      <c r="H1044">
        <v>7.88</v>
      </c>
      <c r="I1044">
        <v>54.57</v>
      </c>
      <c r="J1044">
        <v>68.78</v>
      </c>
      <c r="K1044" s="9">
        <v>45318</v>
      </c>
      <c r="L1044">
        <f xml:space="preserve"> (交易處理資料__3[[#This Row],[售出工時]] * 60) / 5</f>
        <v>65.039999999999992</v>
      </c>
      <c r="M1044" t="str">
        <f>VLOOKUP(交易處理資料__3[[#This Row],[人員代號]],團隊分組!$B$1:$C$52,2,FALSE)</f>
        <v>查修團隊B</v>
      </c>
      <c r="N1044">
        <f>IF(交易處理資料__3[[#This Row],[上班時間]]=0,0,交易處理資料__3[[#This Row],[售出工時]]/交易處理資料__3[[#This Row],[上班時間]])</f>
        <v>0.68781725888324874</v>
      </c>
      <c r="O1044" s="31" t="str">
        <f>IF(交易處理資料__3[[#This Row],[上班時間]]=0,"否","是")</f>
        <v>是</v>
      </c>
    </row>
    <row r="1045" spans="1:15" hidden="1">
      <c r="A1045" t="s">
        <v>75</v>
      </c>
      <c r="B1045" t="s">
        <v>36</v>
      </c>
      <c r="C1045">
        <v>6.6766666670000001</v>
      </c>
      <c r="D1045">
        <v>6.77</v>
      </c>
      <c r="E1045" s="27">
        <v>98.621368779999997</v>
      </c>
      <c r="F1045">
        <v>6.64</v>
      </c>
      <c r="G1045">
        <v>1.36</v>
      </c>
      <c r="H1045">
        <v>8</v>
      </c>
      <c r="I1045">
        <v>83</v>
      </c>
      <c r="J1045">
        <v>83.46</v>
      </c>
      <c r="K1045" s="9">
        <v>45318</v>
      </c>
      <c r="L1045">
        <f xml:space="preserve"> (交易處理資料__3[[#This Row],[售出工時]] * 60) / 5</f>
        <v>80.120000003999991</v>
      </c>
      <c r="M1045" t="str">
        <f>VLOOKUP(交易處理資料__3[[#This Row],[人員代號]],團隊分組!$B$1:$C$52,2,FALSE)</f>
        <v>查修團隊B</v>
      </c>
      <c r="N1045">
        <f>IF(交易處理資料__3[[#This Row],[上班時間]]=0,0,交易處理資料__3[[#This Row],[售出工時]]/交易處理資料__3[[#This Row],[上班時間]])</f>
        <v>0.83458333337500001</v>
      </c>
      <c r="O1045" s="31" t="str">
        <f>IF(交易處理資料__3[[#This Row],[上班時間]]=0,"否","是")</f>
        <v>是</v>
      </c>
    </row>
    <row r="1046" spans="1:15" hidden="1">
      <c r="A1046" t="s">
        <v>75</v>
      </c>
      <c r="B1046" t="s">
        <v>40</v>
      </c>
      <c r="C1046">
        <v>5.91</v>
      </c>
      <c r="D1046">
        <v>5.3</v>
      </c>
      <c r="E1046" s="27">
        <v>111.509434</v>
      </c>
      <c r="F1046">
        <v>5.3</v>
      </c>
      <c r="G1046">
        <v>2.5499999999999998</v>
      </c>
      <c r="H1046">
        <v>7.85</v>
      </c>
      <c r="I1046">
        <v>67.52</v>
      </c>
      <c r="J1046">
        <v>75.290000000000006</v>
      </c>
      <c r="K1046" s="9">
        <v>45318</v>
      </c>
      <c r="L1046">
        <f xml:space="preserve"> (交易處理資料__3[[#This Row],[售出工時]] * 60) / 5</f>
        <v>70.92</v>
      </c>
      <c r="M1046" t="str">
        <f>VLOOKUP(交易處理資料__3[[#This Row],[人員代號]],團隊分組!$B$1:$C$52,2,FALSE)</f>
        <v>查修團隊A</v>
      </c>
      <c r="N1046">
        <f>IF(交易處理資料__3[[#This Row],[上班時間]]=0,0,交易處理資料__3[[#This Row],[售出工時]]/交易處理資料__3[[#This Row],[上班時間]])</f>
        <v>0.75286624203821662</v>
      </c>
      <c r="O1046" s="31" t="str">
        <f>IF(交易處理資料__3[[#This Row],[上班時間]]=0,"否","是")</f>
        <v>是</v>
      </c>
    </row>
    <row r="1047" spans="1:15" hidden="1">
      <c r="A1047" t="s">
        <v>75</v>
      </c>
      <c r="B1047" t="s">
        <v>41</v>
      </c>
      <c r="C1047">
        <v>13.83333333</v>
      </c>
      <c r="D1047">
        <v>4.92</v>
      </c>
      <c r="E1047" s="27">
        <v>281.16531170000002</v>
      </c>
      <c r="F1047">
        <v>7.27</v>
      </c>
      <c r="G1047">
        <v>0.63</v>
      </c>
      <c r="H1047">
        <v>7.9</v>
      </c>
      <c r="I1047">
        <v>92.03</v>
      </c>
      <c r="J1047">
        <v>175.11</v>
      </c>
      <c r="K1047" s="9">
        <v>45318</v>
      </c>
      <c r="L1047">
        <f xml:space="preserve"> (交易處理資料__3[[#This Row],[售出工時]] * 60) / 5</f>
        <v>165.99999996000003</v>
      </c>
      <c r="M1047" t="str">
        <f>VLOOKUP(交易處理資料__3[[#This Row],[人員代號]],團隊分組!$B$1:$C$52,2,FALSE)</f>
        <v>快速保養團隊A</v>
      </c>
      <c r="N1047">
        <f>IF(交易處理資料__3[[#This Row],[上班時間]]=0,0,交易處理資料__3[[#This Row],[售出工時]]/交易處理資料__3[[#This Row],[上班時間]])</f>
        <v>1.7510548518987341</v>
      </c>
      <c r="O1047" s="31" t="str">
        <f>IF(交易處理資料__3[[#This Row],[上班時間]]=0,"否","是")</f>
        <v>是</v>
      </c>
    </row>
    <row r="1048" spans="1:15" hidden="1">
      <c r="A1048" t="s">
        <v>75</v>
      </c>
      <c r="B1048" t="s">
        <v>42</v>
      </c>
      <c r="C1048">
        <v>4.4166666670000003</v>
      </c>
      <c r="D1048">
        <v>4.74</v>
      </c>
      <c r="E1048" s="27">
        <v>93.178621660000005</v>
      </c>
      <c r="F1048">
        <v>5.08</v>
      </c>
      <c r="G1048">
        <v>2.81</v>
      </c>
      <c r="H1048">
        <v>7.89</v>
      </c>
      <c r="I1048">
        <v>64.39</v>
      </c>
      <c r="J1048">
        <v>55.98</v>
      </c>
      <c r="K1048" s="9">
        <v>45318</v>
      </c>
      <c r="L1048">
        <f xml:space="preserve"> (交易處理資料__3[[#This Row],[售出工時]] * 60) / 5</f>
        <v>53.000000004</v>
      </c>
      <c r="M1048" t="str">
        <f>VLOOKUP(交易處理資料__3[[#This Row],[人員代號]],團隊分組!$B$1:$C$52,2,FALSE)</f>
        <v>快速保養團隊A</v>
      </c>
      <c r="N1048">
        <f>IF(交易處理資料__3[[#This Row],[上班時間]]=0,0,交易處理資料__3[[#This Row],[售出工時]]/交易處理資料__3[[#This Row],[上班時間]])</f>
        <v>0.55978031267427131</v>
      </c>
      <c r="O1048" s="31" t="str">
        <f>IF(交易處理資料__3[[#This Row],[上班時間]]=0,"否","是")</f>
        <v>是</v>
      </c>
    </row>
    <row r="1049" spans="1:15" hidden="1">
      <c r="A1049" t="s">
        <v>75</v>
      </c>
      <c r="B1049" t="s">
        <v>43</v>
      </c>
      <c r="C1049">
        <v>6.94</v>
      </c>
      <c r="D1049">
        <v>7.21</v>
      </c>
      <c r="E1049" s="27">
        <v>96.255201110000002</v>
      </c>
      <c r="F1049">
        <v>6.53</v>
      </c>
      <c r="G1049">
        <v>1.46</v>
      </c>
      <c r="H1049">
        <v>7.99</v>
      </c>
      <c r="I1049">
        <v>81.73</v>
      </c>
      <c r="J1049">
        <v>86.86</v>
      </c>
      <c r="K1049" s="9">
        <v>45318</v>
      </c>
      <c r="L1049">
        <f xml:space="preserve"> (交易處理資料__3[[#This Row],[售出工時]] * 60) / 5</f>
        <v>83.28</v>
      </c>
      <c r="M1049" t="str">
        <f>VLOOKUP(交易處理資料__3[[#This Row],[人員代號]],團隊分組!$B$1:$C$52,2,FALSE)</f>
        <v>查修團隊B</v>
      </c>
      <c r="N1049">
        <f>IF(交易處理資料__3[[#This Row],[上班時間]]=0,0,交易處理資料__3[[#This Row],[售出工時]]/交易處理資料__3[[#This Row],[上班時間]])</f>
        <v>0.86858573216520651</v>
      </c>
      <c r="O1049" s="31" t="str">
        <f>IF(交易處理資料__3[[#This Row],[上班時間]]=0,"否","是")</f>
        <v>是</v>
      </c>
    </row>
    <row r="1050" spans="1:15" hidden="1">
      <c r="A1050" t="s">
        <v>75</v>
      </c>
      <c r="B1050" t="s">
        <v>46</v>
      </c>
      <c r="C1050">
        <v>0</v>
      </c>
      <c r="D1050">
        <v>0</v>
      </c>
      <c r="E1050" s="27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 s="9">
        <v>45318</v>
      </c>
      <c r="L1050">
        <f xml:space="preserve"> (交易處理資料__3[[#This Row],[售出工時]] * 60) / 5</f>
        <v>0</v>
      </c>
      <c r="M1050" t="str">
        <f>VLOOKUP(交易處理資料__3[[#This Row],[人員代號]],團隊分組!$B$1:$C$52,2,FALSE)</f>
        <v>查修團隊B</v>
      </c>
      <c r="N1050">
        <f>IF(交易處理資料__3[[#This Row],[上班時間]]=0,0,交易處理資料__3[[#This Row],[售出工時]]/交易處理資料__3[[#This Row],[上班時間]])</f>
        <v>0</v>
      </c>
      <c r="O1050" s="31" t="str">
        <f>IF(交易處理資料__3[[#This Row],[上班時間]]=0,"否","是")</f>
        <v>否</v>
      </c>
    </row>
    <row r="1051" spans="1:15" hidden="1">
      <c r="A1051" t="s">
        <v>75</v>
      </c>
      <c r="B1051" t="s">
        <v>47</v>
      </c>
      <c r="C1051">
        <v>6.0833333329999997</v>
      </c>
      <c r="D1051">
        <v>4.3600000000000003</v>
      </c>
      <c r="E1051" s="27">
        <v>139.5259939</v>
      </c>
      <c r="F1051">
        <v>3.98</v>
      </c>
      <c r="G1051">
        <v>3.9</v>
      </c>
      <c r="H1051">
        <v>7.88</v>
      </c>
      <c r="I1051">
        <v>50.51</v>
      </c>
      <c r="J1051">
        <v>77.2</v>
      </c>
      <c r="K1051" s="9">
        <v>45318</v>
      </c>
      <c r="L1051">
        <f xml:space="preserve"> (交易處理資料__3[[#This Row],[售出工時]] * 60) / 5</f>
        <v>72.999999996</v>
      </c>
      <c r="M1051" t="str">
        <f>VLOOKUP(交易處理資料__3[[#This Row],[人員代號]],團隊分組!$B$1:$C$52,2,FALSE)</f>
        <v>查修團隊B</v>
      </c>
      <c r="N1051">
        <f>IF(交易處理資料__3[[#This Row],[上班時間]]=0,0,交易處理資料__3[[#This Row],[售出工時]]/交易處理資料__3[[#This Row],[上班時間]])</f>
        <v>0.7719966158629441</v>
      </c>
      <c r="O1051" s="31" t="str">
        <f>IF(交易處理資料__3[[#This Row],[上班時間]]=0,"否","是")</f>
        <v>是</v>
      </c>
    </row>
    <row r="1052" spans="1:15" hidden="1">
      <c r="A1052" t="s">
        <v>75</v>
      </c>
      <c r="B1052" t="s">
        <v>48</v>
      </c>
      <c r="C1052">
        <v>4.8333333329999997</v>
      </c>
      <c r="D1052">
        <v>4.42</v>
      </c>
      <c r="E1052" s="27">
        <v>109.35143290000001</v>
      </c>
      <c r="F1052">
        <v>4.42</v>
      </c>
      <c r="G1052">
        <v>3.44</v>
      </c>
      <c r="H1052">
        <v>7.86</v>
      </c>
      <c r="I1052">
        <v>56.23</v>
      </c>
      <c r="J1052">
        <v>61.49</v>
      </c>
      <c r="K1052" s="9">
        <v>45318</v>
      </c>
      <c r="L1052">
        <f xml:space="preserve"> (交易處理資料__3[[#This Row],[售出工時]] * 60) / 5</f>
        <v>57.999999996</v>
      </c>
      <c r="M1052" t="str">
        <f>VLOOKUP(交易處理資料__3[[#This Row],[人員代號]],團隊分組!$B$1:$C$52,2,FALSE)</f>
        <v>查修團隊A</v>
      </c>
      <c r="N1052">
        <f>IF(交易處理資料__3[[#This Row],[上班時間]]=0,0,交易處理資料__3[[#This Row],[售出工時]]/交易處理資料__3[[#This Row],[上班時間]])</f>
        <v>0.61492790496183203</v>
      </c>
      <c r="O1052" s="31" t="str">
        <f>IF(交易處理資料__3[[#This Row],[上班時間]]=0,"否","是")</f>
        <v>是</v>
      </c>
    </row>
    <row r="1053" spans="1:15" hidden="1">
      <c r="A1053" t="s">
        <v>75</v>
      </c>
      <c r="B1053" t="s">
        <v>49</v>
      </c>
      <c r="C1053">
        <v>0</v>
      </c>
      <c r="D1053">
        <v>0</v>
      </c>
      <c r="E1053" s="27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 s="9">
        <v>45318</v>
      </c>
      <c r="L1053">
        <f xml:space="preserve"> (交易處理資料__3[[#This Row],[售出工時]] * 60) / 5</f>
        <v>0</v>
      </c>
      <c r="M1053" t="str">
        <f>VLOOKUP(交易處理資料__3[[#This Row],[人員代號]],團隊分組!$B$1:$C$52,2,FALSE)</f>
        <v>查修團隊A</v>
      </c>
      <c r="N1053">
        <f>IF(交易處理資料__3[[#This Row],[上班時間]]=0,0,交易處理資料__3[[#This Row],[售出工時]]/交易處理資料__3[[#This Row],[上班時間]])</f>
        <v>0</v>
      </c>
      <c r="O1053" s="31" t="str">
        <f>IF(交易處理資料__3[[#This Row],[上班時間]]=0,"否","是")</f>
        <v>否</v>
      </c>
    </row>
    <row r="1054" spans="1:15" hidden="1">
      <c r="A1054" t="s">
        <v>75</v>
      </c>
      <c r="B1054" t="s">
        <v>51</v>
      </c>
      <c r="C1054">
        <v>0</v>
      </c>
      <c r="D1054">
        <v>0</v>
      </c>
      <c r="E1054" s="27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 s="9">
        <v>45318</v>
      </c>
      <c r="L1054">
        <f xml:space="preserve"> (交易處理資料__3[[#This Row],[售出工時]] * 60) / 5</f>
        <v>0</v>
      </c>
      <c r="M1054" t="str">
        <f>VLOOKUP(交易處理資料__3[[#This Row],[人員代號]],團隊分組!$B$1:$C$52,2,FALSE)</f>
        <v>無效數據</v>
      </c>
      <c r="N1054">
        <f>IF(交易處理資料__3[[#This Row],[上班時間]]=0,0,交易處理資料__3[[#This Row],[售出工時]]/交易處理資料__3[[#This Row],[上班時間]])</f>
        <v>0</v>
      </c>
      <c r="O1054" s="31" t="str">
        <f>IF(交易處理資料__3[[#This Row],[上班時間]]=0,"否","是")</f>
        <v>否</v>
      </c>
    </row>
    <row r="1055" spans="1:15" hidden="1">
      <c r="A1055" s="10" t="s">
        <v>73</v>
      </c>
      <c r="B1055" t="s">
        <v>1</v>
      </c>
      <c r="C1055">
        <v>0</v>
      </c>
      <c r="D1055">
        <v>0</v>
      </c>
      <c r="E1055" s="27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 s="9">
        <v>45319</v>
      </c>
      <c r="L1055">
        <f xml:space="preserve"> (交易處理資料__3[[#This Row],[售出工時]] * 60) / 5</f>
        <v>0</v>
      </c>
      <c r="M1055" t="str">
        <f>VLOOKUP(交易處理資料__3[[#This Row],[人員代號]],團隊分組!$B$1:$C$52,2,FALSE)</f>
        <v>噴漆維修組</v>
      </c>
      <c r="N1055">
        <f>IF(交易處理資料__3[[#This Row],[上班時間]]=0,0,交易處理資料__3[[#This Row],[售出工時]]/交易處理資料__3[[#This Row],[上班時間]])</f>
        <v>0</v>
      </c>
      <c r="O1055" s="31" t="str">
        <f>IF(交易處理資料__3[[#This Row],[上班時間]]=0,"否","是")</f>
        <v>否</v>
      </c>
    </row>
    <row r="1056" spans="1:15" hidden="1">
      <c r="A1056" s="10" t="s">
        <v>73</v>
      </c>
      <c r="B1056" t="s">
        <v>2</v>
      </c>
      <c r="C1056">
        <v>0</v>
      </c>
      <c r="D1056">
        <v>0</v>
      </c>
      <c r="E1056" s="27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 s="9">
        <v>45319</v>
      </c>
      <c r="L1056">
        <f xml:space="preserve"> (交易處理資料__3[[#This Row],[售出工時]] * 60) / 5</f>
        <v>0</v>
      </c>
      <c r="M1056" t="str">
        <f>VLOOKUP(交易處理資料__3[[#This Row],[人員代號]],團隊分組!$B$1:$C$52,2,FALSE)</f>
        <v>噴漆維修組</v>
      </c>
      <c r="N1056">
        <f>IF(交易處理資料__3[[#This Row],[上班時間]]=0,0,交易處理資料__3[[#This Row],[售出工時]]/交易處理資料__3[[#This Row],[上班時間]])</f>
        <v>0</v>
      </c>
      <c r="O1056" s="31" t="str">
        <f>IF(交易處理資料__3[[#This Row],[上班時間]]=0,"否","是")</f>
        <v>否</v>
      </c>
    </row>
    <row r="1057" spans="1:15" hidden="1">
      <c r="A1057" s="10" t="s">
        <v>73</v>
      </c>
      <c r="B1057" t="s">
        <v>3</v>
      </c>
      <c r="C1057">
        <v>0</v>
      </c>
      <c r="D1057">
        <v>0</v>
      </c>
      <c r="E1057" s="2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 s="9">
        <v>45319</v>
      </c>
      <c r="L1057">
        <f xml:space="preserve"> (交易處理資料__3[[#This Row],[售出工時]] * 60) / 5</f>
        <v>0</v>
      </c>
      <c r="M1057" t="str">
        <f>VLOOKUP(交易處理資料__3[[#This Row],[人員代號]],團隊分組!$B$1:$C$52,2,FALSE)</f>
        <v>噴漆維修組</v>
      </c>
      <c r="N1057">
        <f>IF(交易處理資料__3[[#This Row],[上班時間]]=0,0,交易處理資料__3[[#This Row],[售出工時]]/交易處理資料__3[[#This Row],[上班時間]])</f>
        <v>0</v>
      </c>
      <c r="O1057" s="31" t="str">
        <f>IF(交易處理資料__3[[#This Row],[上班時間]]=0,"否","是")</f>
        <v>否</v>
      </c>
    </row>
    <row r="1058" spans="1:15" hidden="1">
      <c r="A1058" s="10" t="s">
        <v>73</v>
      </c>
      <c r="B1058" t="s">
        <v>4</v>
      </c>
      <c r="C1058">
        <v>0</v>
      </c>
      <c r="D1058">
        <v>0</v>
      </c>
      <c r="E1058" s="27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 s="9">
        <v>45319</v>
      </c>
      <c r="L1058">
        <f xml:space="preserve"> (交易處理資料__3[[#This Row],[售出工時]] * 60) / 5</f>
        <v>0</v>
      </c>
      <c r="M1058" t="str">
        <f>VLOOKUP(交易處理資料__3[[#This Row],[人員代號]],團隊分組!$B$1:$C$52,2,FALSE)</f>
        <v>噴漆維修組</v>
      </c>
      <c r="N1058">
        <f>IF(交易處理資料__3[[#This Row],[上班時間]]=0,0,交易處理資料__3[[#This Row],[售出工時]]/交易處理資料__3[[#This Row],[上班時間]])</f>
        <v>0</v>
      </c>
      <c r="O1058" s="31" t="str">
        <f>IF(交易處理資料__3[[#This Row],[上班時間]]=0,"否","是")</f>
        <v>否</v>
      </c>
    </row>
    <row r="1059" spans="1:15" hidden="1">
      <c r="A1059" s="10" t="s">
        <v>73</v>
      </c>
      <c r="B1059" t="s">
        <v>5</v>
      </c>
      <c r="C1059">
        <v>0</v>
      </c>
      <c r="D1059">
        <v>0</v>
      </c>
      <c r="E1059" s="27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 s="9">
        <v>45319</v>
      </c>
      <c r="L1059">
        <f xml:space="preserve"> (交易處理資料__3[[#This Row],[售出工時]] * 60) / 5</f>
        <v>0</v>
      </c>
      <c r="M1059" t="str">
        <f>VLOOKUP(交易處理資料__3[[#This Row],[人員代號]],團隊分組!$B$1:$C$52,2,FALSE)</f>
        <v>噴漆維修組</v>
      </c>
      <c r="N1059">
        <f>IF(交易處理資料__3[[#This Row],[上班時間]]=0,0,交易處理資料__3[[#This Row],[售出工時]]/交易處理資料__3[[#This Row],[上班時間]])</f>
        <v>0</v>
      </c>
      <c r="O1059" s="31" t="str">
        <f>IF(交易處理資料__3[[#This Row],[上班時間]]=0,"否","是")</f>
        <v>否</v>
      </c>
    </row>
    <row r="1060" spans="1:15" hidden="1">
      <c r="A1060" s="10" t="s">
        <v>73</v>
      </c>
      <c r="B1060" t="s">
        <v>6</v>
      </c>
      <c r="C1060">
        <v>0</v>
      </c>
      <c r="D1060">
        <v>0</v>
      </c>
      <c r="E1060" s="27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 s="9">
        <v>45319</v>
      </c>
      <c r="L1060">
        <f xml:space="preserve"> (交易處理資料__3[[#This Row],[售出工時]] * 60) / 5</f>
        <v>0</v>
      </c>
      <c r="M1060" t="str">
        <f>VLOOKUP(交易處理資料__3[[#This Row],[人員代號]],團隊分組!$B$1:$C$52,2,FALSE)</f>
        <v>噴漆維修組</v>
      </c>
      <c r="N1060">
        <f>IF(交易處理資料__3[[#This Row],[上班時間]]=0,0,交易處理資料__3[[#This Row],[售出工時]]/交易處理資料__3[[#This Row],[上班時間]])</f>
        <v>0</v>
      </c>
      <c r="O1060" s="31" t="str">
        <f>IF(交易處理資料__3[[#This Row],[上班時間]]=0,"否","是")</f>
        <v>否</v>
      </c>
    </row>
    <row r="1061" spans="1:15" hidden="1">
      <c r="A1061" s="10" t="s">
        <v>73</v>
      </c>
      <c r="B1061" t="s">
        <v>7</v>
      </c>
      <c r="C1061">
        <v>0</v>
      </c>
      <c r="D1061">
        <v>0</v>
      </c>
      <c r="E1061" s="27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 s="9">
        <v>45319</v>
      </c>
      <c r="L1061">
        <f xml:space="preserve"> (交易處理資料__3[[#This Row],[售出工時]] * 60) / 5</f>
        <v>0</v>
      </c>
      <c r="M1061" t="str">
        <f>VLOOKUP(交易處理資料__3[[#This Row],[人員代號]],團隊分組!$B$1:$C$52,2,FALSE)</f>
        <v>噴漆維修組</v>
      </c>
      <c r="N1061">
        <f>IF(交易處理資料__3[[#This Row],[上班時間]]=0,0,交易處理資料__3[[#This Row],[售出工時]]/交易處理資料__3[[#This Row],[上班時間]])</f>
        <v>0</v>
      </c>
      <c r="O1061" s="31" t="str">
        <f>IF(交易處理資料__3[[#This Row],[上班時間]]=0,"否","是")</f>
        <v>否</v>
      </c>
    </row>
    <row r="1062" spans="1:15" hidden="1">
      <c r="A1062" s="10" t="s">
        <v>73</v>
      </c>
      <c r="B1062" t="s">
        <v>8</v>
      </c>
      <c r="C1062">
        <v>0</v>
      </c>
      <c r="D1062">
        <v>0</v>
      </c>
      <c r="E1062" s="27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 s="9">
        <v>45319</v>
      </c>
      <c r="L1062">
        <f xml:space="preserve"> (交易處理資料__3[[#This Row],[售出工時]] * 60) / 5</f>
        <v>0</v>
      </c>
      <c r="M1062" t="str">
        <f>VLOOKUP(交易處理資料__3[[#This Row],[人員代號]],團隊分組!$B$1:$C$52,2,FALSE)</f>
        <v>噴漆維修組</v>
      </c>
      <c r="N1062">
        <f>IF(交易處理資料__3[[#This Row],[上班時間]]=0,0,交易處理資料__3[[#This Row],[售出工時]]/交易處理資料__3[[#This Row],[上班時間]])</f>
        <v>0</v>
      </c>
      <c r="O1062" s="31" t="str">
        <f>IF(交易處理資料__3[[#This Row],[上班時間]]=0,"否","是")</f>
        <v>否</v>
      </c>
    </row>
    <row r="1063" spans="1:15" hidden="1">
      <c r="A1063" s="10" t="s">
        <v>73</v>
      </c>
      <c r="B1063" t="s">
        <v>9</v>
      </c>
      <c r="C1063">
        <v>0</v>
      </c>
      <c r="D1063">
        <v>0</v>
      </c>
      <c r="E1063" s="27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 s="9">
        <v>45319</v>
      </c>
      <c r="L1063">
        <f xml:space="preserve"> (交易處理資料__3[[#This Row],[售出工時]] * 60) / 5</f>
        <v>0</v>
      </c>
      <c r="M1063" t="str">
        <f>VLOOKUP(交易處理資料__3[[#This Row],[人員代號]],團隊分組!$B$1:$C$52,2,FALSE)</f>
        <v>噴漆維修組</v>
      </c>
      <c r="N1063">
        <f>IF(交易處理資料__3[[#This Row],[上班時間]]=0,0,交易處理資料__3[[#This Row],[售出工時]]/交易處理資料__3[[#This Row],[上班時間]])</f>
        <v>0</v>
      </c>
      <c r="O1063" s="31" t="str">
        <f>IF(交易處理資料__3[[#This Row],[上班時間]]=0,"否","是")</f>
        <v>否</v>
      </c>
    </row>
    <row r="1064" spans="1:15" hidden="1">
      <c r="A1064" t="s">
        <v>74</v>
      </c>
      <c r="B1064" t="s">
        <v>11</v>
      </c>
      <c r="C1064">
        <v>0</v>
      </c>
      <c r="D1064">
        <v>0</v>
      </c>
      <c r="E1064" s="27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 s="9">
        <v>45319</v>
      </c>
      <c r="L1064">
        <f xml:space="preserve"> (交易處理資料__3[[#This Row],[售出工時]] * 60) / 5</f>
        <v>0</v>
      </c>
      <c r="M1064" t="str">
        <f>VLOOKUP(交易處理資料__3[[#This Row],[人員代號]],團隊分組!$B$1:$C$52,2,FALSE)</f>
        <v>鈑金維修組</v>
      </c>
      <c r="N1064">
        <f>IF(交易處理資料__3[[#This Row],[上班時間]]=0,0,交易處理資料__3[[#This Row],[售出工時]]/交易處理資料__3[[#This Row],[上班時間]])</f>
        <v>0</v>
      </c>
      <c r="O1064" s="31" t="str">
        <f>IF(交易處理資料__3[[#This Row],[上班時間]]=0,"否","是")</f>
        <v>否</v>
      </c>
    </row>
    <row r="1065" spans="1:15" hidden="1">
      <c r="A1065" t="s">
        <v>74</v>
      </c>
      <c r="B1065" t="s">
        <v>12</v>
      </c>
      <c r="C1065">
        <v>0</v>
      </c>
      <c r="D1065">
        <v>0</v>
      </c>
      <c r="E1065" s="27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 s="9">
        <v>45319</v>
      </c>
      <c r="L1065">
        <f xml:space="preserve"> (交易處理資料__3[[#This Row],[售出工時]] * 60) / 5</f>
        <v>0</v>
      </c>
      <c r="M1065" t="str">
        <f>VLOOKUP(交易處理資料__3[[#This Row],[人員代號]],團隊分組!$B$1:$C$52,2,FALSE)</f>
        <v>鈑金維修組</v>
      </c>
      <c r="N1065">
        <f>IF(交易處理資料__3[[#This Row],[上班時間]]=0,0,交易處理資料__3[[#This Row],[售出工時]]/交易處理資料__3[[#This Row],[上班時間]])</f>
        <v>0</v>
      </c>
      <c r="O1065" s="31" t="str">
        <f>IF(交易處理資料__3[[#This Row],[上班時間]]=0,"否","是")</f>
        <v>否</v>
      </c>
    </row>
    <row r="1066" spans="1:15" hidden="1">
      <c r="A1066" t="s">
        <v>74</v>
      </c>
      <c r="B1066" t="s">
        <v>13</v>
      </c>
      <c r="C1066">
        <v>0</v>
      </c>
      <c r="D1066">
        <v>0</v>
      </c>
      <c r="E1066" s="27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 s="9">
        <v>45319</v>
      </c>
      <c r="L1066">
        <f xml:space="preserve"> (交易處理資料__3[[#This Row],[售出工時]] * 60) / 5</f>
        <v>0</v>
      </c>
      <c r="M1066" t="str">
        <f>VLOOKUP(交易處理資料__3[[#This Row],[人員代號]],團隊分組!$B$1:$C$52,2,FALSE)</f>
        <v>鈑金維修組</v>
      </c>
      <c r="N1066">
        <f>IF(交易處理資料__3[[#This Row],[上班時間]]=0,0,交易處理資料__3[[#This Row],[售出工時]]/交易處理資料__3[[#This Row],[上班時間]])</f>
        <v>0</v>
      </c>
      <c r="O1066" s="31" t="str">
        <f>IF(交易處理資料__3[[#This Row],[上班時間]]=0,"否","是")</f>
        <v>否</v>
      </c>
    </row>
    <row r="1067" spans="1:15" hidden="1">
      <c r="A1067" t="s">
        <v>74</v>
      </c>
      <c r="B1067" t="s">
        <v>14</v>
      </c>
      <c r="C1067">
        <v>0</v>
      </c>
      <c r="D1067">
        <v>0</v>
      </c>
      <c r="E1067" s="2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 s="9">
        <v>45319</v>
      </c>
      <c r="L1067">
        <f xml:space="preserve"> (交易處理資料__3[[#This Row],[售出工時]] * 60) / 5</f>
        <v>0</v>
      </c>
      <c r="M1067" t="str">
        <f>VLOOKUP(交易處理資料__3[[#This Row],[人員代號]],團隊分組!$B$1:$C$52,2,FALSE)</f>
        <v>鈑金維修組</v>
      </c>
      <c r="N1067">
        <f>IF(交易處理資料__3[[#This Row],[上班時間]]=0,0,交易處理資料__3[[#This Row],[售出工時]]/交易處理資料__3[[#This Row],[上班時間]])</f>
        <v>0</v>
      </c>
      <c r="O1067" s="31" t="str">
        <f>IF(交易處理資料__3[[#This Row],[上班時間]]=0,"否","是")</f>
        <v>否</v>
      </c>
    </row>
    <row r="1068" spans="1:15" hidden="1">
      <c r="A1068" t="s">
        <v>74</v>
      </c>
      <c r="B1068" t="s">
        <v>15</v>
      </c>
      <c r="C1068">
        <v>0</v>
      </c>
      <c r="D1068">
        <v>0</v>
      </c>
      <c r="E1068" s="27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 s="9">
        <v>45319</v>
      </c>
      <c r="L1068">
        <f xml:space="preserve"> (交易處理資料__3[[#This Row],[售出工時]] * 60) / 5</f>
        <v>0</v>
      </c>
      <c r="M1068" t="str">
        <f>VLOOKUP(交易處理資料__3[[#This Row],[人員代號]],團隊分組!$B$1:$C$52,2,FALSE)</f>
        <v>鈑金維修組</v>
      </c>
      <c r="N1068">
        <f>IF(交易處理資料__3[[#This Row],[上班時間]]=0,0,交易處理資料__3[[#This Row],[售出工時]]/交易處理資料__3[[#This Row],[上班時間]])</f>
        <v>0</v>
      </c>
      <c r="O1068" s="31" t="str">
        <f>IF(交易處理資料__3[[#This Row],[上班時間]]=0,"否","是")</f>
        <v>否</v>
      </c>
    </row>
    <row r="1069" spans="1:15" hidden="1">
      <c r="A1069" t="s">
        <v>75</v>
      </c>
      <c r="B1069" t="s">
        <v>17</v>
      </c>
      <c r="C1069">
        <v>0</v>
      </c>
      <c r="D1069">
        <v>0</v>
      </c>
      <c r="E1069" s="27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 s="9">
        <v>45319</v>
      </c>
      <c r="L1069">
        <f xml:space="preserve"> (交易處理資料__3[[#This Row],[售出工時]] * 60) / 5</f>
        <v>0</v>
      </c>
      <c r="M1069" t="str">
        <f>VLOOKUP(交易處理資料__3[[#This Row],[人員代號]],團隊分組!$B$1:$C$52,2,FALSE)</f>
        <v>快速保養團隊A</v>
      </c>
      <c r="N1069">
        <f>IF(交易處理資料__3[[#This Row],[上班時間]]=0,0,交易處理資料__3[[#This Row],[售出工時]]/交易處理資料__3[[#This Row],[上班時間]])</f>
        <v>0</v>
      </c>
      <c r="O1069" s="31" t="str">
        <f>IF(交易處理資料__3[[#This Row],[上班時間]]=0,"否","是")</f>
        <v>否</v>
      </c>
    </row>
    <row r="1070" spans="1:15" hidden="1">
      <c r="A1070" t="s">
        <v>75</v>
      </c>
      <c r="B1070" t="s">
        <v>18</v>
      </c>
      <c r="C1070">
        <v>0</v>
      </c>
      <c r="D1070">
        <v>0</v>
      </c>
      <c r="E1070" s="27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 s="9">
        <v>45319</v>
      </c>
      <c r="L1070">
        <f xml:space="preserve"> (交易處理資料__3[[#This Row],[售出工時]] * 60) / 5</f>
        <v>0</v>
      </c>
      <c r="M1070" t="str">
        <f>VLOOKUP(交易處理資料__3[[#This Row],[人員代號]],團隊分組!$B$1:$C$52,2,FALSE)</f>
        <v>查修團隊B</v>
      </c>
      <c r="N1070">
        <f>IF(交易處理資料__3[[#This Row],[上班時間]]=0,0,交易處理資料__3[[#This Row],[售出工時]]/交易處理資料__3[[#This Row],[上班時間]])</f>
        <v>0</v>
      </c>
      <c r="O1070" s="31" t="str">
        <f>IF(交易處理資料__3[[#This Row],[上班時間]]=0,"否","是")</f>
        <v>否</v>
      </c>
    </row>
    <row r="1071" spans="1:15" hidden="1">
      <c r="A1071" t="s">
        <v>75</v>
      </c>
      <c r="B1071" t="s">
        <v>19</v>
      </c>
      <c r="C1071">
        <v>0</v>
      </c>
      <c r="D1071">
        <v>0</v>
      </c>
      <c r="E1071" s="27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 s="9">
        <v>45319</v>
      </c>
      <c r="L1071">
        <f xml:space="preserve"> (交易處理資料__3[[#This Row],[售出工時]] * 60) / 5</f>
        <v>0</v>
      </c>
      <c r="M1071" t="str">
        <f>VLOOKUP(交易處理資料__3[[#This Row],[人員代號]],團隊分組!$B$1:$C$52,2,FALSE)</f>
        <v>查修團隊A</v>
      </c>
      <c r="N1071">
        <f>IF(交易處理資料__3[[#This Row],[上班時間]]=0,0,交易處理資料__3[[#This Row],[售出工時]]/交易處理資料__3[[#This Row],[上班時間]])</f>
        <v>0</v>
      </c>
      <c r="O1071" s="31" t="str">
        <f>IF(交易處理資料__3[[#This Row],[上班時間]]=0,"否","是")</f>
        <v>否</v>
      </c>
    </row>
    <row r="1072" spans="1:15" hidden="1">
      <c r="A1072" t="s">
        <v>75</v>
      </c>
      <c r="B1072" t="s">
        <v>20</v>
      </c>
      <c r="C1072">
        <v>0</v>
      </c>
      <c r="D1072">
        <v>0</v>
      </c>
      <c r="E1072" s="27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 s="9">
        <v>45319</v>
      </c>
      <c r="L1072">
        <f xml:space="preserve"> (交易處理資料__3[[#This Row],[售出工時]] * 60) / 5</f>
        <v>0</v>
      </c>
      <c r="M1072" t="str">
        <f>VLOOKUP(交易處理資料__3[[#This Row],[人員代號]],團隊分組!$B$1:$C$52,2,FALSE)</f>
        <v>查修團隊B</v>
      </c>
      <c r="N1072">
        <f>IF(交易處理資料__3[[#This Row],[上班時間]]=0,0,交易處理資料__3[[#This Row],[售出工時]]/交易處理資料__3[[#This Row],[上班時間]])</f>
        <v>0</v>
      </c>
      <c r="O1072" s="31" t="str">
        <f>IF(交易處理資料__3[[#This Row],[上班時間]]=0,"否","是")</f>
        <v>否</v>
      </c>
    </row>
    <row r="1073" spans="1:15" hidden="1">
      <c r="A1073" t="s">
        <v>75</v>
      </c>
      <c r="B1073" t="s">
        <v>21</v>
      </c>
      <c r="C1073">
        <v>0</v>
      </c>
      <c r="D1073">
        <v>0</v>
      </c>
      <c r="E1073" s="27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 s="9">
        <v>45319</v>
      </c>
      <c r="L1073">
        <f xml:space="preserve"> (交易處理資料__3[[#This Row],[售出工時]] * 60) / 5</f>
        <v>0</v>
      </c>
      <c r="M1073" t="str">
        <f>VLOOKUP(交易處理資料__3[[#This Row],[人員代號]],團隊分組!$B$1:$C$52,2,FALSE)</f>
        <v>查修團隊B</v>
      </c>
      <c r="N1073">
        <f>IF(交易處理資料__3[[#This Row],[上班時間]]=0,0,交易處理資料__3[[#This Row],[售出工時]]/交易處理資料__3[[#This Row],[上班時間]])</f>
        <v>0</v>
      </c>
      <c r="O1073" s="31" t="str">
        <f>IF(交易處理資料__3[[#This Row],[上班時間]]=0,"否","是")</f>
        <v>否</v>
      </c>
    </row>
    <row r="1074" spans="1:15" hidden="1">
      <c r="A1074" t="s">
        <v>75</v>
      </c>
      <c r="B1074" t="s">
        <v>22</v>
      </c>
      <c r="C1074">
        <v>0</v>
      </c>
      <c r="D1074">
        <v>0</v>
      </c>
      <c r="E1074" s="27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 s="9">
        <v>45319</v>
      </c>
      <c r="L1074">
        <f xml:space="preserve"> (交易處理資料__3[[#This Row],[售出工時]] * 60) / 5</f>
        <v>0</v>
      </c>
      <c r="M1074" t="str">
        <f>VLOOKUP(交易處理資料__3[[#This Row],[人員代號]],團隊分組!$B$1:$C$52,2,FALSE)</f>
        <v>快速保養團隊A</v>
      </c>
      <c r="N1074">
        <f>IF(交易處理資料__3[[#This Row],[上班時間]]=0,0,交易處理資料__3[[#This Row],[售出工時]]/交易處理資料__3[[#This Row],[上班時間]])</f>
        <v>0</v>
      </c>
      <c r="O1074" s="31" t="str">
        <f>IF(交易處理資料__3[[#This Row],[上班時間]]=0,"否","是")</f>
        <v>否</v>
      </c>
    </row>
    <row r="1075" spans="1:15" hidden="1">
      <c r="A1075" t="s">
        <v>75</v>
      </c>
      <c r="B1075" t="s">
        <v>23</v>
      </c>
      <c r="C1075">
        <v>0</v>
      </c>
      <c r="D1075">
        <v>0</v>
      </c>
      <c r="E1075" s="27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 s="9">
        <v>45319</v>
      </c>
      <c r="L1075">
        <f xml:space="preserve"> (交易處理資料__3[[#This Row],[售出工時]] * 60) / 5</f>
        <v>0</v>
      </c>
      <c r="M1075" t="str">
        <f>VLOOKUP(交易處理資料__3[[#This Row],[人員代號]],團隊分組!$B$1:$C$52,2,FALSE)</f>
        <v>快速保養團隊B</v>
      </c>
      <c r="N1075">
        <f>IF(交易處理資料__3[[#This Row],[上班時間]]=0,0,交易處理資料__3[[#This Row],[售出工時]]/交易處理資料__3[[#This Row],[上班時間]])</f>
        <v>0</v>
      </c>
      <c r="O1075" s="31" t="str">
        <f>IF(交易處理資料__3[[#This Row],[上班時間]]=0,"否","是")</f>
        <v>否</v>
      </c>
    </row>
    <row r="1076" spans="1:15" hidden="1">
      <c r="A1076" t="s">
        <v>75</v>
      </c>
      <c r="B1076" t="s">
        <v>24</v>
      </c>
      <c r="C1076">
        <v>0</v>
      </c>
      <c r="D1076">
        <v>0</v>
      </c>
      <c r="E1076" s="27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 s="9">
        <v>45319</v>
      </c>
      <c r="L1076">
        <f xml:space="preserve"> (交易處理資料__3[[#This Row],[售出工時]] * 60) / 5</f>
        <v>0</v>
      </c>
      <c r="M1076" t="str">
        <f>VLOOKUP(交易處理資料__3[[#This Row],[人員代號]],團隊分組!$B$1:$C$52,2,FALSE)</f>
        <v>快速保養團隊A</v>
      </c>
      <c r="N1076">
        <f>IF(交易處理資料__3[[#This Row],[上班時間]]=0,0,交易處理資料__3[[#This Row],[售出工時]]/交易處理資料__3[[#This Row],[上班時間]])</f>
        <v>0</v>
      </c>
      <c r="O1076" s="31" t="str">
        <f>IF(交易處理資料__3[[#This Row],[上班時間]]=0,"否","是")</f>
        <v>否</v>
      </c>
    </row>
    <row r="1077" spans="1:15" hidden="1">
      <c r="A1077" t="s">
        <v>75</v>
      </c>
      <c r="B1077" t="s">
        <v>25</v>
      </c>
      <c r="C1077">
        <v>0</v>
      </c>
      <c r="D1077">
        <v>0</v>
      </c>
      <c r="E1077" s="2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 s="9">
        <v>45319</v>
      </c>
      <c r="L1077">
        <f xml:space="preserve"> (交易處理資料__3[[#This Row],[售出工時]] * 60) / 5</f>
        <v>0</v>
      </c>
      <c r="M1077" t="str">
        <f>VLOOKUP(交易處理資料__3[[#This Row],[人員代號]],團隊分組!$B$1:$C$52,2,FALSE)</f>
        <v>查修團隊A</v>
      </c>
      <c r="N1077">
        <f>IF(交易處理資料__3[[#This Row],[上班時間]]=0,0,交易處理資料__3[[#This Row],[售出工時]]/交易處理資料__3[[#This Row],[上班時間]])</f>
        <v>0</v>
      </c>
      <c r="O1077" s="31" t="str">
        <f>IF(交易處理資料__3[[#This Row],[上班時間]]=0,"否","是")</f>
        <v>否</v>
      </c>
    </row>
    <row r="1078" spans="1:15" hidden="1">
      <c r="A1078" t="s">
        <v>75</v>
      </c>
      <c r="B1078" t="s">
        <v>26</v>
      </c>
      <c r="C1078">
        <v>0</v>
      </c>
      <c r="D1078">
        <v>0</v>
      </c>
      <c r="E1078" s="27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 s="9">
        <v>45319</v>
      </c>
      <c r="L1078">
        <f xml:space="preserve"> (交易處理資料__3[[#This Row],[售出工時]] * 60) / 5</f>
        <v>0</v>
      </c>
      <c r="M1078" t="str">
        <f>VLOOKUP(交易處理資料__3[[#This Row],[人員代號]],團隊分組!$B$1:$C$52,2,FALSE)</f>
        <v>查修團隊B</v>
      </c>
      <c r="N1078">
        <f>IF(交易處理資料__3[[#This Row],[上班時間]]=0,0,交易處理資料__3[[#This Row],[售出工時]]/交易處理資料__3[[#This Row],[上班時間]])</f>
        <v>0</v>
      </c>
      <c r="O1078" s="31" t="str">
        <f>IF(交易處理資料__3[[#This Row],[上班時間]]=0,"否","是")</f>
        <v>否</v>
      </c>
    </row>
    <row r="1079" spans="1:15" hidden="1">
      <c r="A1079" t="s">
        <v>75</v>
      </c>
      <c r="B1079" t="s">
        <v>27</v>
      </c>
      <c r="C1079">
        <v>0</v>
      </c>
      <c r="D1079">
        <v>0</v>
      </c>
      <c r="E1079" s="27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 s="9">
        <v>45319</v>
      </c>
      <c r="L1079">
        <f xml:space="preserve"> (交易處理資料__3[[#This Row],[售出工時]] * 60) / 5</f>
        <v>0</v>
      </c>
      <c r="M1079" t="str">
        <f>VLOOKUP(交易處理資料__3[[#This Row],[人員代號]],團隊分組!$B$1:$C$52,2,FALSE)</f>
        <v>快速保養團隊B</v>
      </c>
      <c r="N1079">
        <f>IF(交易處理資料__3[[#This Row],[上班時間]]=0,0,交易處理資料__3[[#This Row],[售出工時]]/交易處理資料__3[[#This Row],[上班時間]])</f>
        <v>0</v>
      </c>
      <c r="O1079" s="31" t="str">
        <f>IF(交易處理資料__3[[#This Row],[上班時間]]=0,"否","是")</f>
        <v>否</v>
      </c>
    </row>
    <row r="1080" spans="1:15" hidden="1">
      <c r="A1080" t="s">
        <v>75</v>
      </c>
      <c r="B1080" t="s">
        <v>28</v>
      </c>
      <c r="C1080">
        <v>0</v>
      </c>
      <c r="D1080">
        <v>0</v>
      </c>
      <c r="E1080" s="27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 s="9">
        <v>45319</v>
      </c>
      <c r="L1080">
        <f xml:space="preserve"> (交易處理資料__3[[#This Row],[售出工時]] * 60) / 5</f>
        <v>0</v>
      </c>
      <c r="M1080" t="str">
        <f>VLOOKUP(交易處理資料__3[[#This Row],[人員代號]],團隊分組!$B$1:$C$52,2,FALSE)</f>
        <v>快速保養團隊A</v>
      </c>
      <c r="N1080">
        <f>IF(交易處理資料__3[[#This Row],[上班時間]]=0,0,交易處理資料__3[[#This Row],[售出工時]]/交易處理資料__3[[#This Row],[上班時間]])</f>
        <v>0</v>
      </c>
      <c r="O1080" s="31" t="str">
        <f>IF(交易處理資料__3[[#This Row],[上班時間]]=0,"否","是")</f>
        <v>否</v>
      </c>
    </row>
    <row r="1081" spans="1:15" hidden="1">
      <c r="A1081" t="s">
        <v>75</v>
      </c>
      <c r="B1081" t="s">
        <v>29</v>
      </c>
      <c r="C1081">
        <v>0</v>
      </c>
      <c r="D1081">
        <v>0</v>
      </c>
      <c r="E1081" s="27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 s="9">
        <v>45319</v>
      </c>
      <c r="L1081">
        <f xml:space="preserve"> (交易處理資料__3[[#This Row],[售出工時]] * 60) / 5</f>
        <v>0</v>
      </c>
      <c r="M1081" t="str">
        <f>VLOOKUP(交易處理資料__3[[#This Row],[人員代號]],團隊分組!$B$1:$C$52,2,FALSE)</f>
        <v>查修團隊B</v>
      </c>
      <c r="N1081">
        <f>IF(交易處理資料__3[[#This Row],[上班時間]]=0,0,交易處理資料__3[[#This Row],[售出工時]]/交易處理資料__3[[#This Row],[上班時間]])</f>
        <v>0</v>
      </c>
      <c r="O1081" s="31" t="str">
        <f>IF(交易處理資料__3[[#This Row],[上班時間]]=0,"否","是")</f>
        <v>否</v>
      </c>
    </row>
    <row r="1082" spans="1:15" hidden="1">
      <c r="A1082" t="s">
        <v>75</v>
      </c>
      <c r="B1082" t="s">
        <v>30</v>
      </c>
      <c r="C1082">
        <v>0</v>
      </c>
      <c r="D1082">
        <v>0</v>
      </c>
      <c r="E1082" s="27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 s="9">
        <v>45319</v>
      </c>
      <c r="L1082">
        <f xml:space="preserve"> (交易處理資料__3[[#This Row],[售出工時]] * 60) / 5</f>
        <v>0</v>
      </c>
      <c r="M1082" t="str">
        <f>VLOOKUP(交易處理資料__3[[#This Row],[人員代號]],團隊分組!$B$1:$C$52,2,FALSE)</f>
        <v>快速保養團隊B</v>
      </c>
      <c r="N1082">
        <f>IF(交易處理資料__3[[#This Row],[上班時間]]=0,0,交易處理資料__3[[#This Row],[售出工時]]/交易處理資料__3[[#This Row],[上班時間]])</f>
        <v>0</v>
      </c>
      <c r="O1082" s="31" t="str">
        <f>IF(交易處理資料__3[[#This Row],[上班時間]]=0,"否","是")</f>
        <v>否</v>
      </c>
    </row>
    <row r="1083" spans="1:15" hidden="1">
      <c r="A1083" t="s">
        <v>75</v>
      </c>
      <c r="B1083" t="s">
        <v>32</v>
      </c>
      <c r="C1083">
        <v>0</v>
      </c>
      <c r="D1083">
        <v>0</v>
      </c>
      <c r="E1083" s="27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 s="9">
        <v>45319</v>
      </c>
      <c r="L1083">
        <f xml:space="preserve"> (交易處理資料__3[[#This Row],[售出工時]] * 60) / 5</f>
        <v>0</v>
      </c>
      <c r="M1083" t="str">
        <f>VLOOKUP(交易處理資料__3[[#This Row],[人員代號]],團隊分組!$B$1:$C$52,2,FALSE)</f>
        <v>快速保養團隊B</v>
      </c>
      <c r="N1083">
        <f>IF(交易處理資料__3[[#This Row],[上班時間]]=0,0,交易處理資料__3[[#This Row],[售出工時]]/交易處理資料__3[[#This Row],[上班時間]])</f>
        <v>0</v>
      </c>
      <c r="O1083" s="31" t="str">
        <f>IF(交易處理資料__3[[#This Row],[上班時間]]=0,"否","是")</f>
        <v>否</v>
      </c>
    </row>
    <row r="1084" spans="1:15">
      <c r="A1084" t="s">
        <v>75</v>
      </c>
      <c r="B1084" t="s">
        <v>33</v>
      </c>
      <c r="C1084">
        <v>0</v>
      </c>
      <c r="D1084">
        <v>0</v>
      </c>
      <c r="E1084" s="27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 s="9">
        <v>45319</v>
      </c>
      <c r="L1084">
        <f xml:space="preserve"> (交易處理資料__3[[#This Row],[售出工時]] * 60) / 5</f>
        <v>0</v>
      </c>
      <c r="M1084" t="str">
        <f>VLOOKUP(交易處理資料__3[[#This Row],[人員代號]],團隊分組!$B$1:$C$52,2,FALSE)</f>
        <v>快速保養團隊B</v>
      </c>
      <c r="N1084">
        <f>IF(交易處理資料__3[[#This Row],[上班時間]]=0,0,交易處理資料__3[[#This Row],[售出工時]]/交易處理資料__3[[#This Row],[上班時間]])</f>
        <v>0</v>
      </c>
      <c r="O1084" s="31" t="str">
        <f>IF(交易處理資料__3[[#This Row],[上班時間]]=0,"否","是")</f>
        <v>否</v>
      </c>
    </row>
    <row r="1085" spans="1:15" hidden="1">
      <c r="A1085" t="s">
        <v>75</v>
      </c>
      <c r="B1085" t="s">
        <v>34</v>
      </c>
      <c r="C1085">
        <v>0</v>
      </c>
      <c r="D1085">
        <v>0</v>
      </c>
      <c r="E1085" s="27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 s="9">
        <v>45319</v>
      </c>
      <c r="L1085">
        <f xml:space="preserve"> (交易處理資料__3[[#This Row],[售出工時]] * 60) / 5</f>
        <v>0</v>
      </c>
      <c r="M1085" t="str">
        <f>VLOOKUP(交易處理資料__3[[#This Row],[人員代號]],團隊分組!$B$1:$C$52,2,FALSE)</f>
        <v>快速保養團隊A</v>
      </c>
      <c r="N1085">
        <f>IF(交易處理資料__3[[#This Row],[上班時間]]=0,0,交易處理資料__3[[#This Row],[售出工時]]/交易處理資料__3[[#This Row],[上班時間]])</f>
        <v>0</v>
      </c>
      <c r="O1085" s="31" t="str">
        <f>IF(交易處理資料__3[[#This Row],[上班時間]]=0,"否","是")</f>
        <v>否</v>
      </c>
    </row>
    <row r="1086" spans="1:15" hidden="1">
      <c r="A1086" t="s">
        <v>75</v>
      </c>
      <c r="B1086" t="s">
        <v>35</v>
      </c>
      <c r="C1086">
        <v>0</v>
      </c>
      <c r="D1086">
        <v>0</v>
      </c>
      <c r="E1086" s="27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 s="9">
        <v>45319</v>
      </c>
      <c r="L1086">
        <f xml:space="preserve"> (交易處理資料__3[[#This Row],[售出工時]] * 60) / 5</f>
        <v>0</v>
      </c>
      <c r="M1086" t="str">
        <f>VLOOKUP(交易處理資料__3[[#This Row],[人員代號]],團隊分組!$B$1:$C$52,2,FALSE)</f>
        <v>查修團隊B</v>
      </c>
      <c r="N1086">
        <f>IF(交易處理資料__3[[#This Row],[上班時間]]=0,0,交易處理資料__3[[#This Row],[售出工時]]/交易處理資料__3[[#This Row],[上班時間]])</f>
        <v>0</v>
      </c>
      <c r="O1086" s="31" t="str">
        <f>IF(交易處理資料__3[[#This Row],[上班時間]]=0,"否","是")</f>
        <v>否</v>
      </c>
    </row>
    <row r="1087" spans="1:15" hidden="1">
      <c r="A1087" t="s">
        <v>75</v>
      </c>
      <c r="B1087" t="s">
        <v>36</v>
      </c>
      <c r="C1087">
        <v>0</v>
      </c>
      <c r="D1087">
        <v>0</v>
      </c>
      <c r="E1087" s="2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 s="9">
        <v>45319</v>
      </c>
      <c r="L1087">
        <f xml:space="preserve"> (交易處理資料__3[[#This Row],[售出工時]] * 60) / 5</f>
        <v>0</v>
      </c>
      <c r="M1087" t="str">
        <f>VLOOKUP(交易處理資料__3[[#This Row],[人員代號]],團隊分組!$B$1:$C$52,2,FALSE)</f>
        <v>查修團隊B</v>
      </c>
      <c r="N1087">
        <f>IF(交易處理資料__3[[#This Row],[上班時間]]=0,0,交易處理資料__3[[#This Row],[售出工時]]/交易處理資料__3[[#This Row],[上班時間]])</f>
        <v>0</v>
      </c>
      <c r="O1087" s="31" t="str">
        <f>IF(交易處理資料__3[[#This Row],[上班時間]]=0,"否","是")</f>
        <v>否</v>
      </c>
    </row>
    <row r="1088" spans="1:15" hidden="1">
      <c r="A1088" t="s">
        <v>75</v>
      </c>
      <c r="B1088" t="s">
        <v>37</v>
      </c>
      <c r="C1088">
        <v>0</v>
      </c>
      <c r="D1088">
        <v>0</v>
      </c>
      <c r="E1088" s="27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 s="9">
        <v>45319</v>
      </c>
      <c r="L1088">
        <f xml:space="preserve"> (交易處理資料__3[[#This Row],[售出工時]] * 60) / 5</f>
        <v>0</v>
      </c>
      <c r="M1088" t="str">
        <f>VLOOKUP(交易處理資料__3[[#This Row],[人員代號]],團隊分組!$B$1:$C$52,2,FALSE)</f>
        <v>查修團隊A</v>
      </c>
      <c r="N1088">
        <f>IF(交易處理資料__3[[#This Row],[上班時間]]=0,0,交易處理資料__3[[#This Row],[售出工時]]/交易處理資料__3[[#This Row],[上班時間]])</f>
        <v>0</v>
      </c>
      <c r="O1088" s="31" t="str">
        <f>IF(交易處理資料__3[[#This Row],[上班時間]]=0,"否","是")</f>
        <v>否</v>
      </c>
    </row>
    <row r="1089" spans="1:15" hidden="1">
      <c r="A1089" t="s">
        <v>75</v>
      </c>
      <c r="B1089" t="s">
        <v>38</v>
      </c>
      <c r="C1089">
        <v>0</v>
      </c>
      <c r="D1089">
        <v>0</v>
      </c>
      <c r="E1089" s="27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 s="9">
        <v>45319</v>
      </c>
      <c r="L1089">
        <f xml:space="preserve"> (交易處理資料__3[[#This Row],[售出工時]] * 60) / 5</f>
        <v>0</v>
      </c>
      <c r="M1089" t="str">
        <f>VLOOKUP(交易處理資料__3[[#This Row],[人員代號]],團隊分組!$B$1:$C$52,2,FALSE)</f>
        <v>快速保養團隊A</v>
      </c>
      <c r="N1089">
        <f>IF(交易處理資料__3[[#This Row],[上班時間]]=0,0,交易處理資料__3[[#This Row],[售出工時]]/交易處理資料__3[[#This Row],[上班時間]])</f>
        <v>0</v>
      </c>
      <c r="O1089" s="31" t="str">
        <f>IF(交易處理資料__3[[#This Row],[上班時間]]=0,"否","是")</f>
        <v>否</v>
      </c>
    </row>
    <row r="1090" spans="1:15" hidden="1">
      <c r="A1090" t="s">
        <v>75</v>
      </c>
      <c r="B1090" t="s">
        <v>39</v>
      </c>
      <c r="C1090">
        <v>0</v>
      </c>
      <c r="D1090">
        <v>0</v>
      </c>
      <c r="E1090" s="27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 s="9">
        <v>45319</v>
      </c>
      <c r="L1090">
        <f xml:space="preserve"> (交易處理資料__3[[#This Row],[售出工時]] * 60) / 5</f>
        <v>0</v>
      </c>
      <c r="M1090" t="str">
        <f>VLOOKUP(交易處理資料__3[[#This Row],[人員代號]],團隊分組!$B$1:$C$52,2,FALSE)</f>
        <v>查修團隊A</v>
      </c>
      <c r="N1090">
        <f>IF(交易處理資料__3[[#This Row],[上班時間]]=0,0,交易處理資料__3[[#This Row],[售出工時]]/交易處理資料__3[[#This Row],[上班時間]])</f>
        <v>0</v>
      </c>
      <c r="O1090" s="31" t="str">
        <f>IF(交易處理資料__3[[#This Row],[上班時間]]=0,"否","是")</f>
        <v>否</v>
      </c>
    </row>
    <row r="1091" spans="1:15" hidden="1">
      <c r="A1091" t="s">
        <v>75</v>
      </c>
      <c r="B1091" t="s">
        <v>40</v>
      </c>
      <c r="C1091">
        <v>0</v>
      </c>
      <c r="D1091">
        <v>0</v>
      </c>
      <c r="E1091" s="27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 s="9">
        <v>45319</v>
      </c>
      <c r="L1091">
        <f xml:space="preserve"> (交易處理資料__3[[#This Row],[售出工時]] * 60) / 5</f>
        <v>0</v>
      </c>
      <c r="M1091" t="str">
        <f>VLOOKUP(交易處理資料__3[[#This Row],[人員代號]],團隊分組!$B$1:$C$52,2,FALSE)</f>
        <v>查修團隊A</v>
      </c>
      <c r="N1091">
        <f>IF(交易處理資料__3[[#This Row],[上班時間]]=0,0,交易處理資料__3[[#This Row],[售出工時]]/交易處理資料__3[[#This Row],[上班時間]])</f>
        <v>0</v>
      </c>
      <c r="O1091" s="31" t="str">
        <f>IF(交易處理資料__3[[#This Row],[上班時間]]=0,"否","是")</f>
        <v>否</v>
      </c>
    </row>
    <row r="1092" spans="1:15" hidden="1">
      <c r="A1092" t="s">
        <v>75</v>
      </c>
      <c r="B1092" t="s">
        <v>41</v>
      </c>
      <c r="C1092">
        <v>0</v>
      </c>
      <c r="D1092">
        <v>0</v>
      </c>
      <c r="E1092" s="27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 s="9">
        <v>45319</v>
      </c>
      <c r="L1092">
        <f xml:space="preserve"> (交易處理資料__3[[#This Row],[售出工時]] * 60) / 5</f>
        <v>0</v>
      </c>
      <c r="M1092" t="str">
        <f>VLOOKUP(交易處理資料__3[[#This Row],[人員代號]],團隊分組!$B$1:$C$52,2,FALSE)</f>
        <v>快速保養團隊A</v>
      </c>
      <c r="N1092">
        <f>IF(交易處理資料__3[[#This Row],[上班時間]]=0,0,交易處理資料__3[[#This Row],[售出工時]]/交易處理資料__3[[#This Row],[上班時間]])</f>
        <v>0</v>
      </c>
      <c r="O1092" s="31" t="str">
        <f>IF(交易處理資料__3[[#This Row],[上班時間]]=0,"否","是")</f>
        <v>否</v>
      </c>
    </row>
    <row r="1093" spans="1:15" hidden="1">
      <c r="A1093" t="s">
        <v>75</v>
      </c>
      <c r="B1093" t="s">
        <v>42</v>
      </c>
      <c r="C1093">
        <v>0</v>
      </c>
      <c r="D1093">
        <v>0</v>
      </c>
      <c r="E1093" s="27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 s="9">
        <v>45319</v>
      </c>
      <c r="L1093">
        <f xml:space="preserve"> (交易處理資料__3[[#This Row],[售出工時]] * 60) / 5</f>
        <v>0</v>
      </c>
      <c r="M1093" t="str">
        <f>VLOOKUP(交易處理資料__3[[#This Row],[人員代號]],團隊分組!$B$1:$C$52,2,FALSE)</f>
        <v>快速保養團隊A</v>
      </c>
      <c r="N1093">
        <f>IF(交易處理資料__3[[#This Row],[上班時間]]=0,0,交易處理資料__3[[#This Row],[售出工時]]/交易處理資料__3[[#This Row],[上班時間]])</f>
        <v>0</v>
      </c>
      <c r="O1093" s="31" t="str">
        <f>IF(交易處理資料__3[[#This Row],[上班時間]]=0,"否","是")</f>
        <v>否</v>
      </c>
    </row>
    <row r="1094" spans="1:15" hidden="1">
      <c r="A1094" t="s">
        <v>75</v>
      </c>
      <c r="B1094" t="s">
        <v>43</v>
      </c>
      <c r="C1094">
        <v>0</v>
      </c>
      <c r="D1094">
        <v>0</v>
      </c>
      <c r="E1094" s="27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 s="9">
        <v>45319</v>
      </c>
      <c r="L1094">
        <f xml:space="preserve"> (交易處理資料__3[[#This Row],[售出工時]] * 60) / 5</f>
        <v>0</v>
      </c>
      <c r="M1094" t="str">
        <f>VLOOKUP(交易處理資料__3[[#This Row],[人員代號]],團隊分組!$B$1:$C$52,2,FALSE)</f>
        <v>查修團隊B</v>
      </c>
      <c r="N1094">
        <f>IF(交易處理資料__3[[#This Row],[上班時間]]=0,0,交易處理資料__3[[#This Row],[售出工時]]/交易處理資料__3[[#This Row],[上班時間]])</f>
        <v>0</v>
      </c>
      <c r="O1094" s="31" t="str">
        <f>IF(交易處理資料__3[[#This Row],[上班時間]]=0,"否","是")</f>
        <v>否</v>
      </c>
    </row>
    <row r="1095" spans="1:15" hidden="1">
      <c r="A1095" t="s">
        <v>75</v>
      </c>
      <c r="B1095" t="s">
        <v>44</v>
      </c>
      <c r="C1095">
        <v>0</v>
      </c>
      <c r="D1095">
        <v>0</v>
      </c>
      <c r="E1095" s="27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 s="9">
        <v>45319</v>
      </c>
      <c r="L1095">
        <f xml:space="preserve"> (交易處理資料__3[[#This Row],[售出工時]] * 60) / 5</f>
        <v>0</v>
      </c>
      <c r="M1095" t="str">
        <f>VLOOKUP(交易處理資料__3[[#This Row],[人員代號]],團隊分組!$B$1:$C$52,2,FALSE)</f>
        <v>快速保養團隊B</v>
      </c>
      <c r="N1095">
        <f>IF(交易處理資料__3[[#This Row],[上班時間]]=0,0,交易處理資料__3[[#This Row],[售出工時]]/交易處理資料__3[[#This Row],[上班時間]])</f>
        <v>0</v>
      </c>
      <c r="O1095" s="31" t="str">
        <f>IF(交易處理資料__3[[#This Row],[上班時間]]=0,"否","是")</f>
        <v>否</v>
      </c>
    </row>
    <row r="1096" spans="1:15" hidden="1">
      <c r="A1096" t="s">
        <v>75</v>
      </c>
      <c r="B1096" t="s">
        <v>45</v>
      </c>
      <c r="C1096">
        <v>0</v>
      </c>
      <c r="D1096">
        <v>0</v>
      </c>
      <c r="E1096" s="27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 s="9">
        <v>45319</v>
      </c>
      <c r="L1096">
        <f xml:space="preserve"> (交易處理資料__3[[#This Row],[售出工時]] * 60) / 5</f>
        <v>0</v>
      </c>
      <c r="M1096" t="str">
        <f>VLOOKUP(交易處理資料__3[[#This Row],[人員代號]],團隊分組!$B$1:$C$52,2,FALSE)</f>
        <v>快速保養團隊A</v>
      </c>
      <c r="N1096">
        <f>IF(交易處理資料__3[[#This Row],[上班時間]]=0,0,交易處理資料__3[[#This Row],[售出工時]]/交易處理資料__3[[#This Row],[上班時間]])</f>
        <v>0</v>
      </c>
      <c r="O1096" s="31" t="str">
        <f>IF(交易處理資料__3[[#This Row],[上班時間]]=0,"否","是")</f>
        <v>否</v>
      </c>
    </row>
    <row r="1097" spans="1:15" hidden="1">
      <c r="A1097" t="s">
        <v>75</v>
      </c>
      <c r="B1097" t="s">
        <v>46</v>
      </c>
      <c r="C1097">
        <v>0</v>
      </c>
      <c r="D1097">
        <v>0</v>
      </c>
      <c r="E1097" s="2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 s="9">
        <v>45319</v>
      </c>
      <c r="L1097">
        <f xml:space="preserve"> (交易處理資料__3[[#This Row],[售出工時]] * 60) / 5</f>
        <v>0</v>
      </c>
      <c r="M1097" t="str">
        <f>VLOOKUP(交易處理資料__3[[#This Row],[人員代號]],團隊分組!$B$1:$C$52,2,FALSE)</f>
        <v>查修團隊B</v>
      </c>
      <c r="N1097">
        <f>IF(交易處理資料__3[[#This Row],[上班時間]]=0,0,交易處理資料__3[[#This Row],[售出工時]]/交易處理資料__3[[#This Row],[上班時間]])</f>
        <v>0</v>
      </c>
      <c r="O1097" s="31" t="str">
        <f>IF(交易處理資料__3[[#This Row],[上班時間]]=0,"否","是")</f>
        <v>否</v>
      </c>
    </row>
    <row r="1098" spans="1:15" hidden="1">
      <c r="A1098" t="s">
        <v>75</v>
      </c>
      <c r="B1098" t="s">
        <v>47</v>
      </c>
      <c r="C1098">
        <v>0</v>
      </c>
      <c r="D1098">
        <v>0</v>
      </c>
      <c r="E1098" s="27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 s="9">
        <v>45319</v>
      </c>
      <c r="L1098">
        <f xml:space="preserve"> (交易處理資料__3[[#This Row],[售出工時]] * 60) / 5</f>
        <v>0</v>
      </c>
      <c r="M1098" t="str">
        <f>VLOOKUP(交易處理資料__3[[#This Row],[人員代號]],團隊分組!$B$1:$C$52,2,FALSE)</f>
        <v>查修團隊B</v>
      </c>
      <c r="N1098">
        <f>IF(交易處理資料__3[[#This Row],[上班時間]]=0,0,交易處理資料__3[[#This Row],[售出工時]]/交易處理資料__3[[#This Row],[上班時間]])</f>
        <v>0</v>
      </c>
      <c r="O1098" s="31" t="str">
        <f>IF(交易處理資料__3[[#This Row],[上班時間]]=0,"否","是")</f>
        <v>否</v>
      </c>
    </row>
    <row r="1099" spans="1:15" hidden="1">
      <c r="A1099" t="s">
        <v>75</v>
      </c>
      <c r="B1099" t="s">
        <v>48</v>
      </c>
      <c r="C1099">
        <v>0</v>
      </c>
      <c r="D1099">
        <v>0</v>
      </c>
      <c r="E1099" s="27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 s="9">
        <v>45319</v>
      </c>
      <c r="L1099">
        <f xml:space="preserve"> (交易處理資料__3[[#This Row],[售出工時]] * 60) / 5</f>
        <v>0</v>
      </c>
      <c r="M1099" t="str">
        <f>VLOOKUP(交易處理資料__3[[#This Row],[人員代號]],團隊分組!$B$1:$C$52,2,FALSE)</f>
        <v>查修團隊A</v>
      </c>
      <c r="N1099">
        <f>IF(交易處理資料__3[[#This Row],[上班時間]]=0,0,交易處理資料__3[[#This Row],[售出工時]]/交易處理資料__3[[#This Row],[上班時間]])</f>
        <v>0</v>
      </c>
      <c r="O1099" s="31" t="str">
        <f>IF(交易處理資料__3[[#This Row],[上班時間]]=0,"否","是")</f>
        <v>否</v>
      </c>
    </row>
    <row r="1100" spans="1:15" hidden="1">
      <c r="A1100" t="s">
        <v>75</v>
      </c>
      <c r="B1100" t="s">
        <v>49</v>
      </c>
      <c r="C1100">
        <v>0</v>
      </c>
      <c r="D1100">
        <v>0</v>
      </c>
      <c r="E1100" s="27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 s="9">
        <v>45319</v>
      </c>
      <c r="L1100">
        <f xml:space="preserve"> (交易處理資料__3[[#This Row],[售出工時]] * 60) / 5</f>
        <v>0</v>
      </c>
      <c r="M1100" t="str">
        <f>VLOOKUP(交易處理資料__3[[#This Row],[人員代號]],團隊分組!$B$1:$C$52,2,FALSE)</f>
        <v>查修團隊A</v>
      </c>
      <c r="N1100">
        <f>IF(交易處理資料__3[[#This Row],[上班時間]]=0,0,交易處理資料__3[[#This Row],[售出工時]]/交易處理資料__3[[#This Row],[上班時間]])</f>
        <v>0</v>
      </c>
      <c r="O1100" s="31" t="str">
        <f>IF(交易處理資料__3[[#This Row],[上班時間]]=0,"否","是")</f>
        <v>否</v>
      </c>
    </row>
    <row r="1101" spans="1:15" hidden="1">
      <c r="A1101" t="s">
        <v>75</v>
      </c>
      <c r="B1101" t="s">
        <v>50</v>
      </c>
      <c r="C1101">
        <v>0</v>
      </c>
      <c r="D1101">
        <v>0</v>
      </c>
      <c r="E1101" s="27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 s="9">
        <v>45319</v>
      </c>
      <c r="L1101">
        <f xml:space="preserve"> (交易處理資料__3[[#This Row],[售出工時]] * 60) / 5</f>
        <v>0</v>
      </c>
      <c r="M1101" t="str">
        <f>VLOOKUP(交易處理資料__3[[#This Row],[人員代號]],團隊分組!$B$1:$C$52,2,FALSE)</f>
        <v>快速保養團隊B</v>
      </c>
      <c r="N1101">
        <f>IF(交易處理資料__3[[#This Row],[上班時間]]=0,0,交易處理資料__3[[#This Row],[售出工時]]/交易處理資料__3[[#This Row],[上班時間]])</f>
        <v>0</v>
      </c>
      <c r="O1101" s="31" t="str">
        <f>IF(交易處理資料__3[[#This Row],[上班時間]]=0,"否","是")</f>
        <v>否</v>
      </c>
    </row>
    <row r="1102" spans="1:15" hidden="1">
      <c r="A1102" t="s">
        <v>75</v>
      </c>
      <c r="B1102" t="s">
        <v>51</v>
      </c>
      <c r="C1102">
        <v>0</v>
      </c>
      <c r="D1102">
        <v>0</v>
      </c>
      <c r="E1102" s="27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 s="9">
        <v>45319</v>
      </c>
      <c r="L1102">
        <f xml:space="preserve"> (交易處理資料__3[[#This Row],[售出工時]] * 60) / 5</f>
        <v>0</v>
      </c>
      <c r="M1102" t="str">
        <f>VLOOKUP(交易處理資料__3[[#This Row],[人員代號]],團隊分組!$B$1:$C$52,2,FALSE)</f>
        <v>無效數據</v>
      </c>
      <c r="N1102">
        <f>IF(交易處理資料__3[[#This Row],[上班時間]]=0,0,交易處理資料__3[[#This Row],[售出工時]]/交易處理資料__3[[#This Row],[上班時間]])</f>
        <v>0</v>
      </c>
      <c r="O1102" s="31" t="str">
        <f>IF(交易處理資料__3[[#This Row],[上班時間]]=0,"否","是")</f>
        <v>否</v>
      </c>
    </row>
    <row r="1103" spans="1:15" hidden="1">
      <c r="A1103" t="s">
        <v>75</v>
      </c>
      <c r="B1103" t="s">
        <v>52</v>
      </c>
      <c r="C1103">
        <v>0</v>
      </c>
      <c r="D1103">
        <v>0</v>
      </c>
      <c r="E1103" s="27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 s="9">
        <v>45319</v>
      </c>
      <c r="L1103">
        <f xml:space="preserve"> (交易處理資料__3[[#This Row],[售出工時]] * 60) / 5</f>
        <v>0</v>
      </c>
      <c r="M1103" t="str">
        <f>VLOOKUP(交易處理資料__3[[#This Row],[人員代號]],團隊分組!$B$1:$C$52,2,FALSE)</f>
        <v>查修團隊B</v>
      </c>
      <c r="N1103">
        <f>IF(交易處理資料__3[[#This Row],[上班時間]]=0,0,交易處理資料__3[[#This Row],[售出工時]]/交易處理資料__3[[#This Row],[上班時間]])</f>
        <v>0</v>
      </c>
      <c r="O1103" s="31" t="str">
        <f>IF(交易處理資料__3[[#This Row],[上班時間]]=0,"否","是")</f>
        <v>否</v>
      </c>
    </row>
    <row r="1104" spans="1:15" hidden="1">
      <c r="A1104" t="s">
        <v>75</v>
      </c>
      <c r="B1104" t="s">
        <v>53</v>
      </c>
      <c r="C1104">
        <v>0</v>
      </c>
      <c r="D1104">
        <v>0</v>
      </c>
      <c r="E1104" s="27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 s="9">
        <v>45319</v>
      </c>
      <c r="L1104">
        <f xml:space="preserve"> (交易處理資料__3[[#This Row],[售出工時]] * 60) / 5</f>
        <v>0</v>
      </c>
      <c r="M1104" t="str">
        <f>VLOOKUP(交易處理資料__3[[#This Row],[人員代號]],團隊分組!$B$1:$C$52,2,FALSE)</f>
        <v>查修團隊A</v>
      </c>
      <c r="N1104">
        <f>IF(交易處理資料__3[[#This Row],[上班時間]]=0,0,交易處理資料__3[[#This Row],[售出工時]]/交易處理資料__3[[#This Row],[上班時間]])</f>
        <v>0</v>
      </c>
      <c r="O1104" s="31" t="str">
        <f>IF(交易處理資料__3[[#This Row],[上班時間]]=0,"否","是")</f>
        <v>否</v>
      </c>
    </row>
    <row r="1105" spans="1:15" hidden="1">
      <c r="A1105" s="10" t="s">
        <v>73</v>
      </c>
      <c r="B1105" t="s">
        <v>1</v>
      </c>
      <c r="C1105">
        <v>0</v>
      </c>
      <c r="D1105">
        <v>0</v>
      </c>
      <c r="E1105" s="27">
        <v>0</v>
      </c>
      <c r="F1105">
        <v>7</v>
      </c>
      <c r="G1105">
        <v>0.99</v>
      </c>
      <c r="H1105">
        <v>7.99</v>
      </c>
      <c r="I1105">
        <v>87.61</v>
      </c>
      <c r="J1105">
        <v>0</v>
      </c>
      <c r="K1105" s="9">
        <v>45320</v>
      </c>
      <c r="L1105">
        <f xml:space="preserve"> (交易處理資料__3[[#This Row],[售出工時]] * 60) / 5</f>
        <v>0</v>
      </c>
      <c r="M1105" t="str">
        <f>VLOOKUP(交易處理資料__3[[#This Row],[人員代號]],團隊分組!$B$1:$C$52,2,FALSE)</f>
        <v>噴漆維修組</v>
      </c>
      <c r="N1105">
        <f>IF(交易處理資料__3[[#This Row],[上班時間]]=0,0,交易處理資料__3[[#This Row],[售出工時]]/交易處理資料__3[[#This Row],[上班時間]])</f>
        <v>0</v>
      </c>
      <c r="O1105" s="31" t="str">
        <f>IF(交易處理資料__3[[#This Row],[上班時間]]=0,"否","是")</f>
        <v>是</v>
      </c>
    </row>
    <row r="1106" spans="1:15" hidden="1">
      <c r="A1106" s="10" t="s">
        <v>73</v>
      </c>
      <c r="B1106" t="s">
        <v>4</v>
      </c>
      <c r="C1106">
        <v>1.25</v>
      </c>
      <c r="D1106">
        <v>3.57</v>
      </c>
      <c r="E1106" s="27">
        <v>35.014005599999997</v>
      </c>
      <c r="F1106">
        <v>6.98</v>
      </c>
      <c r="G1106">
        <v>1</v>
      </c>
      <c r="H1106">
        <v>7.98</v>
      </c>
      <c r="I1106">
        <v>87.47</v>
      </c>
      <c r="J1106">
        <v>15.66</v>
      </c>
      <c r="K1106" s="9">
        <v>45320</v>
      </c>
      <c r="L1106">
        <f xml:space="preserve"> (交易處理資料__3[[#This Row],[售出工時]] * 60) / 5</f>
        <v>15</v>
      </c>
      <c r="M1106" t="str">
        <f>VLOOKUP(交易處理資料__3[[#This Row],[人員代號]],團隊分組!$B$1:$C$52,2,FALSE)</f>
        <v>噴漆維修組</v>
      </c>
      <c r="N1106">
        <f>IF(交易處理資料__3[[#This Row],[上班時間]]=0,0,交易處理資料__3[[#This Row],[售出工時]]/交易處理資料__3[[#This Row],[上班時間]])</f>
        <v>0.15664160401002505</v>
      </c>
      <c r="O1106" s="31" t="str">
        <f>IF(交易處理資料__3[[#This Row],[上班時間]]=0,"否","是")</f>
        <v>是</v>
      </c>
    </row>
    <row r="1107" spans="1:15" hidden="1">
      <c r="A1107" s="10" t="s">
        <v>73</v>
      </c>
      <c r="B1107" t="s">
        <v>5</v>
      </c>
      <c r="C1107">
        <v>4.22</v>
      </c>
      <c r="D1107">
        <v>4.47</v>
      </c>
      <c r="E1107" s="27">
        <v>94.407158839999994</v>
      </c>
      <c r="F1107">
        <v>6.99</v>
      </c>
      <c r="G1107">
        <v>0.99</v>
      </c>
      <c r="H1107">
        <v>7.98</v>
      </c>
      <c r="I1107">
        <v>87.59</v>
      </c>
      <c r="J1107">
        <v>52.88</v>
      </c>
      <c r="K1107" s="9">
        <v>45320</v>
      </c>
      <c r="L1107">
        <f xml:space="preserve"> (交易處理資料__3[[#This Row],[售出工時]] * 60) / 5</f>
        <v>50.64</v>
      </c>
      <c r="M1107" t="str">
        <f>VLOOKUP(交易處理資料__3[[#This Row],[人員代號]],團隊分組!$B$1:$C$52,2,FALSE)</f>
        <v>噴漆維修組</v>
      </c>
      <c r="N1107">
        <f>IF(交易處理資料__3[[#This Row],[上班時間]]=0,0,交易處理資料__3[[#This Row],[售出工時]]/交易處理資料__3[[#This Row],[上班時間]])</f>
        <v>0.52882205513784453</v>
      </c>
      <c r="O1107" s="31" t="str">
        <f>IF(交易處理資料__3[[#This Row],[上班時間]]=0,"否","是")</f>
        <v>是</v>
      </c>
    </row>
    <row r="1108" spans="1:15" hidden="1">
      <c r="A1108" s="10" t="s">
        <v>73</v>
      </c>
      <c r="B1108" t="s">
        <v>6</v>
      </c>
      <c r="C1108">
        <v>0</v>
      </c>
      <c r="D1108">
        <v>0</v>
      </c>
      <c r="E1108" s="27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 s="9">
        <v>45320</v>
      </c>
      <c r="L1108">
        <f xml:space="preserve"> (交易處理資料__3[[#This Row],[售出工時]] * 60) / 5</f>
        <v>0</v>
      </c>
      <c r="M1108" t="str">
        <f>VLOOKUP(交易處理資料__3[[#This Row],[人員代號]],團隊分組!$B$1:$C$52,2,FALSE)</f>
        <v>噴漆維修組</v>
      </c>
      <c r="N1108">
        <f>IF(交易處理資料__3[[#This Row],[上班時間]]=0,0,交易處理資料__3[[#This Row],[售出工時]]/交易處理資料__3[[#This Row],[上班時間]])</f>
        <v>0</v>
      </c>
      <c r="O1108" s="31" t="str">
        <f>IF(交易處理資料__3[[#This Row],[上班時間]]=0,"否","是")</f>
        <v>否</v>
      </c>
    </row>
    <row r="1109" spans="1:15" hidden="1">
      <c r="A1109" s="10" t="s">
        <v>73</v>
      </c>
      <c r="B1109" t="s">
        <v>7</v>
      </c>
      <c r="C1109">
        <v>2.61</v>
      </c>
      <c r="D1109">
        <v>2.77</v>
      </c>
      <c r="E1109" s="27">
        <v>94.223826709999997</v>
      </c>
      <c r="F1109">
        <v>6.97</v>
      </c>
      <c r="G1109">
        <v>1.01</v>
      </c>
      <c r="H1109">
        <v>7.98</v>
      </c>
      <c r="I1109">
        <v>87.34</v>
      </c>
      <c r="J1109">
        <v>32.71</v>
      </c>
      <c r="K1109" s="9">
        <v>45320</v>
      </c>
      <c r="L1109">
        <f xml:space="preserve"> (交易處理資料__3[[#This Row],[售出工時]] * 60) / 5</f>
        <v>31.32</v>
      </c>
      <c r="M1109" t="str">
        <f>VLOOKUP(交易處理資料__3[[#This Row],[人員代號]],團隊分組!$B$1:$C$52,2,FALSE)</f>
        <v>噴漆維修組</v>
      </c>
      <c r="N1109">
        <f>IF(交易處理資料__3[[#This Row],[上班時間]]=0,0,交易處理資料__3[[#This Row],[售出工時]]/交易處理資料__3[[#This Row],[上班時間]])</f>
        <v>0.32706766917293228</v>
      </c>
      <c r="O1109" s="31" t="str">
        <f>IF(交易處理資料__3[[#This Row],[上班時間]]=0,"否","是")</f>
        <v>是</v>
      </c>
    </row>
    <row r="1110" spans="1:15" hidden="1">
      <c r="A1110" s="10" t="s">
        <v>73</v>
      </c>
      <c r="B1110" t="s">
        <v>8</v>
      </c>
      <c r="C1110">
        <v>1.25</v>
      </c>
      <c r="D1110">
        <v>3.57</v>
      </c>
      <c r="E1110" s="27">
        <v>35.014005599999997</v>
      </c>
      <c r="F1110">
        <v>6.99</v>
      </c>
      <c r="G1110">
        <v>0.98</v>
      </c>
      <c r="H1110">
        <v>7.97</v>
      </c>
      <c r="I1110">
        <v>87.7</v>
      </c>
      <c r="J1110">
        <v>15.68</v>
      </c>
      <c r="K1110" s="9">
        <v>45320</v>
      </c>
      <c r="L1110">
        <f xml:space="preserve"> (交易處理資料__3[[#This Row],[售出工時]] * 60) / 5</f>
        <v>15</v>
      </c>
      <c r="M1110" t="str">
        <f>VLOOKUP(交易處理資料__3[[#This Row],[人員代號]],團隊分組!$B$1:$C$52,2,FALSE)</f>
        <v>噴漆維修組</v>
      </c>
      <c r="N1110">
        <f>IF(交易處理資料__3[[#This Row],[上班時間]]=0,0,交易處理資料__3[[#This Row],[售出工時]]/交易處理資料__3[[#This Row],[上班時間]])</f>
        <v>0.15683814303638646</v>
      </c>
      <c r="O1110" s="31" t="str">
        <f>IF(交易處理資料__3[[#This Row],[上班時間]]=0,"否","是")</f>
        <v>是</v>
      </c>
    </row>
    <row r="1111" spans="1:15" hidden="1">
      <c r="A1111" s="10" t="s">
        <v>73</v>
      </c>
      <c r="B1111" t="s">
        <v>9</v>
      </c>
      <c r="C1111">
        <v>0</v>
      </c>
      <c r="D1111">
        <v>0</v>
      </c>
      <c r="E1111" s="27">
        <v>0</v>
      </c>
      <c r="F1111">
        <v>7.03</v>
      </c>
      <c r="G1111">
        <v>0.99</v>
      </c>
      <c r="H1111">
        <v>8.02</v>
      </c>
      <c r="I1111">
        <v>87.66</v>
      </c>
      <c r="J1111">
        <v>0</v>
      </c>
      <c r="K1111" s="9">
        <v>45320</v>
      </c>
      <c r="L1111">
        <f xml:space="preserve"> (交易處理資料__3[[#This Row],[售出工時]] * 60) / 5</f>
        <v>0</v>
      </c>
      <c r="M1111" t="str">
        <f>VLOOKUP(交易處理資料__3[[#This Row],[人員代號]],團隊分組!$B$1:$C$52,2,FALSE)</f>
        <v>噴漆維修組</v>
      </c>
      <c r="N1111">
        <f>IF(交易處理資料__3[[#This Row],[上班時間]]=0,0,交易處理資料__3[[#This Row],[售出工時]]/交易處理資料__3[[#This Row],[上班時間]])</f>
        <v>0</v>
      </c>
      <c r="O1111" s="31" t="str">
        <f>IF(交易處理資料__3[[#This Row],[上班時間]]=0,"否","是")</f>
        <v>是</v>
      </c>
    </row>
    <row r="1112" spans="1:15" hidden="1">
      <c r="A1112" t="s">
        <v>74</v>
      </c>
      <c r="B1112" t="s">
        <v>12</v>
      </c>
      <c r="C1112">
        <v>2.5833333330000001</v>
      </c>
      <c r="D1112">
        <v>2.77</v>
      </c>
      <c r="E1112" s="27">
        <v>93.261131169999999</v>
      </c>
      <c r="F1112">
        <v>6.11</v>
      </c>
      <c r="G1112">
        <v>1.97</v>
      </c>
      <c r="H1112">
        <v>8.08</v>
      </c>
      <c r="I1112">
        <v>75.62</v>
      </c>
      <c r="J1112">
        <v>31.97</v>
      </c>
      <c r="K1112" s="9">
        <v>45320</v>
      </c>
      <c r="L1112">
        <f xml:space="preserve"> (交易處理資料__3[[#This Row],[售出工時]] * 60) / 5</f>
        <v>30.999999996000003</v>
      </c>
      <c r="M1112" t="str">
        <f>VLOOKUP(交易處理資料__3[[#This Row],[人員代號]],團隊分組!$B$1:$C$52,2,FALSE)</f>
        <v>鈑金維修組</v>
      </c>
      <c r="N1112">
        <f>IF(交易處理資料__3[[#This Row],[上班時間]]=0,0,交易處理資料__3[[#This Row],[售出工時]]/交易處理資料__3[[#This Row],[上班時間]])</f>
        <v>0.31971947190594063</v>
      </c>
      <c r="O1112" s="31" t="str">
        <f>IF(交易處理資料__3[[#This Row],[上班時間]]=0,"否","是")</f>
        <v>是</v>
      </c>
    </row>
    <row r="1113" spans="1:15" hidden="1">
      <c r="A1113" t="s">
        <v>74</v>
      </c>
      <c r="B1113" t="s">
        <v>13</v>
      </c>
      <c r="C1113">
        <v>1</v>
      </c>
      <c r="D1113">
        <v>1.03</v>
      </c>
      <c r="E1113" s="27">
        <v>97.087378639999997</v>
      </c>
      <c r="F1113">
        <v>3.74</v>
      </c>
      <c r="G1113">
        <v>4.34</v>
      </c>
      <c r="H1113">
        <v>8.08</v>
      </c>
      <c r="I1113">
        <v>46.29</v>
      </c>
      <c r="J1113">
        <v>12.38</v>
      </c>
      <c r="K1113" s="9">
        <v>45320</v>
      </c>
      <c r="L1113">
        <f xml:space="preserve"> (交易處理資料__3[[#This Row],[售出工時]] * 60) / 5</f>
        <v>12</v>
      </c>
      <c r="M1113" t="str">
        <f>VLOOKUP(交易處理資料__3[[#This Row],[人員代號]],團隊分組!$B$1:$C$52,2,FALSE)</f>
        <v>鈑金維修組</v>
      </c>
      <c r="N1113">
        <f>IF(交易處理資料__3[[#This Row],[上班時間]]=0,0,交易處理資料__3[[#This Row],[售出工時]]/交易處理資料__3[[#This Row],[上班時間]])</f>
        <v>0.12376237623762376</v>
      </c>
      <c r="O1113" s="31" t="str">
        <f>IF(交易處理資料__3[[#This Row],[上班時間]]=0,"否","是")</f>
        <v>是</v>
      </c>
    </row>
    <row r="1114" spans="1:15" hidden="1">
      <c r="A1114" t="s">
        <v>74</v>
      </c>
      <c r="B1114" t="s">
        <v>14</v>
      </c>
      <c r="C1114">
        <v>2.34</v>
      </c>
      <c r="D1114">
        <v>3.73</v>
      </c>
      <c r="E1114" s="27">
        <v>62.73458445</v>
      </c>
      <c r="F1114">
        <v>5.71</v>
      </c>
      <c r="G1114">
        <v>2.36</v>
      </c>
      <c r="H1114">
        <v>8.07</v>
      </c>
      <c r="I1114">
        <v>70.760000000000005</v>
      </c>
      <c r="J1114">
        <v>29</v>
      </c>
      <c r="K1114" s="9">
        <v>45320</v>
      </c>
      <c r="L1114">
        <f xml:space="preserve"> (交易處理資料__3[[#This Row],[售出工時]] * 60) / 5</f>
        <v>28.079999999999995</v>
      </c>
      <c r="M1114" t="str">
        <f>VLOOKUP(交易處理資料__3[[#This Row],[人員代號]],團隊分組!$B$1:$C$52,2,FALSE)</f>
        <v>鈑金維修組</v>
      </c>
      <c r="N1114">
        <f>IF(交易處理資料__3[[#This Row],[上班時間]]=0,0,交易處理資料__3[[#This Row],[售出工時]]/交易處理資料__3[[#This Row],[上班時間]])</f>
        <v>0.2899628252788104</v>
      </c>
      <c r="O1114" s="31" t="str">
        <f>IF(交易處理資料__3[[#This Row],[上班時間]]=0,"否","是")</f>
        <v>是</v>
      </c>
    </row>
    <row r="1115" spans="1:15" hidden="1">
      <c r="A1115" t="s">
        <v>74</v>
      </c>
      <c r="B1115" t="s">
        <v>15</v>
      </c>
      <c r="C1115">
        <v>3.08</v>
      </c>
      <c r="D1115">
        <v>4.2699999999999996</v>
      </c>
      <c r="E1115" s="27">
        <v>72.131147540000001</v>
      </c>
      <c r="F1115">
        <v>5.71</v>
      </c>
      <c r="G1115">
        <v>2.36</v>
      </c>
      <c r="H1115">
        <v>8.07</v>
      </c>
      <c r="I1115">
        <v>70.760000000000005</v>
      </c>
      <c r="J1115">
        <v>38.17</v>
      </c>
      <c r="K1115" s="9">
        <v>45320</v>
      </c>
      <c r="L1115">
        <f xml:space="preserve"> (交易處理資料__3[[#This Row],[售出工時]] * 60) / 5</f>
        <v>36.96</v>
      </c>
      <c r="M1115" t="str">
        <f>VLOOKUP(交易處理資料__3[[#This Row],[人員代號]],團隊分組!$B$1:$C$52,2,FALSE)</f>
        <v>鈑金維修組</v>
      </c>
      <c r="N1115">
        <f>IF(交易處理資料__3[[#This Row],[上班時間]]=0,0,交易處理資料__3[[#This Row],[售出工時]]/交易處理資料__3[[#This Row],[上班時間]])</f>
        <v>0.38166047087980171</v>
      </c>
      <c r="O1115" s="31" t="str">
        <f>IF(交易處理資料__3[[#This Row],[上班時間]]=0,"否","是")</f>
        <v>是</v>
      </c>
    </row>
    <row r="1116" spans="1:15" hidden="1">
      <c r="A1116" t="s">
        <v>75</v>
      </c>
      <c r="B1116" t="s">
        <v>17</v>
      </c>
      <c r="C1116">
        <v>5.0766666669999996</v>
      </c>
      <c r="D1116">
        <v>5.0599999999999996</v>
      </c>
      <c r="E1116" s="27">
        <v>100.3293808</v>
      </c>
      <c r="F1116">
        <v>6.36</v>
      </c>
      <c r="G1116">
        <v>1.53</v>
      </c>
      <c r="H1116">
        <v>7.89</v>
      </c>
      <c r="I1116">
        <v>80.61</v>
      </c>
      <c r="J1116">
        <v>64.34</v>
      </c>
      <c r="K1116" s="9">
        <v>45320</v>
      </c>
      <c r="L1116">
        <f xml:space="preserve"> (交易處理資料__3[[#This Row],[售出工時]] * 60) / 5</f>
        <v>60.920000003999995</v>
      </c>
      <c r="M1116" t="str">
        <f>VLOOKUP(交易處理資料__3[[#This Row],[人員代號]],團隊分組!$B$1:$C$52,2,FALSE)</f>
        <v>快速保養團隊A</v>
      </c>
      <c r="N1116">
        <f>IF(交易處理資料__3[[#This Row],[上班時間]]=0,0,交易處理資料__3[[#This Row],[售出工時]]/交易處理資料__3[[#This Row],[上班時間]])</f>
        <v>0.64343050278833969</v>
      </c>
      <c r="O1116" s="31" t="str">
        <f>IF(交易處理資料__3[[#This Row],[上班時間]]=0,"否","是")</f>
        <v>是</v>
      </c>
    </row>
    <row r="1117" spans="1:15" hidden="1">
      <c r="A1117" t="s">
        <v>75</v>
      </c>
      <c r="B1117" t="s">
        <v>18</v>
      </c>
      <c r="C1117">
        <v>0.66666666699999999</v>
      </c>
      <c r="D1117">
        <v>2.3199999999999998</v>
      </c>
      <c r="E1117" s="27">
        <v>28.73563218</v>
      </c>
      <c r="F1117">
        <v>7.77</v>
      </c>
      <c r="G1117">
        <v>0.48</v>
      </c>
      <c r="H1117">
        <v>8.25</v>
      </c>
      <c r="I1117">
        <v>94.18</v>
      </c>
      <c r="J1117">
        <v>8.08</v>
      </c>
      <c r="K1117" s="9">
        <v>45320</v>
      </c>
      <c r="L1117">
        <f xml:space="preserve"> (交易處理資料__3[[#This Row],[售出工時]] * 60) / 5</f>
        <v>8.0000000040000003</v>
      </c>
      <c r="M1117" t="str">
        <f>VLOOKUP(交易處理資料__3[[#This Row],[人員代號]],團隊分組!$B$1:$C$52,2,FALSE)</f>
        <v>查修團隊B</v>
      </c>
      <c r="N1117">
        <f>IF(交易處理資料__3[[#This Row],[上班時間]]=0,0,交易處理資料__3[[#This Row],[售出工時]]/交易處理資料__3[[#This Row],[上班時間]])</f>
        <v>8.0808080848484842E-2</v>
      </c>
      <c r="O1117" s="31" t="str">
        <f>IF(交易處理資料__3[[#This Row],[上班時間]]=0,"否","是")</f>
        <v>是</v>
      </c>
    </row>
    <row r="1118" spans="1:15" hidden="1">
      <c r="A1118" t="s">
        <v>75</v>
      </c>
      <c r="B1118" t="s">
        <v>20</v>
      </c>
      <c r="C1118">
        <v>1.5833333329999999</v>
      </c>
      <c r="D1118">
        <v>3.04</v>
      </c>
      <c r="E1118" s="27">
        <v>52.083333330000002</v>
      </c>
      <c r="F1118">
        <v>7.73</v>
      </c>
      <c r="G1118">
        <v>2.0299999999999998</v>
      </c>
      <c r="H1118">
        <v>9.76</v>
      </c>
      <c r="I1118">
        <v>79.2</v>
      </c>
      <c r="J1118">
        <v>16.22</v>
      </c>
      <c r="K1118" s="9">
        <v>45320</v>
      </c>
      <c r="L1118">
        <f xml:space="preserve"> (交易處理資料__3[[#This Row],[售出工時]] * 60) / 5</f>
        <v>18.999999996</v>
      </c>
      <c r="M1118" t="str">
        <f>VLOOKUP(交易處理資料__3[[#This Row],[人員代號]],團隊分組!$B$1:$C$52,2,FALSE)</f>
        <v>查修團隊B</v>
      </c>
      <c r="N1118">
        <f>IF(交易處理資料__3[[#This Row],[上班時間]]=0,0,交易處理資料__3[[#This Row],[售出工時]]/交易處理資料__3[[#This Row],[上班時間]])</f>
        <v>0.16222677592213114</v>
      </c>
      <c r="O1118" s="31" t="str">
        <f>IF(交易處理資料__3[[#This Row],[上班時間]]=0,"否","是")</f>
        <v>是</v>
      </c>
    </row>
    <row r="1119" spans="1:15" hidden="1">
      <c r="A1119" t="s">
        <v>75</v>
      </c>
      <c r="B1119" t="s">
        <v>21</v>
      </c>
      <c r="C1119">
        <v>0</v>
      </c>
      <c r="D1119">
        <v>0</v>
      </c>
      <c r="E1119" s="27">
        <v>0</v>
      </c>
      <c r="F1119">
        <v>5.83</v>
      </c>
      <c r="G1119">
        <v>2.25</v>
      </c>
      <c r="H1119">
        <v>8.08</v>
      </c>
      <c r="I1119">
        <v>72.150000000000006</v>
      </c>
      <c r="J1119">
        <v>0</v>
      </c>
      <c r="K1119" s="9">
        <v>45320</v>
      </c>
      <c r="L1119">
        <f xml:space="preserve"> (交易處理資料__3[[#This Row],[售出工時]] * 60) / 5</f>
        <v>0</v>
      </c>
      <c r="M1119" t="str">
        <f>VLOOKUP(交易處理資料__3[[#This Row],[人員代號]],團隊分組!$B$1:$C$52,2,FALSE)</f>
        <v>查修團隊B</v>
      </c>
      <c r="N1119">
        <f>IF(交易處理資料__3[[#This Row],[上班時間]]=0,0,交易處理資料__3[[#This Row],[售出工時]]/交易處理資料__3[[#This Row],[上班時間]])</f>
        <v>0</v>
      </c>
      <c r="O1119" s="31" t="str">
        <f>IF(交易處理資料__3[[#This Row],[上班時間]]=0,"否","是")</f>
        <v>是</v>
      </c>
    </row>
    <row r="1120" spans="1:15" hidden="1">
      <c r="A1120" t="s">
        <v>75</v>
      </c>
      <c r="B1120" t="s">
        <v>22</v>
      </c>
      <c r="C1120">
        <v>0</v>
      </c>
      <c r="D1120">
        <v>0</v>
      </c>
      <c r="E1120" s="27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 s="9">
        <v>45320</v>
      </c>
      <c r="L1120">
        <f xml:space="preserve"> (交易處理資料__3[[#This Row],[售出工時]] * 60) / 5</f>
        <v>0</v>
      </c>
      <c r="M1120" t="str">
        <f>VLOOKUP(交易處理資料__3[[#This Row],[人員代號]],團隊分組!$B$1:$C$52,2,FALSE)</f>
        <v>快速保養團隊A</v>
      </c>
      <c r="N1120">
        <f>IF(交易處理資料__3[[#This Row],[上班時間]]=0,0,交易處理資料__3[[#This Row],[售出工時]]/交易處理資料__3[[#This Row],[上班時間]])</f>
        <v>0</v>
      </c>
      <c r="O1120" s="31" t="str">
        <f>IF(交易處理資料__3[[#This Row],[上班時間]]=0,"否","是")</f>
        <v>否</v>
      </c>
    </row>
    <row r="1121" spans="1:15" hidden="1">
      <c r="A1121" t="s">
        <v>75</v>
      </c>
      <c r="B1121" t="s">
        <v>23</v>
      </c>
      <c r="C1121">
        <v>14.71666667</v>
      </c>
      <c r="D1121">
        <v>7.65</v>
      </c>
      <c r="E1121" s="27">
        <v>192.37472769999999</v>
      </c>
      <c r="F1121">
        <v>7.18</v>
      </c>
      <c r="G1121">
        <v>1.59</v>
      </c>
      <c r="H1121">
        <v>8.77</v>
      </c>
      <c r="I1121">
        <v>81.87</v>
      </c>
      <c r="J1121">
        <v>167.81</v>
      </c>
      <c r="K1121" s="9">
        <v>45320</v>
      </c>
      <c r="L1121">
        <f xml:space="preserve"> (交易處理資料__3[[#This Row],[售出工時]] * 60) / 5</f>
        <v>176.60000004</v>
      </c>
      <c r="M1121" t="str">
        <f>VLOOKUP(交易處理資料__3[[#This Row],[人員代號]],團隊分組!$B$1:$C$52,2,FALSE)</f>
        <v>快速保養團隊B</v>
      </c>
      <c r="N1121">
        <f>IF(交易處理資料__3[[#This Row],[上班時間]]=0,0,交易處理資料__3[[#This Row],[售出工時]]/交易處理資料__3[[#This Row],[上班時間]])</f>
        <v>1.6780691755986319</v>
      </c>
      <c r="O1121" s="31" t="str">
        <f>IF(交易處理資料__3[[#This Row],[上班時間]]=0,"否","是")</f>
        <v>是</v>
      </c>
    </row>
    <row r="1122" spans="1:15" hidden="1">
      <c r="A1122" t="s">
        <v>75</v>
      </c>
      <c r="B1122" t="s">
        <v>24</v>
      </c>
      <c r="C1122">
        <v>10.16</v>
      </c>
      <c r="D1122">
        <v>6.84</v>
      </c>
      <c r="E1122" s="27">
        <v>148.5380117</v>
      </c>
      <c r="F1122">
        <v>7.01</v>
      </c>
      <c r="G1122">
        <v>0.99</v>
      </c>
      <c r="H1122">
        <v>8</v>
      </c>
      <c r="I1122">
        <v>87.63</v>
      </c>
      <c r="J1122">
        <v>127</v>
      </c>
      <c r="K1122" s="9">
        <v>45320</v>
      </c>
      <c r="L1122">
        <f xml:space="preserve"> (交易處理資料__3[[#This Row],[售出工時]] * 60) / 5</f>
        <v>121.92</v>
      </c>
      <c r="M1122" t="str">
        <f>VLOOKUP(交易處理資料__3[[#This Row],[人員代號]],團隊分組!$B$1:$C$52,2,FALSE)</f>
        <v>快速保養團隊A</v>
      </c>
      <c r="N1122">
        <f>IF(交易處理資料__3[[#This Row],[上班時間]]=0,0,交易處理資料__3[[#This Row],[售出工時]]/交易處理資料__3[[#This Row],[上班時間]])</f>
        <v>1.27</v>
      </c>
      <c r="O1122" s="31" t="str">
        <f>IF(交易處理資料__3[[#This Row],[上班時間]]=0,"否","是")</f>
        <v>是</v>
      </c>
    </row>
    <row r="1123" spans="1:15" hidden="1">
      <c r="A1123" t="s">
        <v>75</v>
      </c>
      <c r="B1123" t="s">
        <v>25</v>
      </c>
      <c r="C1123">
        <v>3.75</v>
      </c>
      <c r="D1123">
        <v>4.4400000000000004</v>
      </c>
      <c r="E1123" s="27">
        <v>84.459459460000005</v>
      </c>
      <c r="F1123">
        <v>9.5500000000000007</v>
      </c>
      <c r="G1123">
        <v>1.49</v>
      </c>
      <c r="H1123">
        <v>11.04</v>
      </c>
      <c r="I1123">
        <v>86.5</v>
      </c>
      <c r="J1123">
        <v>33.97</v>
      </c>
      <c r="K1123" s="9">
        <v>45320</v>
      </c>
      <c r="L1123">
        <f xml:space="preserve"> (交易處理資料__3[[#This Row],[售出工時]] * 60) / 5</f>
        <v>45</v>
      </c>
      <c r="M1123" t="str">
        <f>VLOOKUP(交易處理資料__3[[#This Row],[人員代號]],團隊分組!$B$1:$C$52,2,FALSE)</f>
        <v>查修團隊A</v>
      </c>
      <c r="N1123">
        <f>IF(交易處理資料__3[[#This Row],[上班時間]]=0,0,交易處理資料__3[[#This Row],[售出工時]]/交易處理資料__3[[#This Row],[上班時間]])</f>
        <v>0.33967391304347827</v>
      </c>
      <c r="O1123" s="31" t="str">
        <f>IF(交易處理資料__3[[#This Row],[上班時間]]=0,"否","是")</f>
        <v>是</v>
      </c>
    </row>
    <row r="1124" spans="1:15" hidden="1">
      <c r="A1124" t="s">
        <v>75</v>
      </c>
      <c r="B1124" t="s">
        <v>26</v>
      </c>
      <c r="C1124">
        <v>0.66666666699999999</v>
      </c>
      <c r="D1124">
        <v>0.4</v>
      </c>
      <c r="E1124" s="27">
        <v>166.66666670000001</v>
      </c>
      <c r="F1124">
        <v>0.2</v>
      </c>
      <c r="G1124">
        <v>9.09</v>
      </c>
      <c r="H1124">
        <v>9.2899999999999991</v>
      </c>
      <c r="I1124">
        <v>2.15</v>
      </c>
      <c r="J1124">
        <v>7.18</v>
      </c>
      <c r="K1124" s="9">
        <v>45320</v>
      </c>
      <c r="L1124">
        <f xml:space="preserve"> (交易處理資料__3[[#This Row],[售出工時]] * 60) / 5</f>
        <v>8.0000000040000003</v>
      </c>
      <c r="M1124" t="str">
        <f>VLOOKUP(交易處理資料__3[[#This Row],[人員代號]],團隊分組!$B$1:$C$52,2,FALSE)</f>
        <v>查修團隊B</v>
      </c>
      <c r="N1124">
        <f>IF(交易處理資料__3[[#This Row],[上班時間]]=0,0,交易處理資料__3[[#This Row],[售出工時]]/交易處理資料__3[[#This Row],[上班時間]])</f>
        <v>7.1761751022604958E-2</v>
      </c>
      <c r="O1124" s="31" t="str">
        <f>IF(交易處理資料__3[[#This Row],[上班時間]]=0,"否","是")</f>
        <v>是</v>
      </c>
    </row>
    <row r="1125" spans="1:15" hidden="1">
      <c r="A1125" t="s">
        <v>75</v>
      </c>
      <c r="B1125" t="s">
        <v>28</v>
      </c>
      <c r="C1125">
        <v>8.5</v>
      </c>
      <c r="D1125">
        <v>6.11</v>
      </c>
      <c r="E1125" s="27">
        <v>139.11620289999999</v>
      </c>
      <c r="F1125">
        <v>5.96</v>
      </c>
      <c r="G1125">
        <v>1.96</v>
      </c>
      <c r="H1125">
        <v>7.92</v>
      </c>
      <c r="I1125">
        <v>75.25</v>
      </c>
      <c r="J1125">
        <v>107.32</v>
      </c>
      <c r="K1125" s="9">
        <v>45320</v>
      </c>
      <c r="L1125">
        <f xml:space="preserve"> (交易處理資料__3[[#This Row],[售出工時]] * 60) / 5</f>
        <v>102</v>
      </c>
      <c r="M1125" t="str">
        <f>VLOOKUP(交易處理資料__3[[#This Row],[人員代號]],團隊分組!$B$1:$C$52,2,FALSE)</f>
        <v>快速保養團隊A</v>
      </c>
      <c r="N1125">
        <f>IF(交易處理資料__3[[#This Row],[上班時間]]=0,0,交易處理資料__3[[#This Row],[售出工時]]/交易處理資料__3[[#This Row],[上班時間]])</f>
        <v>1.0732323232323233</v>
      </c>
      <c r="O1125" s="31" t="str">
        <f>IF(交易處理資料__3[[#This Row],[上班時間]]=0,"否","是")</f>
        <v>是</v>
      </c>
    </row>
    <row r="1126" spans="1:15" hidden="1">
      <c r="A1126" t="s">
        <v>75</v>
      </c>
      <c r="B1126" t="s">
        <v>29</v>
      </c>
      <c r="C1126">
        <v>4.8333333329999997</v>
      </c>
      <c r="D1126">
        <v>6.81</v>
      </c>
      <c r="E1126" s="27">
        <v>70.974057759999994</v>
      </c>
      <c r="F1126">
        <v>6.76</v>
      </c>
      <c r="G1126">
        <v>1.28</v>
      </c>
      <c r="H1126">
        <v>8.0399999999999991</v>
      </c>
      <c r="I1126">
        <v>84.08</v>
      </c>
      <c r="J1126">
        <v>60.12</v>
      </c>
      <c r="K1126" s="9">
        <v>45320</v>
      </c>
      <c r="L1126">
        <f xml:space="preserve"> (交易處理資料__3[[#This Row],[售出工時]] * 60) / 5</f>
        <v>57.999999996</v>
      </c>
      <c r="M1126" t="str">
        <f>VLOOKUP(交易處理資料__3[[#This Row],[人員代號]],團隊分組!$B$1:$C$52,2,FALSE)</f>
        <v>查修團隊B</v>
      </c>
      <c r="N1126">
        <f>IF(交易處理資料__3[[#This Row],[上班時間]]=0,0,交易處理資料__3[[#This Row],[售出工時]]/交易處理資料__3[[#This Row],[上班時間]])</f>
        <v>0.60116086231343291</v>
      </c>
      <c r="O1126" s="31" t="str">
        <f>IF(交易處理資料__3[[#This Row],[上班時間]]=0,"否","是")</f>
        <v>是</v>
      </c>
    </row>
    <row r="1127" spans="1:15" hidden="1">
      <c r="A1127" t="s">
        <v>75</v>
      </c>
      <c r="B1127" t="s">
        <v>30</v>
      </c>
      <c r="C1127">
        <v>8.06</v>
      </c>
      <c r="D1127">
        <v>5.7</v>
      </c>
      <c r="E1127" s="27">
        <v>141.4035088</v>
      </c>
      <c r="F1127">
        <v>6.62</v>
      </c>
      <c r="G1127">
        <v>1.38</v>
      </c>
      <c r="H1127">
        <v>8</v>
      </c>
      <c r="I1127">
        <v>82.75</v>
      </c>
      <c r="J1127">
        <v>100.75</v>
      </c>
      <c r="K1127" s="9">
        <v>45320</v>
      </c>
      <c r="L1127">
        <f xml:space="preserve"> (交易處理資料__3[[#This Row],[售出工時]] * 60) / 5</f>
        <v>96.72</v>
      </c>
      <c r="M1127" t="str">
        <f>VLOOKUP(交易處理資料__3[[#This Row],[人員代號]],團隊分組!$B$1:$C$52,2,FALSE)</f>
        <v>快速保養團隊B</v>
      </c>
      <c r="N1127">
        <f>IF(交易處理資料__3[[#This Row],[上班時間]]=0,0,交易處理資料__3[[#This Row],[售出工時]]/交易處理資料__3[[#This Row],[上班時間]])</f>
        <v>1.0075000000000001</v>
      </c>
      <c r="O1127" s="31" t="str">
        <f>IF(交易處理資料__3[[#This Row],[上班時間]]=0,"否","是")</f>
        <v>是</v>
      </c>
    </row>
    <row r="1128" spans="1:15" hidden="1">
      <c r="A1128" t="s">
        <v>75</v>
      </c>
      <c r="B1128" t="s">
        <v>32</v>
      </c>
      <c r="C1128">
        <v>5.9333333330000002</v>
      </c>
      <c r="D1128">
        <v>7.28</v>
      </c>
      <c r="E1128" s="27">
        <v>81.501831499999994</v>
      </c>
      <c r="F1128">
        <v>8.59</v>
      </c>
      <c r="G1128">
        <v>0.61</v>
      </c>
      <c r="H1128">
        <v>9.1999999999999993</v>
      </c>
      <c r="I1128">
        <v>93.37</v>
      </c>
      <c r="J1128">
        <v>64.489999999999995</v>
      </c>
      <c r="K1128" s="9">
        <v>45320</v>
      </c>
      <c r="L1128">
        <f xml:space="preserve"> (交易處理資料__3[[#This Row],[售出工時]] * 60) / 5</f>
        <v>71.199999996000003</v>
      </c>
      <c r="M1128" t="str">
        <f>VLOOKUP(交易處理資料__3[[#This Row],[人員代號]],團隊分組!$B$1:$C$52,2,FALSE)</f>
        <v>快速保養團隊B</v>
      </c>
      <c r="N1128">
        <f>IF(交易處理資料__3[[#This Row],[上班時間]]=0,0,交易處理資料__3[[#This Row],[售出工時]]/交易處理資料__3[[#This Row],[上班時間]])</f>
        <v>0.64492753619565224</v>
      </c>
      <c r="O1128" s="31" t="str">
        <f>IF(交易處理資料__3[[#This Row],[上班時間]]=0,"否","是")</f>
        <v>是</v>
      </c>
    </row>
    <row r="1129" spans="1:15">
      <c r="A1129" t="s">
        <v>75</v>
      </c>
      <c r="B1129" t="s">
        <v>33</v>
      </c>
      <c r="C1129">
        <v>0</v>
      </c>
      <c r="D1129">
        <v>0</v>
      </c>
      <c r="E1129" s="27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 s="9">
        <v>45320</v>
      </c>
      <c r="L1129">
        <f xml:space="preserve"> (交易處理資料__3[[#This Row],[售出工時]] * 60) / 5</f>
        <v>0</v>
      </c>
      <c r="M1129" t="str">
        <f>VLOOKUP(交易處理資料__3[[#This Row],[人員代號]],團隊分組!$B$1:$C$52,2,FALSE)</f>
        <v>快速保養團隊B</v>
      </c>
      <c r="N1129">
        <f>IF(交易處理資料__3[[#This Row],[上班時間]]=0,0,交易處理資料__3[[#This Row],[售出工時]]/交易處理資料__3[[#This Row],[上班時間]])</f>
        <v>0</v>
      </c>
      <c r="O1129" s="31" t="str">
        <f>IF(交易處理資料__3[[#This Row],[上班時間]]=0,"否","是")</f>
        <v>否</v>
      </c>
    </row>
    <row r="1130" spans="1:15" hidden="1">
      <c r="A1130" t="s">
        <v>75</v>
      </c>
      <c r="B1130" t="s">
        <v>34</v>
      </c>
      <c r="C1130">
        <v>6.4166666670000003</v>
      </c>
      <c r="D1130">
        <v>4.18</v>
      </c>
      <c r="E1130" s="27">
        <v>153.5087719</v>
      </c>
      <c r="F1130">
        <v>5.56</v>
      </c>
      <c r="G1130">
        <v>2.36</v>
      </c>
      <c r="H1130">
        <v>7.92</v>
      </c>
      <c r="I1130">
        <v>70.2</v>
      </c>
      <c r="J1130">
        <v>81.02</v>
      </c>
      <c r="K1130" s="9">
        <v>45320</v>
      </c>
      <c r="L1130">
        <f xml:space="preserve"> (交易處理資料__3[[#This Row],[售出工時]] * 60) / 5</f>
        <v>77.000000004</v>
      </c>
      <c r="M1130" t="str">
        <f>VLOOKUP(交易處理資料__3[[#This Row],[人員代號]],團隊分組!$B$1:$C$52,2,FALSE)</f>
        <v>快速保養團隊A</v>
      </c>
      <c r="N1130">
        <f>IF(交易處理資料__3[[#This Row],[上班時間]]=0,0,交易處理資料__3[[#This Row],[售出工時]]/交易處理資料__3[[#This Row],[上班時間]])</f>
        <v>0.81018518522727279</v>
      </c>
      <c r="O1130" s="31" t="str">
        <f>IF(交易處理資料__3[[#This Row],[上班時間]]=0,"否","是")</f>
        <v>是</v>
      </c>
    </row>
    <row r="1131" spans="1:15" hidden="1">
      <c r="A1131" t="s">
        <v>75</v>
      </c>
      <c r="B1131" t="s">
        <v>35</v>
      </c>
      <c r="C1131">
        <v>1</v>
      </c>
      <c r="D1131">
        <v>1.43</v>
      </c>
      <c r="E1131" s="27">
        <v>69.930069930000002</v>
      </c>
      <c r="F1131">
        <v>8.34</v>
      </c>
      <c r="G1131">
        <v>1.44</v>
      </c>
      <c r="H1131">
        <v>9.7799999999999994</v>
      </c>
      <c r="I1131">
        <v>85.28</v>
      </c>
      <c r="J1131">
        <v>10.220000000000001</v>
      </c>
      <c r="K1131" s="9">
        <v>45320</v>
      </c>
      <c r="L1131">
        <f xml:space="preserve"> (交易處理資料__3[[#This Row],[售出工時]] * 60) / 5</f>
        <v>12</v>
      </c>
      <c r="M1131" t="str">
        <f>VLOOKUP(交易處理資料__3[[#This Row],[人員代號]],團隊分組!$B$1:$C$52,2,FALSE)</f>
        <v>查修團隊B</v>
      </c>
      <c r="N1131">
        <f>IF(交易處理資料__3[[#This Row],[上班時間]]=0,0,交易處理資料__3[[#This Row],[售出工時]]/交易處理資料__3[[#This Row],[上班時間]])</f>
        <v>0.10224948875255624</v>
      </c>
      <c r="O1131" s="31" t="str">
        <f>IF(交易處理資料__3[[#This Row],[上班時間]]=0,"否","是")</f>
        <v>是</v>
      </c>
    </row>
    <row r="1132" spans="1:15" hidden="1">
      <c r="A1132" t="s">
        <v>75</v>
      </c>
      <c r="B1132" t="s">
        <v>36</v>
      </c>
      <c r="C1132">
        <v>0</v>
      </c>
      <c r="D1132">
        <v>0</v>
      </c>
      <c r="E1132" s="27">
        <v>0</v>
      </c>
      <c r="F1132">
        <v>2.2799999999999998</v>
      </c>
      <c r="G1132">
        <v>5.89</v>
      </c>
      <c r="H1132">
        <v>8.17</v>
      </c>
      <c r="I1132">
        <v>27.91</v>
      </c>
      <c r="J1132">
        <v>0</v>
      </c>
      <c r="K1132" s="9">
        <v>45320</v>
      </c>
      <c r="L1132">
        <f xml:space="preserve"> (交易處理資料__3[[#This Row],[售出工時]] * 60) / 5</f>
        <v>0</v>
      </c>
      <c r="M1132" t="str">
        <f>VLOOKUP(交易處理資料__3[[#This Row],[人員代號]],團隊分組!$B$1:$C$52,2,FALSE)</f>
        <v>查修團隊B</v>
      </c>
      <c r="N1132">
        <f>IF(交易處理資料__3[[#This Row],[上班時間]]=0,0,交易處理資料__3[[#This Row],[售出工時]]/交易處理資料__3[[#This Row],[上班時間]])</f>
        <v>0</v>
      </c>
      <c r="O1132" s="31" t="str">
        <f>IF(交易處理資料__3[[#This Row],[上班時間]]=0,"否","是")</f>
        <v>是</v>
      </c>
    </row>
    <row r="1133" spans="1:15" hidden="1">
      <c r="A1133" t="s">
        <v>75</v>
      </c>
      <c r="B1133" t="s">
        <v>37</v>
      </c>
      <c r="C1133">
        <v>0</v>
      </c>
      <c r="D1133">
        <v>0</v>
      </c>
      <c r="E1133" s="27">
        <v>0</v>
      </c>
      <c r="F1133">
        <v>9.33</v>
      </c>
      <c r="G1133">
        <v>1.1200000000000001</v>
      </c>
      <c r="H1133">
        <v>10.45</v>
      </c>
      <c r="I1133">
        <v>89.28</v>
      </c>
      <c r="J1133">
        <v>0</v>
      </c>
      <c r="K1133" s="9">
        <v>45320</v>
      </c>
      <c r="L1133">
        <f xml:space="preserve"> (交易處理資料__3[[#This Row],[售出工時]] * 60) / 5</f>
        <v>0</v>
      </c>
      <c r="M1133" t="str">
        <f>VLOOKUP(交易處理資料__3[[#This Row],[人員代號]],團隊分組!$B$1:$C$52,2,FALSE)</f>
        <v>查修團隊A</v>
      </c>
      <c r="N1133">
        <f>IF(交易處理資料__3[[#This Row],[上班時間]]=0,0,交易處理資料__3[[#This Row],[售出工時]]/交易處理資料__3[[#This Row],[上班時間]])</f>
        <v>0</v>
      </c>
      <c r="O1133" s="31" t="str">
        <f>IF(交易處理資料__3[[#This Row],[上班時間]]=0,"否","是")</f>
        <v>是</v>
      </c>
    </row>
    <row r="1134" spans="1:15" hidden="1">
      <c r="A1134" t="s">
        <v>75</v>
      </c>
      <c r="B1134" t="s">
        <v>38</v>
      </c>
      <c r="C1134">
        <v>1.4766666669999999</v>
      </c>
      <c r="D1134">
        <v>2.44</v>
      </c>
      <c r="E1134" s="27">
        <v>60.519125680000002</v>
      </c>
      <c r="F1134">
        <v>6.97</v>
      </c>
      <c r="G1134">
        <v>1.1200000000000001</v>
      </c>
      <c r="H1134">
        <v>8.09</v>
      </c>
      <c r="I1134">
        <v>86.16</v>
      </c>
      <c r="J1134">
        <v>18.25</v>
      </c>
      <c r="K1134" s="9">
        <v>45320</v>
      </c>
      <c r="L1134">
        <f xml:space="preserve"> (交易處理資料__3[[#This Row],[售出工時]] * 60) / 5</f>
        <v>17.720000003999999</v>
      </c>
      <c r="M1134" t="str">
        <f>VLOOKUP(交易處理資料__3[[#This Row],[人員代號]],團隊分組!$B$1:$C$52,2,FALSE)</f>
        <v>快速保養團隊A</v>
      </c>
      <c r="N1134">
        <f>IF(交易處理資料__3[[#This Row],[上班時間]]=0,0,交易處理資料__3[[#This Row],[售出工時]]/交易處理資料__3[[#This Row],[上班時間]])</f>
        <v>0.18252987231149567</v>
      </c>
      <c r="O1134" s="31" t="str">
        <f>IF(交易處理資料__3[[#This Row],[上班時間]]=0,"否","是")</f>
        <v>是</v>
      </c>
    </row>
    <row r="1135" spans="1:15" hidden="1">
      <c r="A1135" t="s">
        <v>75</v>
      </c>
      <c r="B1135" t="s">
        <v>39</v>
      </c>
      <c r="C1135">
        <v>0</v>
      </c>
      <c r="D1135">
        <v>0</v>
      </c>
      <c r="E1135" s="27">
        <v>0</v>
      </c>
      <c r="F1135">
        <v>8.5500000000000007</v>
      </c>
      <c r="G1135">
        <v>1.18</v>
      </c>
      <c r="H1135">
        <v>9.73</v>
      </c>
      <c r="I1135">
        <v>87.87</v>
      </c>
      <c r="J1135">
        <v>0</v>
      </c>
      <c r="K1135" s="9">
        <v>45320</v>
      </c>
      <c r="L1135">
        <f xml:space="preserve"> (交易處理資料__3[[#This Row],[售出工時]] * 60) / 5</f>
        <v>0</v>
      </c>
      <c r="M1135" t="str">
        <f>VLOOKUP(交易處理資料__3[[#This Row],[人員代號]],團隊分組!$B$1:$C$52,2,FALSE)</f>
        <v>查修團隊A</v>
      </c>
      <c r="N1135">
        <f>IF(交易處理資料__3[[#This Row],[上班時間]]=0,0,交易處理資料__3[[#This Row],[售出工時]]/交易處理資料__3[[#This Row],[上班時間]])</f>
        <v>0</v>
      </c>
      <c r="O1135" s="31" t="str">
        <f>IF(交易處理資料__3[[#This Row],[上班時間]]=0,"否","是")</f>
        <v>是</v>
      </c>
    </row>
    <row r="1136" spans="1:15" hidden="1">
      <c r="A1136" t="s">
        <v>75</v>
      </c>
      <c r="B1136" t="s">
        <v>40</v>
      </c>
      <c r="C1136">
        <v>4.1666666670000003</v>
      </c>
      <c r="D1136">
        <v>3.08</v>
      </c>
      <c r="E1136" s="27">
        <v>135.28138530000001</v>
      </c>
      <c r="F1136">
        <v>4.2699999999999996</v>
      </c>
      <c r="G1136">
        <v>1.58</v>
      </c>
      <c r="H1136">
        <v>5.85</v>
      </c>
      <c r="I1136">
        <v>72.989999999999995</v>
      </c>
      <c r="J1136">
        <v>71.23</v>
      </c>
      <c r="K1136" s="9">
        <v>45320</v>
      </c>
      <c r="L1136">
        <f xml:space="preserve"> (交易處理資料__3[[#This Row],[售出工時]] * 60) / 5</f>
        <v>50.000000004</v>
      </c>
      <c r="M1136" t="str">
        <f>VLOOKUP(交易處理資料__3[[#This Row],[人員代號]],團隊分組!$B$1:$C$52,2,FALSE)</f>
        <v>查修團隊A</v>
      </c>
      <c r="N1136">
        <f>IF(交易處理資料__3[[#This Row],[上班時間]]=0,0,交易處理資料__3[[#This Row],[售出工時]]/交易處理資料__3[[#This Row],[上班時間]])</f>
        <v>0.71225071230769244</v>
      </c>
      <c r="O1136" s="31" t="str">
        <f>IF(交易處理資料__3[[#This Row],[上班時間]]=0,"否","是")</f>
        <v>是</v>
      </c>
    </row>
    <row r="1137" spans="1:15" hidden="1">
      <c r="A1137" t="s">
        <v>75</v>
      </c>
      <c r="B1137" t="s">
        <v>41</v>
      </c>
      <c r="C1137">
        <v>13.08333333</v>
      </c>
      <c r="D1137">
        <v>5.4</v>
      </c>
      <c r="E1137" s="27">
        <v>242.2839506</v>
      </c>
      <c r="F1137">
        <v>8.5399999999999991</v>
      </c>
      <c r="G1137">
        <v>1.35</v>
      </c>
      <c r="H1137">
        <v>9.89</v>
      </c>
      <c r="I1137">
        <v>86.35</v>
      </c>
      <c r="J1137">
        <v>132.29</v>
      </c>
      <c r="K1137" s="9">
        <v>45320</v>
      </c>
      <c r="L1137">
        <f xml:space="preserve"> (交易處理資料__3[[#This Row],[售出工時]] * 60) / 5</f>
        <v>156.99999996000003</v>
      </c>
      <c r="M1137" t="str">
        <f>VLOOKUP(交易處理資料__3[[#This Row],[人員代號]],團隊分組!$B$1:$C$52,2,FALSE)</f>
        <v>快速保養團隊A</v>
      </c>
      <c r="N1137">
        <f>IF(交易處理資料__3[[#This Row],[上班時間]]=0,0,交易處理資料__3[[#This Row],[售出工時]]/交易處理資料__3[[#This Row],[上班時間]])</f>
        <v>1.3228850687563194</v>
      </c>
      <c r="O1137" s="31" t="str">
        <f>IF(交易處理資料__3[[#This Row],[上班時間]]=0,"否","是")</f>
        <v>是</v>
      </c>
    </row>
    <row r="1138" spans="1:15" hidden="1">
      <c r="A1138" t="s">
        <v>75</v>
      </c>
      <c r="B1138" t="s">
        <v>42</v>
      </c>
      <c r="C1138">
        <v>6.0833333329999997</v>
      </c>
      <c r="D1138">
        <v>4.45</v>
      </c>
      <c r="E1138" s="27">
        <v>136.70411989999999</v>
      </c>
      <c r="F1138">
        <v>6.85</v>
      </c>
      <c r="G1138">
        <v>2.94</v>
      </c>
      <c r="H1138">
        <v>9.7899999999999991</v>
      </c>
      <c r="I1138">
        <v>69.97</v>
      </c>
      <c r="J1138">
        <v>62.14</v>
      </c>
      <c r="K1138" s="9">
        <v>45320</v>
      </c>
      <c r="L1138">
        <f xml:space="preserve"> (交易處理資料__3[[#This Row],[售出工時]] * 60) / 5</f>
        <v>72.999999996</v>
      </c>
      <c r="M1138" t="str">
        <f>VLOOKUP(交易處理資料__3[[#This Row],[人員代號]],團隊分組!$B$1:$C$52,2,FALSE)</f>
        <v>快速保養團隊A</v>
      </c>
      <c r="N1138">
        <f>IF(交易處理資料__3[[#This Row],[上班時間]]=0,0,交易處理資料__3[[#This Row],[售出工時]]/交易處理資料__3[[#This Row],[上班時間]])</f>
        <v>0.6213823629213483</v>
      </c>
      <c r="O1138" s="31" t="str">
        <f>IF(交易處理資料__3[[#This Row],[上班時間]]=0,"否","是")</f>
        <v>是</v>
      </c>
    </row>
    <row r="1139" spans="1:15" hidden="1">
      <c r="A1139" t="s">
        <v>75</v>
      </c>
      <c r="B1139" t="s">
        <v>43</v>
      </c>
      <c r="C1139">
        <v>0</v>
      </c>
      <c r="D1139">
        <v>0</v>
      </c>
      <c r="E1139" s="27">
        <v>0</v>
      </c>
      <c r="F1139">
        <v>2.2799999999999998</v>
      </c>
      <c r="G1139">
        <v>7.47</v>
      </c>
      <c r="H1139">
        <v>9.75</v>
      </c>
      <c r="I1139">
        <v>23.38</v>
      </c>
      <c r="J1139">
        <v>0</v>
      </c>
      <c r="K1139" s="9">
        <v>45320</v>
      </c>
      <c r="L1139">
        <f xml:space="preserve"> (交易處理資料__3[[#This Row],[售出工時]] * 60) / 5</f>
        <v>0</v>
      </c>
      <c r="M1139" t="str">
        <f>VLOOKUP(交易處理資料__3[[#This Row],[人員代號]],團隊分組!$B$1:$C$52,2,FALSE)</f>
        <v>查修團隊B</v>
      </c>
      <c r="N1139">
        <f>IF(交易處理資料__3[[#This Row],[上班時間]]=0,0,交易處理資料__3[[#This Row],[售出工時]]/交易處理資料__3[[#This Row],[上班時間]])</f>
        <v>0</v>
      </c>
      <c r="O1139" s="31" t="str">
        <f>IF(交易處理資料__3[[#This Row],[上班時間]]=0,"否","是")</f>
        <v>是</v>
      </c>
    </row>
    <row r="1140" spans="1:15" hidden="1">
      <c r="A1140" t="s">
        <v>75</v>
      </c>
      <c r="B1140" t="s">
        <v>44</v>
      </c>
      <c r="C1140">
        <v>3.38</v>
      </c>
      <c r="D1140">
        <v>4.76</v>
      </c>
      <c r="E1140" s="27">
        <v>71.008403360000003</v>
      </c>
      <c r="F1140">
        <v>7.25</v>
      </c>
      <c r="G1140">
        <v>0.68</v>
      </c>
      <c r="H1140">
        <v>7.93</v>
      </c>
      <c r="I1140">
        <v>91.42</v>
      </c>
      <c r="J1140">
        <v>42.62</v>
      </c>
      <c r="K1140" s="9">
        <v>45320</v>
      </c>
      <c r="L1140">
        <f xml:space="preserve"> (交易處理資料__3[[#This Row],[售出工時]] * 60) / 5</f>
        <v>40.559999999999995</v>
      </c>
      <c r="M1140" t="str">
        <f>VLOOKUP(交易處理資料__3[[#This Row],[人員代號]],團隊分組!$B$1:$C$52,2,FALSE)</f>
        <v>快速保養團隊B</v>
      </c>
      <c r="N1140">
        <f>IF(交易處理資料__3[[#This Row],[上班時間]]=0,0,交易處理資料__3[[#This Row],[售出工時]]/交易處理資料__3[[#This Row],[上班時間]])</f>
        <v>0.42622950819672134</v>
      </c>
      <c r="O1140" s="31" t="str">
        <f>IF(交易處理資料__3[[#This Row],[上班時間]]=0,"否","是")</f>
        <v>是</v>
      </c>
    </row>
    <row r="1141" spans="1:15" hidden="1">
      <c r="A1141" t="s">
        <v>75</v>
      </c>
      <c r="B1141" t="s">
        <v>45</v>
      </c>
      <c r="C1141">
        <v>3.75</v>
      </c>
      <c r="D1141">
        <v>3.11</v>
      </c>
      <c r="E1141" s="27">
        <v>120.57877809999999</v>
      </c>
      <c r="F1141">
        <v>7.26</v>
      </c>
      <c r="G1141">
        <v>0.74</v>
      </c>
      <c r="H1141">
        <v>8</v>
      </c>
      <c r="I1141">
        <v>90.75</v>
      </c>
      <c r="J1141">
        <v>46.88</v>
      </c>
      <c r="K1141" s="9">
        <v>45320</v>
      </c>
      <c r="L1141">
        <f xml:space="preserve"> (交易處理資料__3[[#This Row],[售出工時]] * 60) / 5</f>
        <v>45</v>
      </c>
      <c r="M1141" t="str">
        <f>VLOOKUP(交易處理資料__3[[#This Row],[人員代號]],團隊分組!$B$1:$C$52,2,FALSE)</f>
        <v>快速保養團隊A</v>
      </c>
      <c r="N1141">
        <f>IF(交易處理資料__3[[#This Row],[上班時間]]=0,0,交易處理資料__3[[#This Row],[售出工時]]/交易處理資料__3[[#This Row],[上班時間]])</f>
        <v>0.46875</v>
      </c>
      <c r="O1141" s="31" t="str">
        <f>IF(交易處理資料__3[[#This Row],[上班時間]]=0,"否","是")</f>
        <v>是</v>
      </c>
    </row>
    <row r="1142" spans="1:15" hidden="1">
      <c r="A1142" t="s">
        <v>75</v>
      </c>
      <c r="B1142" t="s">
        <v>47</v>
      </c>
      <c r="C1142">
        <v>0.91666666699999999</v>
      </c>
      <c r="D1142">
        <v>1.57</v>
      </c>
      <c r="E1142" s="27">
        <v>58.386411889999998</v>
      </c>
      <c r="F1142">
        <v>4.4000000000000004</v>
      </c>
      <c r="G1142">
        <v>3.91</v>
      </c>
      <c r="H1142">
        <v>8.31</v>
      </c>
      <c r="I1142">
        <v>52.95</v>
      </c>
      <c r="J1142">
        <v>11.03</v>
      </c>
      <c r="K1142" s="9">
        <v>45320</v>
      </c>
      <c r="L1142">
        <f xml:space="preserve"> (交易處理資料__3[[#This Row],[售出工時]] * 60) / 5</f>
        <v>11.000000004</v>
      </c>
      <c r="M1142" t="str">
        <f>VLOOKUP(交易處理資料__3[[#This Row],[人員代號]],團隊分組!$B$1:$C$52,2,FALSE)</f>
        <v>查修團隊B</v>
      </c>
      <c r="N1142">
        <f>IF(交易處理資料__3[[#This Row],[上班時間]]=0,0,交易處理資料__3[[#This Row],[售出工時]]/交易處理資料__3[[#This Row],[上班時間]])</f>
        <v>0.11030886486161251</v>
      </c>
      <c r="O1142" s="31" t="str">
        <f>IF(交易處理資料__3[[#This Row],[上班時間]]=0,"否","是")</f>
        <v>是</v>
      </c>
    </row>
    <row r="1143" spans="1:15" hidden="1">
      <c r="A1143" t="s">
        <v>75</v>
      </c>
      <c r="B1143" t="s">
        <v>48</v>
      </c>
      <c r="C1143">
        <v>0</v>
      </c>
      <c r="D1143">
        <v>0</v>
      </c>
      <c r="E1143" s="27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 s="9">
        <v>45320</v>
      </c>
      <c r="L1143">
        <f xml:space="preserve"> (交易處理資料__3[[#This Row],[售出工時]] * 60) / 5</f>
        <v>0</v>
      </c>
      <c r="M1143" t="str">
        <f>VLOOKUP(交易處理資料__3[[#This Row],[人員代號]],團隊分組!$B$1:$C$52,2,FALSE)</f>
        <v>查修團隊A</v>
      </c>
      <c r="N1143">
        <f>IF(交易處理資料__3[[#This Row],[上班時間]]=0,0,交易處理資料__3[[#This Row],[售出工時]]/交易處理資料__3[[#This Row],[上班時間]])</f>
        <v>0</v>
      </c>
      <c r="O1143" s="31" t="str">
        <f>IF(交易處理資料__3[[#This Row],[上班時間]]=0,"否","是")</f>
        <v>否</v>
      </c>
    </row>
    <row r="1144" spans="1:15" hidden="1">
      <c r="A1144" t="s">
        <v>75</v>
      </c>
      <c r="B1144" t="s">
        <v>50</v>
      </c>
      <c r="C1144">
        <v>3.03</v>
      </c>
      <c r="D1144">
        <v>4.34</v>
      </c>
      <c r="E1144" s="27">
        <v>69.815668200000005</v>
      </c>
      <c r="F1144">
        <v>7.27</v>
      </c>
      <c r="G1144">
        <v>0.66</v>
      </c>
      <c r="H1144">
        <v>7.93</v>
      </c>
      <c r="I1144">
        <v>91.68</v>
      </c>
      <c r="J1144">
        <v>38.21</v>
      </c>
      <c r="K1144" s="9">
        <v>45320</v>
      </c>
      <c r="L1144">
        <f xml:space="preserve"> (交易處理資料__3[[#This Row],[售出工時]] * 60) / 5</f>
        <v>36.36</v>
      </c>
      <c r="M1144" t="str">
        <f>VLOOKUP(交易處理資料__3[[#This Row],[人員代號]],團隊分組!$B$1:$C$52,2,FALSE)</f>
        <v>快速保養團隊B</v>
      </c>
      <c r="N1144">
        <f>IF(交易處理資料__3[[#This Row],[上班時間]]=0,0,交易處理資料__3[[#This Row],[售出工時]]/交易處理資料__3[[#This Row],[上班時間]])</f>
        <v>0.38209331651954603</v>
      </c>
      <c r="O1144" s="31" t="str">
        <f>IF(交易處理資料__3[[#This Row],[上班時間]]=0,"否","是")</f>
        <v>是</v>
      </c>
    </row>
    <row r="1145" spans="1:15" hidden="1">
      <c r="A1145" t="s">
        <v>75</v>
      </c>
      <c r="B1145" t="s">
        <v>51</v>
      </c>
      <c r="C1145">
        <v>0</v>
      </c>
      <c r="D1145">
        <v>0</v>
      </c>
      <c r="E1145" s="27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 s="9">
        <v>45320</v>
      </c>
      <c r="L1145">
        <f xml:space="preserve"> (交易處理資料__3[[#This Row],[售出工時]] * 60) / 5</f>
        <v>0</v>
      </c>
      <c r="M1145" t="str">
        <f>VLOOKUP(交易處理資料__3[[#This Row],[人員代號]],團隊分組!$B$1:$C$52,2,FALSE)</f>
        <v>無效數據</v>
      </c>
      <c r="N1145">
        <f>IF(交易處理資料__3[[#This Row],[上班時間]]=0,0,交易處理資料__3[[#This Row],[售出工時]]/交易處理資料__3[[#This Row],[上班時間]])</f>
        <v>0</v>
      </c>
      <c r="O1145" s="31" t="str">
        <f>IF(交易處理資料__3[[#This Row],[上班時間]]=0,"否","是")</f>
        <v>否</v>
      </c>
    </row>
    <row r="1146" spans="1:15" hidden="1">
      <c r="A1146" t="s">
        <v>75</v>
      </c>
      <c r="B1146" t="s">
        <v>52</v>
      </c>
      <c r="C1146">
        <v>2.4166666669999999</v>
      </c>
      <c r="D1146">
        <v>4.45</v>
      </c>
      <c r="E1146" s="27">
        <v>54.307116100000002</v>
      </c>
      <c r="F1146">
        <v>7.71</v>
      </c>
      <c r="G1146">
        <v>0.36</v>
      </c>
      <c r="H1146">
        <v>8.07</v>
      </c>
      <c r="I1146">
        <v>95.54</v>
      </c>
      <c r="J1146">
        <v>29.95</v>
      </c>
      <c r="K1146" s="9">
        <v>45320</v>
      </c>
      <c r="L1146">
        <f xml:space="preserve"> (交易處理資料__3[[#This Row],[售出工時]] * 60) / 5</f>
        <v>29.000000003999997</v>
      </c>
      <c r="M1146" t="str">
        <f>VLOOKUP(交易處理資料__3[[#This Row],[人員代號]],團隊分組!$B$1:$C$52,2,FALSE)</f>
        <v>查修團隊B</v>
      </c>
      <c r="N1146">
        <f>IF(交易處理資料__3[[#This Row],[上班時間]]=0,0,交易處理資料__3[[#This Row],[售出工時]]/交易處理資料__3[[#This Row],[上班時間]])</f>
        <v>0.29946303184634449</v>
      </c>
      <c r="O1146" s="31" t="str">
        <f>IF(交易處理資料__3[[#This Row],[上班時間]]=0,"否","是")</f>
        <v>是</v>
      </c>
    </row>
    <row r="1147" spans="1:15" hidden="1">
      <c r="A1147" t="s">
        <v>75</v>
      </c>
      <c r="B1147" t="s">
        <v>53</v>
      </c>
      <c r="C1147">
        <v>4.1066666669999998</v>
      </c>
      <c r="D1147">
        <v>5.28</v>
      </c>
      <c r="E1147" s="27">
        <v>77.777777779999994</v>
      </c>
      <c r="F1147">
        <v>7.37</v>
      </c>
      <c r="G1147">
        <v>0.57999999999999996</v>
      </c>
      <c r="H1147">
        <v>7.95</v>
      </c>
      <c r="I1147">
        <v>92.7</v>
      </c>
      <c r="J1147">
        <v>51.66</v>
      </c>
      <c r="K1147" s="9">
        <v>45320</v>
      </c>
      <c r="L1147">
        <f xml:space="preserve"> (交易處理資料__3[[#This Row],[售出工時]] * 60) / 5</f>
        <v>49.280000004000001</v>
      </c>
      <c r="M1147" t="str">
        <f>VLOOKUP(交易處理資料__3[[#This Row],[人員代號]],團隊分組!$B$1:$C$52,2,FALSE)</f>
        <v>查修團隊A</v>
      </c>
      <c r="N1147">
        <f>IF(交易處理資料__3[[#This Row],[上班時間]]=0,0,交易處理資料__3[[#This Row],[售出工時]]/交易處理資料__3[[#This Row],[上班時間]])</f>
        <v>0.51656184490566037</v>
      </c>
      <c r="O1147" s="31" t="str">
        <f>IF(交易處理資料__3[[#This Row],[上班時間]]=0,"否","是")</f>
        <v>是</v>
      </c>
    </row>
    <row r="1148" spans="1:15" hidden="1">
      <c r="A1148" s="10" t="s">
        <v>73</v>
      </c>
      <c r="B1148" t="s">
        <v>2</v>
      </c>
      <c r="C1148">
        <v>2.13</v>
      </c>
      <c r="D1148">
        <v>7.29</v>
      </c>
      <c r="E1148" s="27">
        <v>29.218107</v>
      </c>
      <c r="F1148">
        <v>10.84</v>
      </c>
      <c r="G1148">
        <v>0.24</v>
      </c>
      <c r="H1148">
        <v>11.08</v>
      </c>
      <c r="I1148">
        <v>97.83</v>
      </c>
      <c r="J1148">
        <v>19.22</v>
      </c>
      <c r="K1148" s="9">
        <v>45321</v>
      </c>
      <c r="L1148">
        <f xml:space="preserve"> (交易處理資料__3[[#This Row],[售出工時]] * 60) / 5</f>
        <v>25.56</v>
      </c>
      <c r="M1148" t="str">
        <f>VLOOKUP(交易處理資料__3[[#This Row],[人員代號]],團隊分組!$B$1:$C$52,2,FALSE)</f>
        <v>噴漆維修組</v>
      </c>
      <c r="N1148">
        <f>IF(交易處理資料__3[[#This Row],[上班時間]]=0,0,交易處理資料__3[[#This Row],[售出工時]]/交易處理資料__3[[#This Row],[上班時間]])</f>
        <v>0.19223826714801442</v>
      </c>
      <c r="O1148" s="31" t="str">
        <f>IF(交易處理資料__3[[#This Row],[上班時間]]=0,"否","是")</f>
        <v>是</v>
      </c>
    </row>
    <row r="1149" spans="1:15" hidden="1">
      <c r="A1149" s="10" t="s">
        <v>73</v>
      </c>
      <c r="B1149" t="s">
        <v>3</v>
      </c>
      <c r="C1149">
        <v>2.13</v>
      </c>
      <c r="D1149">
        <v>7.29</v>
      </c>
      <c r="E1149" s="27">
        <v>29.218107</v>
      </c>
      <c r="F1149">
        <v>10.84</v>
      </c>
      <c r="G1149">
        <v>0.26</v>
      </c>
      <c r="H1149">
        <v>11.1</v>
      </c>
      <c r="I1149">
        <v>97.66</v>
      </c>
      <c r="J1149">
        <v>19.190000000000001</v>
      </c>
      <c r="K1149" s="9">
        <v>45321</v>
      </c>
      <c r="L1149">
        <f xml:space="preserve"> (交易處理資料__3[[#This Row],[售出工時]] * 60) / 5</f>
        <v>25.56</v>
      </c>
      <c r="M1149" t="str">
        <f>VLOOKUP(交易處理資料__3[[#This Row],[人員代號]],團隊分組!$B$1:$C$52,2,FALSE)</f>
        <v>噴漆維修組</v>
      </c>
      <c r="N1149">
        <f>IF(交易處理資料__3[[#This Row],[上班時間]]=0,0,交易處理資料__3[[#This Row],[售出工時]]/交易處理資料__3[[#This Row],[上班時間]])</f>
        <v>0.19189189189189187</v>
      </c>
      <c r="O1149" s="31" t="str">
        <f>IF(交易處理資料__3[[#This Row],[上班時間]]=0,"否","是")</f>
        <v>是</v>
      </c>
    </row>
    <row r="1150" spans="1:15" hidden="1">
      <c r="A1150" s="10" t="s">
        <v>73</v>
      </c>
      <c r="B1150" t="s">
        <v>4</v>
      </c>
      <c r="C1150">
        <v>0</v>
      </c>
      <c r="D1150">
        <v>0</v>
      </c>
      <c r="E1150" s="27">
        <v>0</v>
      </c>
      <c r="F1150">
        <v>6.62</v>
      </c>
      <c r="G1150">
        <v>1.51</v>
      </c>
      <c r="H1150">
        <v>8.1300000000000008</v>
      </c>
      <c r="I1150">
        <v>81.430000000000007</v>
      </c>
      <c r="J1150">
        <v>0</v>
      </c>
      <c r="K1150" s="9">
        <v>45321</v>
      </c>
      <c r="L1150">
        <f xml:space="preserve"> (交易處理資料__3[[#This Row],[售出工時]] * 60) / 5</f>
        <v>0</v>
      </c>
      <c r="M1150" t="str">
        <f>VLOOKUP(交易處理資料__3[[#This Row],[人員代號]],團隊分組!$B$1:$C$52,2,FALSE)</f>
        <v>噴漆維修組</v>
      </c>
      <c r="N1150">
        <f>IF(交易處理資料__3[[#This Row],[上班時間]]=0,0,交易處理資料__3[[#This Row],[售出工時]]/交易處理資料__3[[#This Row],[上班時間]])</f>
        <v>0</v>
      </c>
      <c r="O1150" s="31" t="str">
        <f>IF(交易處理資料__3[[#This Row],[上班時間]]=0,"否","是")</f>
        <v>是</v>
      </c>
    </row>
    <row r="1151" spans="1:15" hidden="1">
      <c r="A1151" s="10" t="s">
        <v>73</v>
      </c>
      <c r="B1151" t="s">
        <v>6</v>
      </c>
      <c r="C1151">
        <v>0</v>
      </c>
      <c r="D1151">
        <v>0</v>
      </c>
      <c r="E1151" s="27">
        <v>0</v>
      </c>
      <c r="F1151">
        <v>10.84</v>
      </c>
      <c r="G1151">
        <v>0.24</v>
      </c>
      <c r="H1151">
        <v>11.08</v>
      </c>
      <c r="I1151">
        <v>97.83</v>
      </c>
      <c r="J1151">
        <v>0</v>
      </c>
      <c r="K1151" s="9">
        <v>45321</v>
      </c>
      <c r="L1151">
        <f xml:space="preserve"> (交易處理資料__3[[#This Row],[售出工時]] * 60) / 5</f>
        <v>0</v>
      </c>
      <c r="M1151" t="str">
        <f>VLOOKUP(交易處理資料__3[[#This Row],[人員代號]],團隊分組!$B$1:$C$52,2,FALSE)</f>
        <v>噴漆維修組</v>
      </c>
      <c r="N1151">
        <f>IF(交易處理資料__3[[#This Row],[上班時間]]=0,0,交易處理資料__3[[#This Row],[售出工時]]/交易處理資料__3[[#This Row],[上班時間]])</f>
        <v>0</v>
      </c>
      <c r="O1151" s="31" t="str">
        <f>IF(交易處理資料__3[[#This Row],[上班時間]]=0,"否","是")</f>
        <v>是</v>
      </c>
    </row>
    <row r="1152" spans="1:15" hidden="1">
      <c r="A1152" s="10" t="s">
        <v>73</v>
      </c>
      <c r="B1152" t="s">
        <v>8</v>
      </c>
      <c r="C1152">
        <v>0</v>
      </c>
      <c r="D1152">
        <v>0</v>
      </c>
      <c r="E1152" s="27">
        <v>0</v>
      </c>
      <c r="F1152">
        <v>6.62</v>
      </c>
      <c r="G1152">
        <v>1.38</v>
      </c>
      <c r="H1152">
        <v>8</v>
      </c>
      <c r="I1152">
        <v>82.75</v>
      </c>
      <c r="J1152">
        <v>0</v>
      </c>
      <c r="K1152" s="9">
        <v>45321</v>
      </c>
      <c r="L1152">
        <f xml:space="preserve"> (交易處理資料__3[[#This Row],[售出工時]] * 60) / 5</f>
        <v>0</v>
      </c>
      <c r="M1152" t="str">
        <f>VLOOKUP(交易處理資料__3[[#This Row],[人員代號]],團隊分組!$B$1:$C$52,2,FALSE)</f>
        <v>噴漆維修組</v>
      </c>
      <c r="N1152">
        <f>IF(交易處理資料__3[[#This Row],[上班時間]]=0,0,交易處理資料__3[[#This Row],[售出工時]]/交易處理資料__3[[#This Row],[上班時間]])</f>
        <v>0</v>
      </c>
      <c r="O1152" s="31" t="str">
        <f>IF(交易處理資料__3[[#This Row],[上班時間]]=0,"否","是")</f>
        <v>是</v>
      </c>
    </row>
    <row r="1153" spans="1:15" hidden="1">
      <c r="A1153" t="s">
        <v>74</v>
      </c>
      <c r="B1153" t="s">
        <v>11</v>
      </c>
      <c r="C1153">
        <v>9.1666666669999994</v>
      </c>
      <c r="D1153">
        <v>4.0999999999999996</v>
      </c>
      <c r="E1153" s="27">
        <v>223.57723580000001</v>
      </c>
      <c r="F1153">
        <v>6.41</v>
      </c>
      <c r="G1153">
        <v>1.68</v>
      </c>
      <c r="H1153">
        <v>8.09</v>
      </c>
      <c r="I1153">
        <v>79.23</v>
      </c>
      <c r="J1153">
        <v>113.31</v>
      </c>
      <c r="K1153" s="9">
        <v>45321</v>
      </c>
      <c r="L1153">
        <f xml:space="preserve"> (交易處理資料__3[[#This Row],[售出工時]] * 60) / 5</f>
        <v>110.000000004</v>
      </c>
      <c r="M1153" t="str">
        <f>VLOOKUP(交易處理資料__3[[#This Row],[人員代號]],團隊分組!$B$1:$C$52,2,FALSE)</f>
        <v>鈑金維修組</v>
      </c>
      <c r="N1153">
        <f>IF(交易處理資料__3[[#This Row],[上班時間]]=0,0,交易處理資料__3[[#This Row],[售出工時]]/交易處理資料__3[[#This Row],[上班時間]])</f>
        <v>1.1330861145859086</v>
      </c>
      <c r="O1153" s="31" t="str">
        <f>IF(交易處理資料__3[[#This Row],[上班時間]]=0,"否","是")</f>
        <v>是</v>
      </c>
    </row>
    <row r="1154" spans="1:15" hidden="1">
      <c r="A1154" t="s">
        <v>74</v>
      </c>
      <c r="B1154" t="s">
        <v>14</v>
      </c>
      <c r="C1154">
        <v>2.23</v>
      </c>
      <c r="D1154">
        <v>3.24</v>
      </c>
      <c r="E1154" s="27">
        <v>68.827160489999997</v>
      </c>
      <c r="F1154">
        <v>5.63</v>
      </c>
      <c r="G1154">
        <v>2.48</v>
      </c>
      <c r="H1154">
        <v>8.11</v>
      </c>
      <c r="I1154">
        <v>69.42</v>
      </c>
      <c r="J1154">
        <v>27.5</v>
      </c>
      <c r="K1154" s="9">
        <v>45321</v>
      </c>
      <c r="L1154">
        <f xml:space="preserve"> (交易處理資料__3[[#This Row],[售出工時]] * 60) / 5</f>
        <v>26.76</v>
      </c>
      <c r="M1154" t="str">
        <f>VLOOKUP(交易處理資料__3[[#This Row],[人員代號]],團隊分組!$B$1:$C$52,2,FALSE)</f>
        <v>鈑金維修組</v>
      </c>
      <c r="N1154">
        <f>IF(交易處理資料__3[[#This Row],[上班時間]]=0,0,交易處理資料__3[[#This Row],[售出工時]]/交易處理資料__3[[#This Row],[上班時間]])</f>
        <v>0.27496917385943281</v>
      </c>
      <c r="O1154" s="31" t="str">
        <f>IF(交易處理資料__3[[#This Row],[上班時間]]=0,"否","是")</f>
        <v>是</v>
      </c>
    </row>
    <row r="1155" spans="1:15" hidden="1">
      <c r="A1155" t="s">
        <v>74</v>
      </c>
      <c r="B1155" t="s">
        <v>15</v>
      </c>
      <c r="C1155">
        <v>1.3</v>
      </c>
      <c r="D1155">
        <v>2.2400000000000002</v>
      </c>
      <c r="E1155" s="27">
        <v>58.035714290000001</v>
      </c>
      <c r="F1155">
        <v>5.61</v>
      </c>
      <c r="G1155">
        <v>2.5</v>
      </c>
      <c r="H1155">
        <v>8.11</v>
      </c>
      <c r="I1155">
        <v>69.17</v>
      </c>
      <c r="J1155">
        <v>16.03</v>
      </c>
      <c r="K1155" s="9">
        <v>45321</v>
      </c>
      <c r="L1155">
        <f xml:space="preserve"> (交易處理資料__3[[#This Row],[售出工時]] * 60) / 5</f>
        <v>15.6</v>
      </c>
      <c r="M1155" t="str">
        <f>VLOOKUP(交易處理資料__3[[#This Row],[人員代號]],團隊分組!$B$1:$C$52,2,FALSE)</f>
        <v>鈑金維修組</v>
      </c>
      <c r="N1155">
        <f>IF(交易處理資料__3[[#This Row],[上班時間]]=0,0,交易處理資料__3[[#This Row],[售出工時]]/交易處理資料__3[[#This Row],[上班時間]])</f>
        <v>0.16029593094944514</v>
      </c>
      <c r="O1155" s="31" t="str">
        <f>IF(交易處理資料__3[[#This Row],[上班時間]]=0,"否","是")</f>
        <v>是</v>
      </c>
    </row>
    <row r="1156" spans="1:15" hidden="1">
      <c r="A1156" t="s">
        <v>75</v>
      </c>
      <c r="B1156" t="s">
        <v>17</v>
      </c>
      <c r="C1156">
        <v>7.26</v>
      </c>
      <c r="D1156">
        <v>4.91</v>
      </c>
      <c r="E1156" s="27">
        <v>147.86150710000001</v>
      </c>
      <c r="F1156">
        <v>0</v>
      </c>
      <c r="G1156">
        <v>7.63</v>
      </c>
      <c r="H1156">
        <v>7.63</v>
      </c>
      <c r="I1156">
        <v>0</v>
      </c>
      <c r="J1156">
        <v>95.15</v>
      </c>
      <c r="K1156" s="9">
        <v>45321</v>
      </c>
      <c r="L1156">
        <f xml:space="preserve"> (交易處理資料__3[[#This Row],[售出工時]] * 60) / 5</f>
        <v>87.11999999999999</v>
      </c>
      <c r="M1156" t="str">
        <f>VLOOKUP(交易處理資料__3[[#This Row],[人員代號]],團隊分組!$B$1:$C$52,2,FALSE)</f>
        <v>快速保養團隊A</v>
      </c>
      <c r="N1156">
        <f>IF(交易處理資料__3[[#This Row],[上班時間]]=0,0,交易處理資料__3[[#This Row],[售出工時]]/交易處理資料__3[[#This Row],[上班時間]])</f>
        <v>0.95150720838794234</v>
      </c>
      <c r="O1156" s="31" t="str">
        <f>IF(交易處理資料__3[[#This Row],[上班時間]]=0,"否","是")</f>
        <v>是</v>
      </c>
    </row>
    <row r="1157" spans="1:15" hidden="1">
      <c r="A1157" t="s">
        <v>75</v>
      </c>
      <c r="B1157" t="s">
        <v>19</v>
      </c>
      <c r="C1157">
        <v>2.8933333330000002</v>
      </c>
      <c r="D1157">
        <v>7.94</v>
      </c>
      <c r="E1157" s="27">
        <v>36.439966409999997</v>
      </c>
      <c r="F1157">
        <v>10.4</v>
      </c>
      <c r="G1157">
        <v>0.52</v>
      </c>
      <c r="H1157">
        <v>10.92</v>
      </c>
      <c r="I1157">
        <v>95.24</v>
      </c>
      <c r="J1157">
        <v>26.5</v>
      </c>
      <c r="K1157" s="9">
        <v>45321</v>
      </c>
      <c r="L1157">
        <f xml:space="preserve"> (交易處理資料__3[[#This Row],[售出工時]] * 60) / 5</f>
        <v>34.719999995999999</v>
      </c>
      <c r="M1157" t="str">
        <f>VLOOKUP(交易處理資料__3[[#This Row],[人員代號]],團隊分組!$B$1:$C$52,2,FALSE)</f>
        <v>查修團隊A</v>
      </c>
      <c r="N1157">
        <f>IF(交易處理資料__3[[#This Row],[上班時間]]=0,0,交易處理資料__3[[#This Row],[售出工時]]/交易處理資料__3[[#This Row],[上班時間]])</f>
        <v>0.26495726492673993</v>
      </c>
      <c r="O1157" s="31" t="str">
        <f>IF(交易處理資料__3[[#This Row],[上班時間]]=0,"否","是")</f>
        <v>是</v>
      </c>
    </row>
    <row r="1158" spans="1:15" hidden="1">
      <c r="A1158" t="s">
        <v>75</v>
      </c>
      <c r="B1158" t="s">
        <v>20</v>
      </c>
      <c r="C1158">
        <v>0.96</v>
      </c>
      <c r="D1158">
        <v>5.43</v>
      </c>
      <c r="E1158" s="27">
        <v>17.679558010000001</v>
      </c>
      <c r="F1158">
        <v>2.88</v>
      </c>
      <c r="G1158">
        <v>8.58</v>
      </c>
      <c r="H1158">
        <v>11.46</v>
      </c>
      <c r="I1158">
        <v>25.13</v>
      </c>
      <c r="J1158">
        <v>8.3800000000000008</v>
      </c>
      <c r="K1158" s="9">
        <v>45321</v>
      </c>
      <c r="L1158">
        <f xml:space="preserve"> (交易處理資料__3[[#This Row],[售出工時]] * 60) / 5</f>
        <v>11.52</v>
      </c>
      <c r="M1158" t="str">
        <f>VLOOKUP(交易處理資料__3[[#This Row],[人員代號]],團隊分組!$B$1:$C$52,2,FALSE)</f>
        <v>查修團隊B</v>
      </c>
      <c r="N1158">
        <f>IF(交易處理資料__3[[#This Row],[上班時間]]=0,0,交易處理資料__3[[#This Row],[售出工時]]/交易處理資料__3[[#This Row],[上班時間]])</f>
        <v>8.3769633507853394E-2</v>
      </c>
      <c r="O1158" s="31" t="str">
        <f>IF(交易處理資料__3[[#This Row],[上班時間]]=0,"否","是")</f>
        <v>是</v>
      </c>
    </row>
    <row r="1159" spans="1:15" hidden="1">
      <c r="A1159" t="s">
        <v>75</v>
      </c>
      <c r="B1159" t="s">
        <v>21</v>
      </c>
      <c r="C1159">
        <v>0.5</v>
      </c>
      <c r="D1159">
        <v>0.83</v>
      </c>
      <c r="E1159" s="27">
        <v>60.240963860000001</v>
      </c>
      <c r="F1159">
        <v>8.41</v>
      </c>
      <c r="G1159">
        <v>0.65</v>
      </c>
      <c r="H1159">
        <v>9.06</v>
      </c>
      <c r="I1159">
        <v>92.83</v>
      </c>
      <c r="J1159">
        <v>5.52</v>
      </c>
      <c r="K1159" s="9">
        <v>45321</v>
      </c>
      <c r="L1159">
        <f xml:space="preserve"> (交易處理資料__3[[#This Row],[售出工時]] * 60) / 5</f>
        <v>6</v>
      </c>
      <c r="M1159" t="str">
        <f>VLOOKUP(交易處理資料__3[[#This Row],[人員代號]],團隊分組!$B$1:$C$52,2,FALSE)</f>
        <v>查修團隊B</v>
      </c>
      <c r="N1159">
        <f>IF(交易處理資料__3[[#This Row],[上班時間]]=0,0,交易處理資料__3[[#This Row],[售出工時]]/交易處理資料__3[[#This Row],[上班時間]])</f>
        <v>5.518763796909492E-2</v>
      </c>
      <c r="O1159" s="31" t="str">
        <f>IF(交易處理資料__3[[#This Row],[上班時間]]=0,"否","是")</f>
        <v>是</v>
      </c>
    </row>
    <row r="1160" spans="1:15" hidden="1">
      <c r="A1160" t="s">
        <v>75</v>
      </c>
      <c r="B1160" t="s">
        <v>22</v>
      </c>
      <c r="C1160">
        <v>0</v>
      </c>
      <c r="D1160">
        <v>0</v>
      </c>
      <c r="E1160" s="27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 s="9">
        <v>45321</v>
      </c>
      <c r="L1160">
        <f xml:space="preserve"> (交易處理資料__3[[#This Row],[售出工時]] * 60) / 5</f>
        <v>0</v>
      </c>
      <c r="M1160" t="str">
        <f>VLOOKUP(交易處理資料__3[[#This Row],[人員代號]],團隊分組!$B$1:$C$52,2,FALSE)</f>
        <v>快速保養團隊A</v>
      </c>
      <c r="N1160">
        <f>IF(交易處理資料__3[[#This Row],[上班時間]]=0,0,交易處理資料__3[[#This Row],[售出工時]]/交易處理資料__3[[#This Row],[上班時間]])</f>
        <v>0</v>
      </c>
      <c r="O1160" s="31" t="str">
        <f>IF(交易處理資料__3[[#This Row],[上班時間]]=0,"否","是")</f>
        <v>否</v>
      </c>
    </row>
    <row r="1161" spans="1:15" hidden="1">
      <c r="A1161" t="s">
        <v>75</v>
      </c>
      <c r="B1161" t="s">
        <v>23</v>
      </c>
      <c r="C1161">
        <v>1.9866666669999999</v>
      </c>
      <c r="D1161">
        <v>3.49</v>
      </c>
      <c r="E1161" s="27">
        <v>56.924546319999997</v>
      </c>
      <c r="F1161">
        <v>8.32</v>
      </c>
      <c r="G1161">
        <v>2</v>
      </c>
      <c r="H1161">
        <v>10.32</v>
      </c>
      <c r="I1161">
        <v>80.62</v>
      </c>
      <c r="J1161">
        <v>19.25</v>
      </c>
      <c r="K1161" s="9">
        <v>45321</v>
      </c>
      <c r="L1161">
        <f xml:space="preserve"> (交易處理資料__3[[#This Row],[售出工時]] * 60) / 5</f>
        <v>23.840000003999997</v>
      </c>
      <c r="M1161" t="str">
        <f>VLOOKUP(交易處理資料__3[[#This Row],[人員代號]],團隊分組!$B$1:$C$52,2,FALSE)</f>
        <v>快速保養團隊B</v>
      </c>
      <c r="N1161">
        <f>IF(交易處理資料__3[[#This Row],[上班時間]]=0,0,交易處理資料__3[[#This Row],[售出工時]]/交易處理資料__3[[#This Row],[上班時間]])</f>
        <v>0.19250645998062013</v>
      </c>
      <c r="O1161" s="31" t="str">
        <f>IF(交易處理資料__3[[#This Row],[上班時間]]=0,"否","是")</f>
        <v>是</v>
      </c>
    </row>
    <row r="1162" spans="1:15" hidden="1">
      <c r="A1162" t="s">
        <v>75</v>
      </c>
      <c r="B1162" t="s">
        <v>24</v>
      </c>
      <c r="C1162">
        <v>9.91</v>
      </c>
      <c r="D1162">
        <v>6.04</v>
      </c>
      <c r="E1162" s="27">
        <v>164.07284770000001</v>
      </c>
      <c r="F1162">
        <v>10.16</v>
      </c>
      <c r="G1162">
        <v>1.02</v>
      </c>
      <c r="H1162">
        <v>11.18</v>
      </c>
      <c r="I1162">
        <v>90.88</v>
      </c>
      <c r="J1162">
        <v>88.64</v>
      </c>
      <c r="K1162" s="9">
        <v>45321</v>
      </c>
      <c r="L1162">
        <f xml:space="preserve"> (交易處理資料__3[[#This Row],[售出工時]] * 60) / 5</f>
        <v>118.92</v>
      </c>
      <c r="M1162" t="str">
        <f>VLOOKUP(交易處理資料__3[[#This Row],[人員代號]],團隊分組!$B$1:$C$52,2,FALSE)</f>
        <v>快速保養團隊A</v>
      </c>
      <c r="N1162">
        <f>IF(交易處理資料__3[[#This Row],[上班時間]]=0,0,交易處理資料__3[[#This Row],[售出工時]]/交易處理資料__3[[#This Row],[上班時間]])</f>
        <v>0.88640429338103766</v>
      </c>
      <c r="O1162" s="31" t="str">
        <f>IF(交易處理資料__3[[#This Row],[上班時間]]=0,"否","是")</f>
        <v>是</v>
      </c>
    </row>
    <row r="1163" spans="1:15" hidden="1">
      <c r="A1163" t="s">
        <v>75</v>
      </c>
      <c r="B1163" t="s">
        <v>25</v>
      </c>
      <c r="C1163">
        <v>6</v>
      </c>
      <c r="D1163">
        <v>8.91</v>
      </c>
      <c r="E1163" s="27">
        <v>67.340067340000004</v>
      </c>
      <c r="F1163">
        <v>9.56</v>
      </c>
      <c r="G1163">
        <v>0.32</v>
      </c>
      <c r="H1163">
        <v>9.8800000000000008</v>
      </c>
      <c r="I1163">
        <v>96.76</v>
      </c>
      <c r="J1163">
        <v>60.73</v>
      </c>
      <c r="K1163" s="9">
        <v>45321</v>
      </c>
      <c r="L1163">
        <f xml:space="preserve"> (交易處理資料__3[[#This Row],[售出工時]] * 60) / 5</f>
        <v>72</v>
      </c>
      <c r="M1163" t="str">
        <f>VLOOKUP(交易處理資料__3[[#This Row],[人員代號]],團隊分組!$B$1:$C$52,2,FALSE)</f>
        <v>查修團隊A</v>
      </c>
      <c r="N1163">
        <f>IF(交易處理資料__3[[#This Row],[上班時間]]=0,0,交易處理資料__3[[#This Row],[售出工時]]/交易處理資料__3[[#This Row],[上班時間]])</f>
        <v>0.60728744939271251</v>
      </c>
      <c r="O1163" s="31" t="str">
        <f>IF(交易處理資料__3[[#This Row],[上班時間]]=0,"否","是")</f>
        <v>是</v>
      </c>
    </row>
    <row r="1164" spans="1:15" hidden="1">
      <c r="A1164" t="s">
        <v>75</v>
      </c>
      <c r="B1164" t="s">
        <v>27</v>
      </c>
      <c r="C1164">
        <v>4.8866666670000001</v>
      </c>
      <c r="D1164">
        <v>4.0999999999999996</v>
      </c>
      <c r="E1164" s="27">
        <v>119.1869919</v>
      </c>
      <c r="F1164">
        <v>9.48</v>
      </c>
      <c r="G1164">
        <v>0.57999999999999996</v>
      </c>
      <c r="H1164">
        <v>10.06</v>
      </c>
      <c r="I1164">
        <v>94.23</v>
      </c>
      <c r="J1164">
        <v>48.58</v>
      </c>
      <c r="K1164" s="9">
        <v>45321</v>
      </c>
      <c r="L1164">
        <f xml:space="preserve"> (交易處理資料__3[[#This Row],[售出工時]] * 60) / 5</f>
        <v>58.640000004000001</v>
      </c>
      <c r="M1164" t="str">
        <f>VLOOKUP(交易處理資料__3[[#This Row],[人員代號]],團隊分組!$B$1:$C$52,2,FALSE)</f>
        <v>快速保養團隊B</v>
      </c>
      <c r="N1164">
        <f>IF(交易處理資料__3[[#This Row],[上班時間]]=0,0,交易處理資料__3[[#This Row],[售出工時]]/交易處理資料__3[[#This Row],[上班時間]])</f>
        <v>0.48575215377733599</v>
      </c>
      <c r="O1164" s="31" t="str">
        <f>IF(交易處理資料__3[[#This Row],[上班時間]]=0,"否","是")</f>
        <v>是</v>
      </c>
    </row>
    <row r="1165" spans="1:15" hidden="1">
      <c r="A1165" t="s">
        <v>75</v>
      </c>
      <c r="B1165" t="s">
        <v>28</v>
      </c>
      <c r="C1165">
        <v>14.02333333</v>
      </c>
      <c r="D1165">
        <v>8.34</v>
      </c>
      <c r="E1165" s="27">
        <v>168.14548360000001</v>
      </c>
      <c r="F1165">
        <v>9.64</v>
      </c>
      <c r="G1165">
        <v>0.91</v>
      </c>
      <c r="H1165">
        <v>10.55</v>
      </c>
      <c r="I1165">
        <v>91.37</v>
      </c>
      <c r="J1165">
        <v>132.91999999999999</v>
      </c>
      <c r="K1165" s="9">
        <v>45321</v>
      </c>
      <c r="L1165">
        <f xml:space="preserve"> (交易處理資料__3[[#This Row],[售出工時]] * 60) / 5</f>
        <v>168.27999996</v>
      </c>
      <c r="M1165" t="str">
        <f>VLOOKUP(交易處理資料__3[[#This Row],[人員代號]],團隊分組!$B$1:$C$52,2,FALSE)</f>
        <v>快速保養團隊A</v>
      </c>
      <c r="N1165">
        <f>IF(交易處理資料__3[[#This Row],[上班時間]]=0,0,交易處理資料__3[[#This Row],[售出工時]]/交易處理資料__3[[#This Row],[上班時間]])</f>
        <v>1.329225908056872</v>
      </c>
      <c r="O1165" s="31" t="str">
        <f>IF(交易處理資料__3[[#This Row],[上班時間]]=0,"否","是")</f>
        <v>是</v>
      </c>
    </row>
    <row r="1166" spans="1:15" hidden="1">
      <c r="A1166" t="s">
        <v>75</v>
      </c>
      <c r="B1166" t="s">
        <v>30</v>
      </c>
      <c r="C1166">
        <v>6.66</v>
      </c>
      <c r="D1166">
        <v>4.7300000000000004</v>
      </c>
      <c r="E1166" s="27">
        <v>140.80338269999999</v>
      </c>
      <c r="F1166">
        <v>9.82</v>
      </c>
      <c r="G1166">
        <v>0.28999999999999998</v>
      </c>
      <c r="H1166">
        <v>10.11</v>
      </c>
      <c r="I1166">
        <v>97.13</v>
      </c>
      <c r="J1166">
        <v>65.88</v>
      </c>
      <c r="K1166" s="9">
        <v>45321</v>
      </c>
      <c r="L1166">
        <f xml:space="preserve"> (交易處理資料__3[[#This Row],[售出工時]] * 60) / 5</f>
        <v>79.92</v>
      </c>
      <c r="M1166" t="str">
        <f>VLOOKUP(交易處理資料__3[[#This Row],[人員代號]],團隊分組!$B$1:$C$52,2,FALSE)</f>
        <v>快速保養團隊B</v>
      </c>
      <c r="N1166">
        <f>IF(交易處理資料__3[[#This Row],[上班時間]]=0,0,交易處理資料__3[[#This Row],[售出工時]]/交易處理資料__3[[#This Row],[上班時間]])</f>
        <v>0.65875370919881315</v>
      </c>
      <c r="O1166" s="31" t="str">
        <f>IF(交易處理資料__3[[#This Row],[上班時間]]=0,"否","是")</f>
        <v>是</v>
      </c>
    </row>
    <row r="1167" spans="1:15">
      <c r="A1167" t="s">
        <v>75</v>
      </c>
      <c r="B1167" t="s">
        <v>33</v>
      </c>
      <c r="C1167">
        <v>0</v>
      </c>
      <c r="D1167">
        <v>0</v>
      </c>
      <c r="E1167" s="2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 s="9">
        <v>45321</v>
      </c>
      <c r="L1167">
        <f xml:space="preserve"> (交易處理資料__3[[#This Row],[售出工時]] * 60) / 5</f>
        <v>0</v>
      </c>
      <c r="M1167" t="str">
        <f>VLOOKUP(交易處理資料__3[[#This Row],[人員代號]],團隊分組!$B$1:$C$52,2,FALSE)</f>
        <v>快速保養團隊B</v>
      </c>
      <c r="N1167">
        <f>IF(交易處理資料__3[[#This Row],[上班時間]]=0,0,交易處理資料__3[[#This Row],[售出工時]]/交易處理資料__3[[#This Row],[上班時間]])</f>
        <v>0</v>
      </c>
      <c r="O1167" s="31" t="str">
        <f>IF(交易處理資料__3[[#This Row],[上班時間]]=0,"否","是")</f>
        <v>否</v>
      </c>
    </row>
    <row r="1168" spans="1:15" hidden="1">
      <c r="A1168" t="s">
        <v>75</v>
      </c>
      <c r="B1168" t="s">
        <v>34</v>
      </c>
      <c r="C1168">
        <v>11.41666667</v>
      </c>
      <c r="D1168">
        <v>7.48</v>
      </c>
      <c r="E1168" s="27">
        <v>152.6292335</v>
      </c>
      <c r="F1168">
        <v>10.58</v>
      </c>
      <c r="G1168">
        <v>0.69</v>
      </c>
      <c r="H1168">
        <v>11.27</v>
      </c>
      <c r="I1168">
        <v>93.88</v>
      </c>
      <c r="J1168">
        <v>101.3</v>
      </c>
      <c r="K1168" s="9">
        <v>45321</v>
      </c>
      <c r="L1168">
        <f xml:space="preserve"> (交易處理資料__3[[#This Row],[售出工時]] * 60) / 5</f>
        <v>137.00000003999997</v>
      </c>
      <c r="M1168" t="str">
        <f>VLOOKUP(交易處理資料__3[[#This Row],[人員代號]],團隊分組!$B$1:$C$52,2,FALSE)</f>
        <v>快速保養團隊A</v>
      </c>
      <c r="N1168">
        <f>IF(交易處理資料__3[[#This Row],[上班時間]]=0,0,交易處理資料__3[[#This Row],[售出工時]]/交易處理資料__3[[#This Row],[上班時間]])</f>
        <v>1.0130139015084294</v>
      </c>
      <c r="O1168" s="31" t="str">
        <f>IF(交易處理資料__3[[#This Row],[上班時間]]=0,"否","是")</f>
        <v>是</v>
      </c>
    </row>
    <row r="1169" spans="1:15" hidden="1">
      <c r="A1169" t="s">
        <v>75</v>
      </c>
      <c r="B1169" t="s">
        <v>35</v>
      </c>
      <c r="C1169">
        <v>2</v>
      </c>
      <c r="D1169">
        <v>4.8899999999999997</v>
      </c>
      <c r="E1169" s="27">
        <v>40.899795500000003</v>
      </c>
      <c r="F1169">
        <v>9.7200000000000006</v>
      </c>
      <c r="G1169">
        <v>1.73</v>
      </c>
      <c r="H1169">
        <v>11.45</v>
      </c>
      <c r="I1169">
        <v>84.89</v>
      </c>
      <c r="J1169">
        <v>17.47</v>
      </c>
      <c r="K1169" s="9">
        <v>45321</v>
      </c>
      <c r="L1169">
        <f xml:space="preserve"> (交易處理資料__3[[#This Row],[售出工時]] * 60) / 5</f>
        <v>24</v>
      </c>
      <c r="M1169" t="str">
        <f>VLOOKUP(交易處理資料__3[[#This Row],[人員代號]],團隊分組!$B$1:$C$52,2,FALSE)</f>
        <v>查修團隊B</v>
      </c>
      <c r="N1169">
        <f>IF(交易處理資料__3[[#This Row],[上班時間]]=0,0,交易處理資料__3[[#This Row],[售出工時]]/交易處理資料__3[[#This Row],[上班時間]])</f>
        <v>0.17467248908296945</v>
      </c>
      <c r="O1169" s="31" t="str">
        <f>IF(交易處理資料__3[[#This Row],[上班時間]]=0,"否","是")</f>
        <v>是</v>
      </c>
    </row>
    <row r="1170" spans="1:15" hidden="1">
      <c r="A1170" t="s">
        <v>75</v>
      </c>
      <c r="B1170" t="s">
        <v>36</v>
      </c>
      <c r="C1170">
        <v>0</v>
      </c>
      <c r="D1170">
        <v>0</v>
      </c>
      <c r="E1170" s="27">
        <v>0</v>
      </c>
      <c r="F1170">
        <v>7.52</v>
      </c>
      <c r="G1170">
        <v>0.86</v>
      </c>
      <c r="H1170">
        <v>8.3800000000000008</v>
      </c>
      <c r="I1170">
        <v>89.74</v>
      </c>
      <c r="J1170">
        <v>0</v>
      </c>
      <c r="K1170" s="9">
        <v>45321</v>
      </c>
      <c r="L1170">
        <f xml:space="preserve"> (交易處理資料__3[[#This Row],[售出工時]] * 60) / 5</f>
        <v>0</v>
      </c>
      <c r="M1170" t="str">
        <f>VLOOKUP(交易處理資料__3[[#This Row],[人員代號]],團隊分組!$B$1:$C$52,2,FALSE)</f>
        <v>查修團隊B</v>
      </c>
      <c r="N1170">
        <f>IF(交易處理資料__3[[#This Row],[上班時間]]=0,0,交易處理資料__3[[#This Row],[售出工時]]/交易處理資料__3[[#This Row],[上班時間]])</f>
        <v>0</v>
      </c>
      <c r="O1170" s="31" t="str">
        <f>IF(交易處理資料__3[[#This Row],[上班時間]]=0,"否","是")</f>
        <v>是</v>
      </c>
    </row>
    <row r="1171" spans="1:15" hidden="1">
      <c r="A1171" t="s">
        <v>75</v>
      </c>
      <c r="B1171" t="s">
        <v>37</v>
      </c>
      <c r="C1171">
        <v>5.5</v>
      </c>
      <c r="D1171">
        <v>6.91</v>
      </c>
      <c r="E1171" s="27">
        <v>79.594790160000002</v>
      </c>
      <c r="F1171">
        <v>9.17</v>
      </c>
      <c r="G1171">
        <v>1.72</v>
      </c>
      <c r="H1171">
        <v>10.89</v>
      </c>
      <c r="I1171">
        <v>84.21</v>
      </c>
      <c r="J1171">
        <v>50.51</v>
      </c>
      <c r="K1171" s="9">
        <v>45321</v>
      </c>
      <c r="L1171">
        <f xml:space="preserve"> (交易處理資料__3[[#This Row],[售出工時]] * 60) / 5</f>
        <v>66</v>
      </c>
      <c r="M1171" t="str">
        <f>VLOOKUP(交易處理資料__3[[#This Row],[人員代號]],團隊分組!$B$1:$C$52,2,FALSE)</f>
        <v>查修團隊A</v>
      </c>
      <c r="N1171">
        <f>IF(交易處理資料__3[[#This Row],[上班時間]]=0,0,交易處理資料__3[[#This Row],[售出工時]]/交易處理資料__3[[#This Row],[上班時間]])</f>
        <v>0.50505050505050497</v>
      </c>
      <c r="O1171" s="31" t="str">
        <f>IF(交易處理資料__3[[#This Row],[上班時間]]=0,"否","是")</f>
        <v>是</v>
      </c>
    </row>
    <row r="1172" spans="1:15" hidden="1">
      <c r="A1172" t="s">
        <v>75</v>
      </c>
      <c r="B1172" t="s">
        <v>41</v>
      </c>
      <c r="C1172">
        <v>20</v>
      </c>
      <c r="D1172">
        <v>9.7200000000000006</v>
      </c>
      <c r="E1172" s="27">
        <v>205.7613169</v>
      </c>
      <c r="F1172">
        <v>9.33</v>
      </c>
      <c r="G1172">
        <v>0.95</v>
      </c>
      <c r="H1172">
        <v>10.28</v>
      </c>
      <c r="I1172">
        <v>90.76</v>
      </c>
      <c r="J1172">
        <v>194.55</v>
      </c>
      <c r="K1172" s="9">
        <v>45321</v>
      </c>
      <c r="L1172">
        <f xml:space="preserve"> (交易處理資料__3[[#This Row],[售出工時]] * 60) / 5</f>
        <v>240</v>
      </c>
      <c r="M1172" t="str">
        <f>VLOOKUP(交易處理資料__3[[#This Row],[人員代號]],團隊分組!$B$1:$C$52,2,FALSE)</f>
        <v>快速保養團隊A</v>
      </c>
      <c r="N1172">
        <f>IF(交易處理資料__3[[#This Row],[上班時間]]=0,0,交易處理資料__3[[#This Row],[售出工時]]/交易處理資料__3[[#This Row],[上班時間]])</f>
        <v>1.945525291828794</v>
      </c>
      <c r="O1172" s="31" t="str">
        <f>IF(交易處理資料__3[[#This Row],[上班時間]]=0,"否","是")</f>
        <v>是</v>
      </c>
    </row>
    <row r="1173" spans="1:15" hidden="1">
      <c r="A1173" t="s">
        <v>75</v>
      </c>
      <c r="B1173" t="s">
        <v>42</v>
      </c>
      <c r="C1173">
        <v>9.1666666669999994</v>
      </c>
      <c r="D1173">
        <v>6.39</v>
      </c>
      <c r="E1173" s="27">
        <v>143.45331250000001</v>
      </c>
      <c r="F1173">
        <v>8.7899999999999991</v>
      </c>
      <c r="G1173">
        <v>0.03</v>
      </c>
      <c r="H1173">
        <v>8.82</v>
      </c>
      <c r="I1173">
        <v>99.66</v>
      </c>
      <c r="J1173">
        <v>103.93</v>
      </c>
      <c r="K1173" s="9">
        <v>45321</v>
      </c>
      <c r="L1173">
        <f xml:space="preserve"> (交易處理資料__3[[#This Row],[售出工時]] * 60) / 5</f>
        <v>110.000000004</v>
      </c>
      <c r="M1173" t="str">
        <f>VLOOKUP(交易處理資料__3[[#This Row],[人員代號]],團隊分組!$B$1:$C$52,2,FALSE)</f>
        <v>快速保養團隊A</v>
      </c>
      <c r="N1173">
        <f>IF(交易處理資料__3[[#This Row],[上班時間]]=0,0,交易處理資料__3[[#This Row],[售出工時]]/交易處理資料__3[[#This Row],[上班時間]])</f>
        <v>1.0393046107709749</v>
      </c>
      <c r="O1173" s="31" t="str">
        <f>IF(交易處理資料__3[[#This Row],[上班時間]]=0,"否","是")</f>
        <v>是</v>
      </c>
    </row>
    <row r="1174" spans="1:15" hidden="1">
      <c r="A1174" t="s">
        <v>75</v>
      </c>
      <c r="B1174" t="s">
        <v>43</v>
      </c>
      <c r="C1174">
        <v>0</v>
      </c>
      <c r="D1174">
        <v>0</v>
      </c>
      <c r="E1174" s="27">
        <v>0</v>
      </c>
      <c r="F1174">
        <v>8.01</v>
      </c>
      <c r="G1174">
        <v>0.3</v>
      </c>
      <c r="H1174">
        <v>8.31</v>
      </c>
      <c r="I1174">
        <v>96.39</v>
      </c>
      <c r="J1174">
        <v>0</v>
      </c>
      <c r="K1174" s="9">
        <v>45321</v>
      </c>
      <c r="L1174">
        <f xml:space="preserve"> (交易處理資料__3[[#This Row],[售出工時]] * 60) / 5</f>
        <v>0</v>
      </c>
      <c r="M1174" t="str">
        <f>VLOOKUP(交易處理資料__3[[#This Row],[人員代號]],團隊分組!$B$1:$C$52,2,FALSE)</f>
        <v>查修團隊B</v>
      </c>
      <c r="N1174">
        <f>IF(交易處理資料__3[[#This Row],[上班時間]]=0,0,交易處理資料__3[[#This Row],[售出工時]]/交易處理資料__3[[#This Row],[上班時間]])</f>
        <v>0</v>
      </c>
      <c r="O1174" s="31" t="str">
        <f>IF(交易處理資料__3[[#This Row],[上班時間]]=0,"否","是")</f>
        <v>是</v>
      </c>
    </row>
    <row r="1175" spans="1:15" hidden="1">
      <c r="A1175" t="s">
        <v>75</v>
      </c>
      <c r="B1175" t="s">
        <v>44</v>
      </c>
      <c r="C1175">
        <v>0.33</v>
      </c>
      <c r="D1175">
        <v>0.4</v>
      </c>
      <c r="E1175" s="27">
        <v>82.5</v>
      </c>
      <c r="F1175">
        <v>7.26</v>
      </c>
      <c r="G1175">
        <v>0.88</v>
      </c>
      <c r="H1175">
        <v>8.14</v>
      </c>
      <c r="I1175">
        <v>89.19</v>
      </c>
      <c r="J1175">
        <v>4.05</v>
      </c>
      <c r="K1175" s="9">
        <v>45321</v>
      </c>
      <c r="L1175">
        <f xml:space="preserve"> (交易處理資料__3[[#This Row],[售出工時]] * 60) / 5</f>
        <v>3.96</v>
      </c>
      <c r="M1175" t="str">
        <f>VLOOKUP(交易處理資料__3[[#This Row],[人員代號]],團隊分組!$B$1:$C$52,2,FALSE)</f>
        <v>快速保養團隊B</v>
      </c>
      <c r="N1175">
        <f>IF(交易處理資料__3[[#This Row],[上班時間]]=0,0,交易處理資料__3[[#This Row],[售出工時]]/交易處理資料__3[[#This Row],[上班時間]])</f>
        <v>4.0540540540540543E-2</v>
      </c>
      <c r="O1175" s="31" t="str">
        <f>IF(交易處理資料__3[[#This Row],[上班時間]]=0,"否","是")</f>
        <v>是</v>
      </c>
    </row>
    <row r="1176" spans="1:15" hidden="1">
      <c r="A1176" t="s">
        <v>75</v>
      </c>
      <c r="B1176" t="s">
        <v>45</v>
      </c>
      <c r="C1176">
        <v>14.33333333</v>
      </c>
      <c r="D1176">
        <v>9.5500000000000007</v>
      </c>
      <c r="E1176" s="27">
        <v>150.08725999999999</v>
      </c>
      <c r="F1176">
        <v>10.91</v>
      </c>
      <c r="G1176">
        <v>0.34</v>
      </c>
      <c r="H1176">
        <v>11.25</v>
      </c>
      <c r="I1176">
        <v>96.98</v>
      </c>
      <c r="J1176">
        <v>127.41</v>
      </c>
      <c r="K1176" s="9">
        <v>45321</v>
      </c>
      <c r="L1176">
        <f xml:space="preserve"> (交易處理資料__3[[#This Row],[售出工時]] * 60) / 5</f>
        <v>171.99999996000003</v>
      </c>
      <c r="M1176" t="str">
        <f>VLOOKUP(交易處理資料__3[[#This Row],[人員代號]],團隊分組!$B$1:$C$52,2,FALSE)</f>
        <v>快速保養團隊A</v>
      </c>
      <c r="N1176">
        <f>IF(交易處理資料__3[[#This Row],[上班時間]]=0,0,交易處理資料__3[[#This Row],[售出工時]]/交易處理資料__3[[#This Row],[上班時間]])</f>
        <v>1.2740740737777778</v>
      </c>
      <c r="O1176" s="31" t="str">
        <f>IF(交易處理資料__3[[#This Row],[上班時間]]=0,"否","是")</f>
        <v>是</v>
      </c>
    </row>
    <row r="1177" spans="1:15" hidden="1">
      <c r="A1177" t="s">
        <v>75</v>
      </c>
      <c r="B1177" t="s">
        <v>47</v>
      </c>
      <c r="C1177">
        <v>0</v>
      </c>
      <c r="D1177">
        <v>0</v>
      </c>
      <c r="E1177" s="27">
        <v>0</v>
      </c>
      <c r="F1177">
        <v>4.5</v>
      </c>
      <c r="G1177">
        <v>4.07</v>
      </c>
      <c r="H1177">
        <v>8.57</v>
      </c>
      <c r="I1177">
        <v>52.51</v>
      </c>
      <c r="J1177">
        <v>0</v>
      </c>
      <c r="K1177" s="9">
        <v>45321</v>
      </c>
      <c r="L1177">
        <f xml:space="preserve"> (交易處理資料__3[[#This Row],[售出工時]] * 60) / 5</f>
        <v>0</v>
      </c>
      <c r="M1177" t="str">
        <f>VLOOKUP(交易處理資料__3[[#This Row],[人員代號]],團隊分組!$B$1:$C$52,2,FALSE)</f>
        <v>查修團隊B</v>
      </c>
      <c r="N1177">
        <f>IF(交易處理資料__3[[#This Row],[上班時間]]=0,0,交易處理資料__3[[#This Row],[售出工時]]/交易處理資料__3[[#This Row],[上班時間]])</f>
        <v>0</v>
      </c>
      <c r="O1177" s="31" t="str">
        <f>IF(交易處理資料__3[[#This Row],[上班時間]]=0,"否","是")</f>
        <v>是</v>
      </c>
    </row>
    <row r="1178" spans="1:15" hidden="1">
      <c r="A1178" t="s">
        <v>75</v>
      </c>
      <c r="B1178" t="s">
        <v>48</v>
      </c>
      <c r="C1178">
        <v>1.75</v>
      </c>
      <c r="D1178">
        <v>1.83</v>
      </c>
      <c r="E1178" s="27">
        <v>95.6284153</v>
      </c>
      <c r="F1178">
        <v>6.43</v>
      </c>
      <c r="G1178">
        <v>1.71</v>
      </c>
      <c r="H1178">
        <v>8.14</v>
      </c>
      <c r="I1178">
        <v>78.989999999999995</v>
      </c>
      <c r="J1178">
        <v>21.5</v>
      </c>
      <c r="K1178" s="9">
        <v>45321</v>
      </c>
      <c r="L1178">
        <f xml:space="preserve"> (交易處理資料__3[[#This Row],[售出工時]] * 60) / 5</f>
        <v>21</v>
      </c>
      <c r="M1178" t="str">
        <f>VLOOKUP(交易處理資料__3[[#This Row],[人員代號]],團隊分組!$B$1:$C$52,2,FALSE)</f>
        <v>查修團隊A</v>
      </c>
      <c r="N1178">
        <f>IF(交易處理資料__3[[#This Row],[上班時間]]=0,0,交易處理資料__3[[#This Row],[售出工時]]/交易處理資料__3[[#This Row],[上班時間]])</f>
        <v>0.21498771498771496</v>
      </c>
      <c r="O1178" s="31" t="str">
        <f>IF(交易處理資料__3[[#This Row],[上班時間]]=0,"否","是")</f>
        <v>是</v>
      </c>
    </row>
    <row r="1179" spans="1:15" hidden="1">
      <c r="A1179" t="s">
        <v>75</v>
      </c>
      <c r="B1179" t="s">
        <v>49</v>
      </c>
      <c r="C1179">
        <v>1.1100000000000001</v>
      </c>
      <c r="D1179">
        <v>3.27</v>
      </c>
      <c r="E1179" s="27">
        <v>33.944954129999999</v>
      </c>
      <c r="F1179">
        <v>8.0500000000000007</v>
      </c>
      <c r="G1179">
        <v>0.56999999999999995</v>
      </c>
      <c r="H1179">
        <v>8.6199999999999992</v>
      </c>
      <c r="I1179">
        <v>93.39</v>
      </c>
      <c r="J1179">
        <v>12.88</v>
      </c>
      <c r="K1179" s="9">
        <v>45321</v>
      </c>
      <c r="L1179">
        <f xml:space="preserve"> (交易處理資料__3[[#This Row],[售出工時]] * 60) / 5</f>
        <v>13.320000000000002</v>
      </c>
      <c r="M1179" t="str">
        <f>VLOOKUP(交易處理資料__3[[#This Row],[人員代號]],團隊分組!$B$1:$C$52,2,FALSE)</f>
        <v>查修團隊A</v>
      </c>
      <c r="N1179">
        <f>IF(交易處理資料__3[[#This Row],[上班時間]]=0,0,交易處理資料__3[[#This Row],[售出工時]]/交易處理資料__3[[#This Row],[上班時間]])</f>
        <v>0.12877030162412995</v>
      </c>
      <c r="O1179" s="31" t="str">
        <f>IF(交易處理資料__3[[#This Row],[上班時間]]=0,"否","是")</f>
        <v>是</v>
      </c>
    </row>
    <row r="1180" spans="1:15" hidden="1">
      <c r="A1180" t="s">
        <v>75</v>
      </c>
      <c r="B1180" t="s">
        <v>50</v>
      </c>
      <c r="C1180">
        <v>6.1633333329999997</v>
      </c>
      <c r="D1180">
        <v>4.12</v>
      </c>
      <c r="E1180" s="27">
        <v>149.59546929999999</v>
      </c>
      <c r="F1180">
        <v>7.8</v>
      </c>
      <c r="G1180">
        <v>0.26</v>
      </c>
      <c r="H1180">
        <v>8.06</v>
      </c>
      <c r="I1180">
        <v>96.77</v>
      </c>
      <c r="J1180">
        <v>76.47</v>
      </c>
      <c r="K1180" s="9">
        <v>45321</v>
      </c>
      <c r="L1180">
        <f xml:space="preserve"> (交易處理資料__3[[#This Row],[售出工時]] * 60) / 5</f>
        <v>73.959999995999993</v>
      </c>
      <c r="M1180" t="str">
        <f>VLOOKUP(交易處理資料__3[[#This Row],[人員代號]],團隊分組!$B$1:$C$52,2,FALSE)</f>
        <v>快速保養團隊B</v>
      </c>
      <c r="N1180">
        <f>IF(交易處理資料__3[[#This Row],[上班時間]]=0,0,交易處理資料__3[[#This Row],[售出工時]]/交易處理資料__3[[#This Row],[上班時間]])</f>
        <v>0.76468155496277912</v>
      </c>
      <c r="O1180" s="31" t="str">
        <f>IF(交易處理資料__3[[#This Row],[上班時間]]=0,"否","是")</f>
        <v>是</v>
      </c>
    </row>
    <row r="1181" spans="1:15" hidden="1">
      <c r="A1181" t="s">
        <v>75</v>
      </c>
      <c r="B1181" t="s">
        <v>51</v>
      </c>
      <c r="C1181">
        <v>0</v>
      </c>
      <c r="D1181">
        <v>0</v>
      </c>
      <c r="E1181" s="27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 s="9">
        <v>45321</v>
      </c>
      <c r="L1181">
        <f xml:space="preserve"> (交易處理資料__3[[#This Row],[售出工時]] * 60) / 5</f>
        <v>0</v>
      </c>
      <c r="M1181" t="str">
        <f>VLOOKUP(交易處理資料__3[[#This Row],[人員代號]],團隊分組!$B$1:$C$52,2,FALSE)</f>
        <v>無效數據</v>
      </c>
      <c r="N1181">
        <f>IF(交易處理資料__3[[#This Row],[上班時間]]=0,0,交易處理資料__3[[#This Row],[售出工時]]/交易處理資料__3[[#This Row],[上班時間]])</f>
        <v>0</v>
      </c>
      <c r="O1181" s="31" t="str">
        <f>IF(交易處理資料__3[[#This Row],[上班時間]]=0,"否","是")</f>
        <v>否</v>
      </c>
    </row>
    <row r="1182" spans="1:15" hidden="1">
      <c r="A1182" t="s">
        <v>75</v>
      </c>
      <c r="B1182" t="s">
        <v>52</v>
      </c>
      <c r="C1182">
        <v>2.5</v>
      </c>
      <c r="D1182">
        <v>3.58</v>
      </c>
      <c r="E1182" s="27">
        <v>69.83240223</v>
      </c>
      <c r="F1182">
        <v>7.66</v>
      </c>
      <c r="G1182">
        <v>0.41</v>
      </c>
      <c r="H1182">
        <v>8.07</v>
      </c>
      <c r="I1182">
        <v>94.92</v>
      </c>
      <c r="J1182">
        <v>30.98</v>
      </c>
      <c r="K1182" s="9">
        <v>45321</v>
      </c>
      <c r="L1182">
        <f xml:space="preserve"> (交易處理資料__3[[#This Row],[售出工時]] * 60) / 5</f>
        <v>30</v>
      </c>
      <c r="M1182" t="str">
        <f>VLOOKUP(交易處理資料__3[[#This Row],[人員代號]],團隊分組!$B$1:$C$52,2,FALSE)</f>
        <v>查修團隊B</v>
      </c>
      <c r="N1182">
        <f>IF(交易處理資料__3[[#This Row],[上班時間]]=0,0,交易處理資料__3[[#This Row],[售出工時]]/交易處理資料__3[[#This Row],[上班時間]])</f>
        <v>0.3097893432465923</v>
      </c>
      <c r="O1182" s="31" t="str">
        <f>IF(交易處理資料__3[[#This Row],[上班時間]]=0,"否","是")</f>
        <v>是</v>
      </c>
    </row>
    <row r="1183" spans="1:15" hidden="1">
      <c r="A1183" t="s">
        <v>75</v>
      </c>
      <c r="B1183" t="s">
        <v>53</v>
      </c>
      <c r="C1183">
        <v>0</v>
      </c>
      <c r="D1183">
        <v>0</v>
      </c>
      <c r="E1183" s="27">
        <v>0</v>
      </c>
      <c r="F1183">
        <v>9.5299999999999994</v>
      </c>
      <c r="G1183">
        <v>0.35</v>
      </c>
      <c r="H1183">
        <v>9.8800000000000008</v>
      </c>
      <c r="I1183">
        <v>96.46</v>
      </c>
      <c r="J1183">
        <v>0</v>
      </c>
      <c r="K1183" s="9">
        <v>45321</v>
      </c>
      <c r="L1183">
        <f xml:space="preserve"> (交易處理資料__3[[#This Row],[售出工時]] * 60) / 5</f>
        <v>0</v>
      </c>
      <c r="M1183" t="str">
        <f>VLOOKUP(交易處理資料__3[[#This Row],[人員代號]],團隊分組!$B$1:$C$52,2,FALSE)</f>
        <v>查修團隊A</v>
      </c>
      <c r="N1183">
        <f>IF(交易處理資料__3[[#This Row],[上班時間]]=0,0,交易處理資料__3[[#This Row],[售出工時]]/交易處理資料__3[[#This Row],[上班時間]])</f>
        <v>0</v>
      </c>
      <c r="O1183" s="31" t="str">
        <f>IF(交易處理資料__3[[#This Row],[上班時間]]=0,"否","是")</f>
        <v>是</v>
      </c>
    </row>
    <row r="1184" spans="1:15" hidden="1">
      <c r="A1184" s="10" t="s">
        <v>73</v>
      </c>
      <c r="B1184" t="s">
        <v>1</v>
      </c>
      <c r="C1184">
        <v>5.85</v>
      </c>
      <c r="D1184">
        <v>9.4700000000000006</v>
      </c>
      <c r="E1184" s="27">
        <v>61.774023229999997</v>
      </c>
      <c r="F1184">
        <v>9.19</v>
      </c>
      <c r="G1184">
        <v>0.83</v>
      </c>
      <c r="H1184">
        <v>10.02</v>
      </c>
      <c r="I1184">
        <v>91.72</v>
      </c>
      <c r="J1184">
        <v>58.38</v>
      </c>
      <c r="K1184" s="9">
        <v>45322</v>
      </c>
      <c r="L1184">
        <f xml:space="preserve"> (交易處理資料__3[[#This Row],[售出工時]] * 60) / 5</f>
        <v>70.2</v>
      </c>
      <c r="M1184" t="str">
        <f>VLOOKUP(交易處理資料__3[[#This Row],[人員代號]],團隊分組!$B$1:$C$52,2,FALSE)</f>
        <v>噴漆維修組</v>
      </c>
      <c r="N1184">
        <f>IF(交易處理資料__3[[#This Row],[上班時間]]=0,0,交易處理資料__3[[#This Row],[售出工時]]/交易處理資料__3[[#This Row],[上班時間]])</f>
        <v>0.58383233532934131</v>
      </c>
      <c r="O1184" s="31" t="str">
        <f>IF(交易處理資料__3[[#This Row],[上班時間]]=0,"否","是")</f>
        <v>是</v>
      </c>
    </row>
    <row r="1185" spans="1:15" hidden="1">
      <c r="A1185" s="10" t="s">
        <v>73</v>
      </c>
      <c r="B1185" t="s">
        <v>4</v>
      </c>
      <c r="C1185">
        <v>0</v>
      </c>
      <c r="D1185">
        <v>0</v>
      </c>
      <c r="E1185" s="27">
        <v>0</v>
      </c>
      <c r="F1185">
        <v>5.58</v>
      </c>
      <c r="G1185">
        <v>0.4</v>
      </c>
      <c r="H1185">
        <v>5.98</v>
      </c>
      <c r="I1185">
        <v>93.31</v>
      </c>
      <c r="J1185">
        <v>0</v>
      </c>
      <c r="K1185" s="9">
        <v>45322</v>
      </c>
      <c r="L1185">
        <f xml:space="preserve"> (交易處理資料__3[[#This Row],[售出工時]] * 60) / 5</f>
        <v>0</v>
      </c>
      <c r="M1185" t="str">
        <f>VLOOKUP(交易處理資料__3[[#This Row],[人員代號]],團隊分組!$B$1:$C$52,2,FALSE)</f>
        <v>噴漆維修組</v>
      </c>
      <c r="N1185">
        <f>IF(交易處理資料__3[[#This Row],[上班時間]]=0,0,交易處理資料__3[[#This Row],[售出工時]]/交易處理資料__3[[#This Row],[上班時間]])</f>
        <v>0</v>
      </c>
      <c r="O1185" s="31" t="str">
        <f>IF(交易處理資料__3[[#This Row],[上班時間]]=0,"否","是")</f>
        <v>是</v>
      </c>
    </row>
    <row r="1186" spans="1:15" hidden="1">
      <c r="A1186" s="10" t="s">
        <v>73</v>
      </c>
      <c r="B1186" t="s">
        <v>8</v>
      </c>
      <c r="C1186">
        <v>0</v>
      </c>
      <c r="D1186">
        <v>0</v>
      </c>
      <c r="E1186" s="27">
        <v>0</v>
      </c>
      <c r="F1186">
        <v>9.19</v>
      </c>
      <c r="G1186">
        <v>0.84</v>
      </c>
      <c r="H1186">
        <v>10.029999999999999</v>
      </c>
      <c r="I1186">
        <v>91.63</v>
      </c>
      <c r="J1186">
        <v>0</v>
      </c>
      <c r="K1186" s="9">
        <v>45322</v>
      </c>
      <c r="L1186">
        <f xml:space="preserve"> (交易處理資料__3[[#This Row],[售出工時]] * 60) / 5</f>
        <v>0</v>
      </c>
      <c r="M1186" t="str">
        <f>VLOOKUP(交易處理資料__3[[#This Row],[人員代號]],團隊分組!$B$1:$C$52,2,FALSE)</f>
        <v>噴漆維修組</v>
      </c>
      <c r="N1186">
        <f>IF(交易處理資料__3[[#This Row],[上班時間]]=0,0,交易處理資料__3[[#This Row],[售出工時]]/交易處理資料__3[[#This Row],[上班時間]])</f>
        <v>0</v>
      </c>
      <c r="O1186" s="31" t="str">
        <f>IF(交易處理資料__3[[#This Row],[上班時間]]=0,"否","是")</f>
        <v>是</v>
      </c>
    </row>
    <row r="1187" spans="1:15" hidden="1">
      <c r="A1187" t="s">
        <v>74</v>
      </c>
      <c r="B1187" t="s">
        <v>12</v>
      </c>
      <c r="C1187">
        <v>12.16666667</v>
      </c>
      <c r="D1187">
        <v>7.76</v>
      </c>
      <c r="E1187" s="27">
        <v>156.78694160000001</v>
      </c>
      <c r="F1187">
        <v>8.76</v>
      </c>
      <c r="G1187">
        <v>2.33</v>
      </c>
      <c r="H1187">
        <v>11.09</v>
      </c>
      <c r="I1187">
        <v>78.989999999999995</v>
      </c>
      <c r="J1187">
        <v>109.71</v>
      </c>
      <c r="K1187" s="9">
        <v>45322</v>
      </c>
      <c r="L1187">
        <f xml:space="preserve"> (交易處理資料__3[[#This Row],[售出工時]] * 60) / 5</f>
        <v>146.00000003999997</v>
      </c>
      <c r="M1187" t="str">
        <f>VLOOKUP(交易處理資料__3[[#This Row],[人員代號]],團隊分組!$B$1:$C$52,2,FALSE)</f>
        <v>鈑金維修組</v>
      </c>
      <c r="N1187">
        <f>IF(交易處理資料__3[[#This Row],[上班時間]]=0,0,交易處理資料__3[[#This Row],[售出工時]]/交易處理資料__3[[#This Row],[上班時間]])</f>
        <v>1.0970844607754733</v>
      </c>
      <c r="O1187" s="31" t="str">
        <f>IF(交易處理資料__3[[#This Row],[上班時間]]=0,"否","是")</f>
        <v>是</v>
      </c>
    </row>
    <row r="1188" spans="1:15" hidden="1">
      <c r="A1188" t="s">
        <v>75</v>
      </c>
      <c r="B1188" t="s">
        <v>17</v>
      </c>
      <c r="C1188">
        <v>5.25</v>
      </c>
      <c r="D1188">
        <v>4.8899999999999997</v>
      </c>
      <c r="E1188" s="27">
        <v>107.36196320000001</v>
      </c>
      <c r="F1188">
        <v>6.67</v>
      </c>
      <c r="G1188">
        <v>3.04</v>
      </c>
      <c r="H1188">
        <v>9.7100000000000009</v>
      </c>
      <c r="I1188">
        <v>68.69</v>
      </c>
      <c r="J1188">
        <v>54.07</v>
      </c>
      <c r="K1188" s="9">
        <v>45322</v>
      </c>
      <c r="L1188">
        <f xml:space="preserve"> (交易處理資料__3[[#This Row],[售出工時]] * 60) / 5</f>
        <v>63</v>
      </c>
      <c r="M1188" t="str">
        <f>VLOOKUP(交易處理資料__3[[#This Row],[人員代號]],團隊分組!$B$1:$C$52,2,FALSE)</f>
        <v>快速保養團隊A</v>
      </c>
      <c r="N1188">
        <f>IF(交易處理資料__3[[#This Row],[上班時間]]=0,0,交易處理資料__3[[#This Row],[售出工時]]/交易處理資料__3[[#This Row],[上班時間]])</f>
        <v>0.54067971163748707</v>
      </c>
      <c r="O1188" s="31" t="str">
        <f>IF(交易處理資料__3[[#This Row],[上班時間]]=0,"否","是")</f>
        <v>是</v>
      </c>
    </row>
    <row r="1189" spans="1:15" hidden="1">
      <c r="A1189" t="s">
        <v>75</v>
      </c>
      <c r="B1189" t="s">
        <v>20</v>
      </c>
      <c r="C1189">
        <v>0.83333333300000001</v>
      </c>
      <c r="D1189">
        <v>1.5</v>
      </c>
      <c r="E1189" s="27">
        <v>55.555555560000002</v>
      </c>
      <c r="F1189">
        <v>1.31</v>
      </c>
      <c r="G1189">
        <v>4.3600000000000003</v>
      </c>
      <c r="H1189">
        <v>5.67</v>
      </c>
      <c r="I1189">
        <v>23.1</v>
      </c>
      <c r="J1189">
        <v>14.7</v>
      </c>
      <c r="K1189" s="9">
        <v>45322</v>
      </c>
      <c r="L1189">
        <f xml:space="preserve"> (交易處理資料__3[[#This Row],[售出工時]] * 60) / 5</f>
        <v>9.9999999959999997</v>
      </c>
      <c r="M1189" t="str">
        <f>VLOOKUP(交易處理資料__3[[#This Row],[人員代號]],團隊分組!$B$1:$C$52,2,FALSE)</f>
        <v>查修團隊B</v>
      </c>
      <c r="N1189">
        <f>IF(交易處理資料__3[[#This Row],[上班時間]]=0,0,交易處理資料__3[[#This Row],[售出工時]]/交易處理資料__3[[#This Row],[上班時間]])</f>
        <v>0.14697236913580247</v>
      </c>
      <c r="O1189" s="31" t="str">
        <f>IF(交易處理資料__3[[#This Row],[上班時間]]=0,"否","是")</f>
        <v>是</v>
      </c>
    </row>
    <row r="1190" spans="1:15" hidden="1">
      <c r="A1190" t="s">
        <v>75</v>
      </c>
      <c r="B1190" t="s">
        <v>21</v>
      </c>
      <c r="C1190">
        <v>3.9166666669999999</v>
      </c>
      <c r="D1190">
        <v>2.39</v>
      </c>
      <c r="E1190" s="27">
        <v>163.8772664</v>
      </c>
      <c r="F1190">
        <v>7.7</v>
      </c>
      <c r="G1190">
        <v>0.94</v>
      </c>
      <c r="H1190">
        <v>8.64</v>
      </c>
      <c r="I1190">
        <v>89.12</v>
      </c>
      <c r="J1190">
        <v>45.33</v>
      </c>
      <c r="K1190" s="9">
        <v>45322</v>
      </c>
      <c r="L1190">
        <f xml:space="preserve"> (交易處理資料__3[[#This Row],[售出工時]] * 60) / 5</f>
        <v>47.000000004</v>
      </c>
      <c r="M1190" t="str">
        <f>VLOOKUP(交易處理資料__3[[#This Row],[人員代號]],團隊分組!$B$1:$C$52,2,FALSE)</f>
        <v>查修團隊B</v>
      </c>
      <c r="N1190">
        <f>IF(交易處理資料__3[[#This Row],[上班時間]]=0,0,交易處理資料__3[[#This Row],[售出工時]]/交易處理資料__3[[#This Row],[上班時間]])</f>
        <v>0.45331790127314808</v>
      </c>
      <c r="O1190" s="31" t="str">
        <f>IF(交易處理資料__3[[#This Row],[上班時間]]=0,"否","是")</f>
        <v>是</v>
      </c>
    </row>
    <row r="1191" spans="1:15" hidden="1">
      <c r="A1191" t="s">
        <v>75</v>
      </c>
      <c r="B1191" t="s">
        <v>22</v>
      </c>
      <c r="C1191">
        <v>0</v>
      </c>
      <c r="D1191">
        <v>0</v>
      </c>
      <c r="E1191" s="27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 s="9">
        <v>45322</v>
      </c>
      <c r="L1191">
        <f xml:space="preserve"> (交易處理資料__3[[#This Row],[售出工時]] * 60) / 5</f>
        <v>0</v>
      </c>
      <c r="M1191" t="str">
        <f>VLOOKUP(交易處理資料__3[[#This Row],[人員代號]],團隊分組!$B$1:$C$52,2,FALSE)</f>
        <v>快速保養團隊A</v>
      </c>
      <c r="N1191">
        <f>IF(交易處理資料__3[[#This Row],[上班時間]]=0,0,交易處理資料__3[[#This Row],[售出工時]]/交易處理資料__3[[#This Row],[上班時間]])</f>
        <v>0</v>
      </c>
      <c r="O1191" s="31" t="str">
        <f>IF(交易處理資料__3[[#This Row],[上班時間]]=0,"否","是")</f>
        <v>否</v>
      </c>
    </row>
    <row r="1192" spans="1:15" hidden="1">
      <c r="A1192" t="s">
        <v>75</v>
      </c>
      <c r="B1192" t="s">
        <v>23</v>
      </c>
      <c r="C1192">
        <v>10.37</v>
      </c>
      <c r="D1192">
        <v>5.49</v>
      </c>
      <c r="E1192" s="27">
        <v>188.88888890000001</v>
      </c>
      <c r="F1192">
        <v>9.32</v>
      </c>
      <c r="G1192">
        <v>2.06</v>
      </c>
      <c r="H1192">
        <v>11.38</v>
      </c>
      <c r="I1192">
        <v>81.900000000000006</v>
      </c>
      <c r="J1192">
        <v>91.12</v>
      </c>
      <c r="K1192" s="9">
        <v>45322</v>
      </c>
      <c r="L1192">
        <f xml:space="preserve"> (交易處理資料__3[[#This Row],[售出工時]] * 60) / 5</f>
        <v>124.43999999999998</v>
      </c>
      <c r="M1192" t="str">
        <f>VLOOKUP(交易處理資料__3[[#This Row],[人員代號]],團隊分組!$B$1:$C$52,2,FALSE)</f>
        <v>快速保養團隊B</v>
      </c>
      <c r="N1192">
        <f>IF(交易處理資料__3[[#This Row],[上班時間]]=0,0,交易處理資料__3[[#This Row],[售出工時]]/交易處理資料__3[[#This Row],[上班時間]])</f>
        <v>0.91124780316344456</v>
      </c>
      <c r="O1192" s="31" t="str">
        <f>IF(交易處理資料__3[[#This Row],[上班時間]]=0,"否","是")</f>
        <v>是</v>
      </c>
    </row>
    <row r="1193" spans="1:15" hidden="1">
      <c r="A1193" t="s">
        <v>75</v>
      </c>
      <c r="B1193" t="s">
        <v>24</v>
      </c>
      <c r="C1193">
        <v>14.16666667</v>
      </c>
      <c r="D1193">
        <v>8.41</v>
      </c>
      <c r="E1193" s="27">
        <v>168.45025759999999</v>
      </c>
      <c r="F1193">
        <v>8.25</v>
      </c>
      <c r="G1193">
        <v>1.24</v>
      </c>
      <c r="H1193">
        <v>9.49</v>
      </c>
      <c r="I1193">
        <v>86.93</v>
      </c>
      <c r="J1193">
        <v>149.28</v>
      </c>
      <c r="K1193" s="9">
        <v>45322</v>
      </c>
      <c r="L1193">
        <f xml:space="preserve"> (交易處理資料__3[[#This Row],[售出工時]] * 60) / 5</f>
        <v>170.00000003999997</v>
      </c>
      <c r="M1193" t="str">
        <f>VLOOKUP(交易處理資料__3[[#This Row],[人員代號]],團隊分組!$B$1:$C$52,2,FALSE)</f>
        <v>快速保養團隊A</v>
      </c>
      <c r="N1193">
        <f>IF(交易處理資料__3[[#This Row],[上班時間]]=0,0,交易處理資料__3[[#This Row],[售出工時]]/交易處理資料__3[[#This Row],[上班時間]])</f>
        <v>1.4927994383561642</v>
      </c>
      <c r="O1193" s="31" t="str">
        <f>IF(交易處理資料__3[[#This Row],[上班時間]]=0,"否","是")</f>
        <v>是</v>
      </c>
    </row>
    <row r="1194" spans="1:15" hidden="1">
      <c r="A1194" t="s">
        <v>75</v>
      </c>
      <c r="B1194" t="s">
        <v>25</v>
      </c>
      <c r="C1194">
        <v>1.1666666670000001</v>
      </c>
      <c r="D1194">
        <v>2.2000000000000002</v>
      </c>
      <c r="E1194" s="27">
        <v>53.030303029999999</v>
      </c>
      <c r="F1194">
        <v>9.17</v>
      </c>
      <c r="G1194">
        <v>0.82</v>
      </c>
      <c r="H1194">
        <v>9.99</v>
      </c>
      <c r="I1194">
        <v>91.79</v>
      </c>
      <c r="J1194">
        <v>11.68</v>
      </c>
      <c r="K1194" s="9">
        <v>45322</v>
      </c>
      <c r="L1194">
        <f xml:space="preserve"> (交易處理資料__3[[#This Row],[售出工時]] * 60) / 5</f>
        <v>14.000000004</v>
      </c>
      <c r="M1194" t="str">
        <f>VLOOKUP(交易處理資料__3[[#This Row],[人員代號]],團隊分組!$B$1:$C$52,2,FALSE)</f>
        <v>查修團隊A</v>
      </c>
      <c r="N1194">
        <f>IF(交易處理資料__3[[#This Row],[上班時間]]=0,0,交易處理資料__3[[#This Row],[售出工時]]/交易處理資料__3[[#This Row],[上班時間]])</f>
        <v>0.11678345015015015</v>
      </c>
      <c r="O1194" s="31" t="str">
        <f>IF(交易處理資料__3[[#This Row],[上班時間]]=0,"否","是")</f>
        <v>是</v>
      </c>
    </row>
    <row r="1195" spans="1:15" hidden="1">
      <c r="A1195" t="s">
        <v>75</v>
      </c>
      <c r="B1195" t="s">
        <v>26</v>
      </c>
      <c r="C1195">
        <v>0.8</v>
      </c>
      <c r="D1195">
        <v>6.88</v>
      </c>
      <c r="E1195" s="27">
        <v>11.627906980000001</v>
      </c>
      <c r="F1195">
        <v>3.41</v>
      </c>
      <c r="G1195">
        <v>5.73</v>
      </c>
      <c r="H1195">
        <v>9.14</v>
      </c>
      <c r="I1195">
        <v>37.31</v>
      </c>
      <c r="J1195">
        <v>8.75</v>
      </c>
      <c r="K1195" s="9">
        <v>45322</v>
      </c>
      <c r="L1195">
        <f xml:space="preserve"> (交易處理資料__3[[#This Row],[售出工時]] * 60) / 5</f>
        <v>9.6</v>
      </c>
      <c r="M1195" t="str">
        <f>VLOOKUP(交易處理資料__3[[#This Row],[人員代號]],團隊分組!$B$1:$C$52,2,FALSE)</f>
        <v>查修團隊B</v>
      </c>
      <c r="N1195">
        <f>IF(交易處理資料__3[[#This Row],[上班時間]]=0,0,交易處理資料__3[[#This Row],[售出工時]]/交易處理資料__3[[#This Row],[上班時間]])</f>
        <v>8.7527352297592995E-2</v>
      </c>
      <c r="O1195" s="31" t="str">
        <f>IF(交易處理資料__3[[#This Row],[上班時間]]=0,"否","是")</f>
        <v>是</v>
      </c>
    </row>
    <row r="1196" spans="1:15" hidden="1">
      <c r="A1196" t="s">
        <v>75</v>
      </c>
      <c r="B1196" t="s">
        <v>27</v>
      </c>
      <c r="C1196">
        <v>7.7233333330000002</v>
      </c>
      <c r="D1196">
        <v>6.9</v>
      </c>
      <c r="E1196" s="27">
        <v>111.93236709999999</v>
      </c>
      <c r="F1196">
        <v>8.67</v>
      </c>
      <c r="G1196">
        <v>1.01</v>
      </c>
      <c r="H1196">
        <v>9.68</v>
      </c>
      <c r="I1196">
        <v>89.57</v>
      </c>
      <c r="J1196">
        <v>79.790000000000006</v>
      </c>
      <c r="K1196" s="9">
        <v>45322</v>
      </c>
      <c r="L1196">
        <f xml:space="preserve"> (交易處理資料__3[[#This Row],[售出工時]] * 60) / 5</f>
        <v>92.679999996000006</v>
      </c>
      <c r="M1196" t="str">
        <f>VLOOKUP(交易處理資料__3[[#This Row],[人員代號]],團隊分組!$B$1:$C$52,2,FALSE)</f>
        <v>快速保養團隊B</v>
      </c>
      <c r="N1196">
        <f>IF(交易處理資料__3[[#This Row],[上班時間]]=0,0,交易處理資料__3[[#This Row],[售出工時]]/交易處理資料__3[[#This Row],[上班時間]])</f>
        <v>0.79786501373966945</v>
      </c>
      <c r="O1196" s="31" t="str">
        <f>IF(交易處理資料__3[[#This Row],[上班時間]]=0,"否","是")</f>
        <v>是</v>
      </c>
    </row>
    <row r="1197" spans="1:15" hidden="1">
      <c r="A1197" t="s">
        <v>75</v>
      </c>
      <c r="B1197" t="s">
        <v>29</v>
      </c>
      <c r="C1197">
        <v>1.5833333329999999</v>
      </c>
      <c r="D1197">
        <v>1.07</v>
      </c>
      <c r="E1197" s="27">
        <v>147.9750779</v>
      </c>
      <c r="F1197">
        <v>7.47</v>
      </c>
      <c r="G1197">
        <v>0.61</v>
      </c>
      <c r="H1197">
        <v>8.08</v>
      </c>
      <c r="I1197">
        <v>92.45</v>
      </c>
      <c r="J1197">
        <v>19.600000000000001</v>
      </c>
      <c r="K1197" s="9">
        <v>45322</v>
      </c>
      <c r="L1197">
        <f xml:space="preserve"> (交易處理資料__3[[#This Row],[售出工時]] * 60) / 5</f>
        <v>18.999999996</v>
      </c>
      <c r="M1197" t="str">
        <f>VLOOKUP(交易處理資料__3[[#This Row],[人員代號]],團隊分組!$B$1:$C$52,2,FALSE)</f>
        <v>查修團隊B</v>
      </c>
      <c r="N1197">
        <f>IF(交易處理資料__3[[#This Row],[上班時間]]=0,0,交易處理資料__3[[#This Row],[售出工時]]/交易處理資料__3[[#This Row],[上班時間]])</f>
        <v>0.19595709566831682</v>
      </c>
      <c r="O1197" s="31" t="str">
        <f>IF(交易處理資料__3[[#This Row],[上班時間]]=0,"否","是")</f>
        <v>是</v>
      </c>
    </row>
    <row r="1198" spans="1:15" hidden="1">
      <c r="A1198" t="s">
        <v>75</v>
      </c>
      <c r="B1198" t="s">
        <v>32</v>
      </c>
      <c r="C1198">
        <v>12.48666667</v>
      </c>
      <c r="D1198">
        <v>7.99</v>
      </c>
      <c r="E1198" s="27">
        <v>156.27868169999999</v>
      </c>
      <c r="F1198">
        <v>6.83</v>
      </c>
      <c r="G1198">
        <v>2.4</v>
      </c>
      <c r="H1198">
        <v>9.23</v>
      </c>
      <c r="I1198">
        <v>74</v>
      </c>
      <c r="J1198">
        <v>135.28</v>
      </c>
      <c r="K1198" s="9">
        <v>45322</v>
      </c>
      <c r="L1198">
        <f xml:space="preserve"> (交易處理資料__3[[#This Row],[售出工時]] * 60) / 5</f>
        <v>149.84000004000001</v>
      </c>
      <c r="M1198" t="str">
        <f>VLOOKUP(交易處理資料__3[[#This Row],[人員代號]],團隊分組!$B$1:$C$52,2,FALSE)</f>
        <v>快速保養團隊B</v>
      </c>
      <c r="N1198">
        <f>IF(交易處理資料__3[[#This Row],[上班時間]]=0,0,交易處理資料__3[[#This Row],[售出工時]]/交易處理資料__3[[#This Row],[上班時間]])</f>
        <v>1.3528349588299025</v>
      </c>
      <c r="O1198" s="31" t="str">
        <f>IF(交易處理資料__3[[#This Row],[上班時間]]=0,"否","是")</f>
        <v>是</v>
      </c>
    </row>
    <row r="1199" spans="1:15">
      <c r="A1199" t="s">
        <v>75</v>
      </c>
      <c r="B1199" t="s">
        <v>33</v>
      </c>
      <c r="C1199">
        <v>0</v>
      </c>
      <c r="D1199">
        <v>0</v>
      </c>
      <c r="E1199" s="27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 s="9">
        <v>45322</v>
      </c>
      <c r="L1199">
        <f xml:space="preserve"> (交易處理資料__3[[#This Row],[售出工時]] * 60) / 5</f>
        <v>0</v>
      </c>
      <c r="M1199" t="str">
        <f>VLOOKUP(交易處理資料__3[[#This Row],[人員代號]],團隊分組!$B$1:$C$52,2,FALSE)</f>
        <v>快速保養團隊B</v>
      </c>
      <c r="N1199">
        <f>IF(交易處理資料__3[[#This Row],[上班時間]]=0,0,交易處理資料__3[[#This Row],[售出工時]]/交易處理資料__3[[#This Row],[上班時間]])</f>
        <v>0</v>
      </c>
      <c r="O1199" s="31" t="str">
        <f>IF(交易處理資料__3[[#This Row],[上班時間]]=0,"否","是")</f>
        <v>否</v>
      </c>
    </row>
    <row r="1200" spans="1:15" hidden="1">
      <c r="A1200" t="s">
        <v>75</v>
      </c>
      <c r="B1200" t="s">
        <v>35</v>
      </c>
      <c r="C1200">
        <v>0.33333333300000001</v>
      </c>
      <c r="D1200">
        <v>4.97</v>
      </c>
      <c r="E1200" s="27">
        <v>6.7069081150000001</v>
      </c>
      <c r="F1200">
        <v>5.23</v>
      </c>
      <c r="G1200">
        <v>3.94</v>
      </c>
      <c r="H1200">
        <v>9.17</v>
      </c>
      <c r="I1200">
        <v>57.03</v>
      </c>
      <c r="J1200">
        <v>3.64</v>
      </c>
      <c r="K1200" s="9">
        <v>45322</v>
      </c>
      <c r="L1200">
        <f xml:space="preserve"> (交易處理資料__3[[#This Row],[售出工時]] * 60) / 5</f>
        <v>3.9999999960000006</v>
      </c>
      <c r="M1200" t="str">
        <f>VLOOKUP(交易處理資料__3[[#This Row],[人員代號]],團隊分組!$B$1:$C$52,2,FALSE)</f>
        <v>查修團隊B</v>
      </c>
      <c r="N1200">
        <f>IF(交易處理資料__3[[#This Row],[上班時間]]=0,0,交易處理資料__3[[#This Row],[售出工時]]/交易處理資料__3[[#This Row],[上班時間]])</f>
        <v>3.6350417993456924E-2</v>
      </c>
      <c r="O1200" s="31" t="str">
        <f>IF(交易處理資料__3[[#This Row],[上班時間]]=0,"否","是")</f>
        <v>是</v>
      </c>
    </row>
    <row r="1201" spans="1:15" hidden="1">
      <c r="A1201" t="s">
        <v>75</v>
      </c>
      <c r="B1201" t="s">
        <v>40</v>
      </c>
      <c r="C1201">
        <v>2.9166666669999999</v>
      </c>
      <c r="D1201">
        <v>7.94</v>
      </c>
      <c r="E1201" s="27">
        <v>36.733837110000003</v>
      </c>
      <c r="F1201">
        <v>7.2</v>
      </c>
      <c r="G1201">
        <v>0.78</v>
      </c>
      <c r="H1201">
        <v>7.98</v>
      </c>
      <c r="I1201">
        <v>90.23</v>
      </c>
      <c r="J1201">
        <v>36.549999999999997</v>
      </c>
      <c r="K1201" s="9">
        <v>45322</v>
      </c>
      <c r="L1201">
        <f xml:space="preserve"> (交易處理資料__3[[#This Row],[售出工時]] * 60) / 5</f>
        <v>35.000000004</v>
      </c>
      <c r="M1201" t="str">
        <f>VLOOKUP(交易處理資料__3[[#This Row],[人員代號]],團隊分組!$B$1:$C$52,2,FALSE)</f>
        <v>查修團隊A</v>
      </c>
      <c r="N1201">
        <f>IF(交易處理資料__3[[#This Row],[上班時間]]=0,0,交易處理資料__3[[#This Row],[售出工時]]/交易處理資料__3[[#This Row],[上班時間]])</f>
        <v>0.36549707606516285</v>
      </c>
      <c r="O1201" s="31" t="str">
        <f>IF(交易處理資料__3[[#This Row],[上班時間]]=0,"否","是")</f>
        <v>是</v>
      </c>
    </row>
    <row r="1202" spans="1:15" hidden="1">
      <c r="A1202" t="s">
        <v>75</v>
      </c>
      <c r="B1202" t="s">
        <v>44</v>
      </c>
      <c r="C1202">
        <v>9.64</v>
      </c>
      <c r="D1202">
        <v>7.08</v>
      </c>
      <c r="E1202" s="27">
        <v>136.15819210000001</v>
      </c>
      <c r="F1202">
        <v>7.69</v>
      </c>
      <c r="G1202">
        <v>0.78</v>
      </c>
      <c r="H1202">
        <v>8.4700000000000006</v>
      </c>
      <c r="I1202">
        <v>90.79</v>
      </c>
      <c r="J1202">
        <v>113.81</v>
      </c>
      <c r="K1202" s="9">
        <v>45322</v>
      </c>
      <c r="L1202">
        <f xml:space="preserve"> (交易處理資料__3[[#This Row],[售出工時]] * 60) / 5</f>
        <v>115.68000000000002</v>
      </c>
      <c r="M1202" t="str">
        <f>VLOOKUP(交易處理資料__3[[#This Row],[人員代號]],團隊分組!$B$1:$C$52,2,FALSE)</f>
        <v>快速保養團隊B</v>
      </c>
      <c r="N1202">
        <f>IF(交易處理資料__3[[#This Row],[上班時間]]=0,0,交易處理資料__3[[#This Row],[售出工時]]/交易處理資料__3[[#This Row],[上班時間]])</f>
        <v>1.1381345926800472</v>
      </c>
      <c r="O1202" s="31" t="str">
        <f>IF(交易處理資料__3[[#This Row],[上班時間]]=0,"否","是")</f>
        <v>是</v>
      </c>
    </row>
    <row r="1203" spans="1:15" hidden="1">
      <c r="A1203" t="s">
        <v>75</v>
      </c>
      <c r="B1203" t="s">
        <v>46</v>
      </c>
      <c r="C1203">
        <v>2.1666666669999999</v>
      </c>
      <c r="D1203">
        <v>6.19</v>
      </c>
      <c r="E1203" s="27">
        <v>35.002692510000003</v>
      </c>
      <c r="F1203">
        <v>6.6</v>
      </c>
      <c r="G1203">
        <v>1.51</v>
      </c>
      <c r="H1203">
        <v>8.11</v>
      </c>
      <c r="I1203">
        <v>81.38</v>
      </c>
      <c r="J1203">
        <v>26.72</v>
      </c>
      <c r="K1203" s="9">
        <v>45322</v>
      </c>
      <c r="L1203">
        <f xml:space="preserve"> (交易處理資料__3[[#This Row],[售出工時]] * 60) / 5</f>
        <v>26.000000003999997</v>
      </c>
      <c r="M1203" t="str">
        <f>VLOOKUP(交易處理資料__3[[#This Row],[人員代號]],團隊分組!$B$1:$C$52,2,FALSE)</f>
        <v>查修團隊B</v>
      </c>
      <c r="N1203">
        <f>IF(交易處理資料__3[[#This Row],[上班時間]]=0,0,交易處理資料__3[[#This Row],[售出工時]]/交易處理資料__3[[#This Row],[上班時間]])</f>
        <v>0.2671598849568434</v>
      </c>
      <c r="O1203" s="31" t="str">
        <f>IF(交易處理資料__3[[#This Row],[上班時間]]=0,"否","是")</f>
        <v>是</v>
      </c>
    </row>
    <row r="1204" spans="1:15" hidden="1">
      <c r="A1204" t="s">
        <v>75</v>
      </c>
      <c r="B1204" t="s">
        <v>47</v>
      </c>
      <c r="C1204">
        <v>0</v>
      </c>
      <c r="D1204">
        <v>0</v>
      </c>
      <c r="E1204" s="27">
        <v>0</v>
      </c>
      <c r="F1204">
        <v>5.75</v>
      </c>
      <c r="G1204">
        <v>2.14</v>
      </c>
      <c r="H1204">
        <v>7.89</v>
      </c>
      <c r="I1204">
        <v>72.88</v>
      </c>
      <c r="J1204">
        <v>0</v>
      </c>
      <c r="K1204" s="9">
        <v>45322</v>
      </c>
      <c r="L1204">
        <f xml:space="preserve"> (交易處理資料__3[[#This Row],[售出工時]] * 60) / 5</f>
        <v>0</v>
      </c>
      <c r="M1204" t="str">
        <f>VLOOKUP(交易處理資料__3[[#This Row],[人員代號]],團隊分組!$B$1:$C$52,2,FALSE)</f>
        <v>查修團隊B</v>
      </c>
      <c r="N1204">
        <f>IF(交易處理資料__3[[#This Row],[上班時間]]=0,0,交易處理資料__3[[#This Row],[售出工時]]/交易處理資料__3[[#This Row],[上班時間]])</f>
        <v>0</v>
      </c>
      <c r="O1204" s="31" t="str">
        <f>IF(交易處理資料__3[[#This Row],[上班時間]]=0,"否","是")</f>
        <v>是</v>
      </c>
    </row>
    <row r="1205" spans="1:15" hidden="1">
      <c r="A1205" t="s">
        <v>75</v>
      </c>
      <c r="B1205" t="s">
        <v>51</v>
      </c>
      <c r="C1205">
        <v>0</v>
      </c>
      <c r="D1205">
        <v>0</v>
      </c>
      <c r="E1205" s="27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 s="9">
        <v>45322</v>
      </c>
      <c r="L1205">
        <f xml:space="preserve"> (交易處理資料__3[[#This Row],[售出工時]] * 60) / 5</f>
        <v>0</v>
      </c>
      <c r="M1205" t="str">
        <f>VLOOKUP(交易處理資料__3[[#This Row],[人員代號]],團隊分組!$B$1:$C$52,2,FALSE)</f>
        <v>無效數據</v>
      </c>
      <c r="N1205">
        <f>IF(交易處理資料__3[[#This Row],[上班時間]]=0,0,交易處理資料__3[[#This Row],[售出工時]]/交易處理資料__3[[#This Row],[上班時間]])</f>
        <v>0</v>
      </c>
      <c r="O1205" s="31" t="str">
        <f>IF(交易處理資料__3[[#This Row],[上班時間]]=0,"否","是")</f>
        <v>否</v>
      </c>
    </row>
    <row r="1206" spans="1:15" hidden="1">
      <c r="A1206" t="s">
        <v>75</v>
      </c>
      <c r="B1206" t="s">
        <v>52</v>
      </c>
      <c r="C1206">
        <v>0</v>
      </c>
      <c r="D1206">
        <v>0</v>
      </c>
      <c r="E1206" s="27">
        <v>0</v>
      </c>
      <c r="F1206">
        <v>6.92</v>
      </c>
      <c r="G1206">
        <v>1.18</v>
      </c>
      <c r="H1206">
        <v>8.1</v>
      </c>
      <c r="I1206">
        <v>85.43</v>
      </c>
      <c r="J1206">
        <v>0</v>
      </c>
      <c r="K1206" s="9">
        <v>45322</v>
      </c>
      <c r="L1206">
        <f xml:space="preserve"> (交易處理資料__3[[#This Row],[售出工時]] * 60) / 5</f>
        <v>0</v>
      </c>
      <c r="M1206" t="str">
        <f>VLOOKUP(交易處理資料__3[[#This Row],[人員代號]],團隊分組!$B$1:$C$52,2,FALSE)</f>
        <v>查修團隊B</v>
      </c>
      <c r="N1206">
        <f>IF(交易處理資料__3[[#This Row],[上班時間]]=0,0,交易處理資料__3[[#This Row],[售出工時]]/交易處理資料__3[[#This Row],[上班時間]])</f>
        <v>0</v>
      </c>
      <c r="O1206" s="31" t="str">
        <f>IF(交易處理資料__3[[#This Row],[上班時間]]=0,"否","是")</f>
        <v>是</v>
      </c>
    </row>
    <row r="1207" spans="1:15" hidden="1">
      <c r="A1207" t="s">
        <v>75</v>
      </c>
      <c r="B1207" t="s">
        <v>53</v>
      </c>
      <c r="C1207">
        <v>3.3333333330000001</v>
      </c>
      <c r="D1207">
        <v>3</v>
      </c>
      <c r="E1207" s="27">
        <v>111.1111111</v>
      </c>
      <c r="F1207">
        <v>9.19</v>
      </c>
      <c r="G1207">
        <v>0.28000000000000003</v>
      </c>
      <c r="H1207">
        <v>9.4700000000000006</v>
      </c>
      <c r="I1207">
        <v>97.04</v>
      </c>
      <c r="J1207">
        <v>35.200000000000003</v>
      </c>
      <c r="K1207" s="9">
        <v>45322</v>
      </c>
      <c r="L1207">
        <f xml:space="preserve"> (交易處理資料__3[[#This Row],[售出工時]] * 60) / 5</f>
        <v>39.999999996</v>
      </c>
      <c r="M1207" t="str">
        <f>VLOOKUP(交易處理資料__3[[#This Row],[人員代號]],團隊分組!$B$1:$C$52,2,FALSE)</f>
        <v>查修團隊A</v>
      </c>
      <c r="N1207">
        <f>IF(交易處理資料__3[[#This Row],[上班時間]]=0,0,交易處理資料__3[[#This Row],[售出工時]]/交易處理資料__3[[#This Row],[上班時間]])</f>
        <v>0.35198873632523758</v>
      </c>
      <c r="O1207" s="31" t="str">
        <f>IF(交易處理資料__3[[#This Row],[上班時間]]=0,"否","是")</f>
        <v>是</v>
      </c>
    </row>
    <row r="1208" spans="1:15" hidden="1">
      <c r="A1208" s="10" t="s">
        <v>73</v>
      </c>
      <c r="B1208" t="s">
        <v>1</v>
      </c>
      <c r="C1208">
        <v>0</v>
      </c>
      <c r="D1208">
        <v>0</v>
      </c>
      <c r="E1208" s="27">
        <v>0</v>
      </c>
      <c r="F1208">
        <v>8.9</v>
      </c>
      <c r="G1208">
        <v>1.1000000000000001</v>
      </c>
      <c r="H1208">
        <v>10</v>
      </c>
      <c r="I1208">
        <v>89</v>
      </c>
      <c r="J1208">
        <v>0</v>
      </c>
      <c r="K1208" s="9">
        <v>45323</v>
      </c>
      <c r="L1208">
        <f xml:space="preserve"> (交易處理資料__3[[#This Row],[售出工時]] * 60) / 5</f>
        <v>0</v>
      </c>
      <c r="M1208" t="str">
        <f>VLOOKUP(交易處理資料__3[[#This Row],[人員代號]],團隊分組!$B$1:$C$52,2,FALSE)</f>
        <v>噴漆維修組</v>
      </c>
      <c r="N1208">
        <f>IF(交易處理資料__3[[#This Row],[上班時間]]=0,0,交易處理資料__3[[#This Row],[售出工時]]/交易處理資料__3[[#This Row],[上班時間]])</f>
        <v>0</v>
      </c>
      <c r="O1208" s="31" t="str">
        <f>IF(交易處理資料__3[[#This Row],[上班時間]]=0,"否","是")</f>
        <v>是</v>
      </c>
    </row>
    <row r="1209" spans="1:15" hidden="1">
      <c r="A1209" s="10" t="s">
        <v>73</v>
      </c>
      <c r="B1209" t="s">
        <v>2</v>
      </c>
      <c r="C1209">
        <v>0</v>
      </c>
      <c r="D1209">
        <v>0</v>
      </c>
      <c r="E1209" s="27">
        <v>0</v>
      </c>
      <c r="F1209">
        <v>10.75</v>
      </c>
      <c r="G1209">
        <v>0.2</v>
      </c>
      <c r="H1209">
        <v>10.95</v>
      </c>
      <c r="I1209">
        <v>98.17</v>
      </c>
      <c r="J1209">
        <v>0</v>
      </c>
      <c r="K1209" s="9">
        <v>45323</v>
      </c>
      <c r="L1209">
        <f xml:space="preserve"> (交易處理資料__3[[#This Row],[售出工時]] * 60) / 5</f>
        <v>0</v>
      </c>
      <c r="M1209" t="str">
        <f>VLOOKUP(交易處理資料__3[[#This Row],[人員代號]],團隊分組!$B$1:$C$52,2,FALSE)</f>
        <v>噴漆維修組</v>
      </c>
      <c r="N1209">
        <f>IF(交易處理資料__3[[#This Row],[上班時間]]=0,0,交易處理資料__3[[#This Row],[售出工時]]/交易處理資料__3[[#This Row],[上班時間]])</f>
        <v>0</v>
      </c>
      <c r="O1209" s="31" t="str">
        <f>IF(交易處理資料__3[[#This Row],[上班時間]]=0,"否","是")</f>
        <v>是</v>
      </c>
    </row>
    <row r="1210" spans="1:15" hidden="1">
      <c r="A1210" s="10" t="s">
        <v>73</v>
      </c>
      <c r="B1210" t="s">
        <v>3</v>
      </c>
      <c r="C1210">
        <v>0</v>
      </c>
      <c r="D1210">
        <v>0</v>
      </c>
      <c r="E1210" s="27">
        <v>0</v>
      </c>
      <c r="F1210">
        <v>10.77</v>
      </c>
      <c r="G1210">
        <v>0.2</v>
      </c>
      <c r="H1210">
        <v>10.97</v>
      </c>
      <c r="I1210">
        <v>98.18</v>
      </c>
      <c r="J1210">
        <v>0</v>
      </c>
      <c r="K1210" s="9">
        <v>45323</v>
      </c>
      <c r="L1210">
        <f xml:space="preserve"> (交易處理資料__3[[#This Row],[售出工時]] * 60) / 5</f>
        <v>0</v>
      </c>
      <c r="M1210" t="str">
        <f>VLOOKUP(交易處理資料__3[[#This Row],[人員代號]],團隊分組!$B$1:$C$52,2,FALSE)</f>
        <v>噴漆維修組</v>
      </c>
      <c r="N1210">
        <f>IF(交易處理資料__3[[#This Row],[上班時間]]=0,0,交易處理資料__3[[#This Row],[售出工時]]/交易處理資料__3[[#This Row],[上班時間]])</f>
        <v>0</v>
      </c>
      <c r="O1210" s="31" t="str">
        <f>IF(交易處理資料__3[[#This Row],[上班時間]]=0,"否","是")</f>
        <v>是</v>
      </c>
    </row>
    <row r="1211" spans="1:15" hidden="1">
      <c r="A1211" s="10" t="s">
        <v>73</v>
      </c>
      <c r="B1211" t="s">
        <v>4</v>
      </c>
      <c r="C1211">
        <v>2.67</v>
      </c>
      <c r="D1211">
        <v>6.86</v>
      </c>
      <c r="E1211" s="27">
        <v>38.9212828</v>
      </c>
      <c r="F1211">
        <v>8.8800000000000008</v>
      </c>
      <c r="G1211">
        <v>1.1000000000000001</v>
      </c>
      <c r="H1211">
        <v>9.98</v>
      </c>
      <c r="I1211">
        <v>88.98</v>
      </c>
      <c r="J1211">
        <v>26.75</v>
      </c>
      <c r="K1211" s="9">
        <v>45323</v>
      </c>
      <c r="L1211">
        <f xml:space="preserve"> (交易處理資料__3[[#This Row],[售出工時]] * 60) / 5</f>
        <v>32.04</v>
      </c>
      <c r="M1211" t="str">
        <f>VLOOKUP(交易處理資料__3[[#This Row],[人員代號]],團隊分組!$B$1:$C$52,2,FALSE)</f>
        <v>噴漆維修組</v>
      </c>
      <c r="N1211">
        <f>IF(交易處理資料__3[[#This Row],[上班時間]]=0,0,交易處理資料__3[[#This Row],[售出工時]]/交易處理資料__3[[#This Row],[上班時間]])</f>
        <v>0.26753507014028055</v>
      </c>
      <c r="O1211" s="31" t="str">
        <f>IF(交易處理資料__3[[#This Row],[上班時間]]=0,"否","是")</f>
        <v>是</v>
      </c>
    </row>
    <row r="1212" spans="1:15" hidden="1">
      <c r="A1212" s="10" t="s">
        <v>73</v>
      </c>
      <c r="B1212" t="s">
        <v>6</v>
      </c>
      <c r="C1212">
        <v>0</v>
      </c>
      <c r="D1212">
        <v>0</v>
      </c>
      <c r="E1212" s="27">
        <v>0</v>
      </c>
      <c r="F1212">
        <v>9.48</v>
      </c>
      <c r="G1212">
        <v>0.2</v>
      </c>
      <c r="H1212">
        <v>9.68</v>
      </c>
      <c r="I1212">
        <v>97.93</v>
      </c>
      <c r="J1212">
        <v>0</v>
      </c>
      <c r="K1212" s="9">
        <v>45323</v>
      </c>
      <c r="L1212">
        <f xml:space="preserve"> (交易處理資料__3[[#This Row],[售出工時]] * 60) / 5</f>
        <v>0</v>
      </c>
      <c r="M1212" t="str">
        <f>VLOOKUP(交易處理資料__3[[#This Row],[人員代號]],團隊分組!$B$1:$C$52,2,FALSE)</f>
        <v>噴漆維修組</v>
      </c>
      <c r="N1212">
        <f>IF(交易處理資料__3[[#This Row],[上班時間]]=0,0,交易處理資料__3[[#This Row],[售出工時]]/交易處理資料__3[[#This Row],[上班時間]])</f>
        <v>0</v>
      </c>
      <c r="O1212" s="31" t="str">
        <f>IF(交易處理資料__3[[#This Row],[上班時間]]=0,"否","是")</f>
        <v>是</v>
      </c>
    </row>
    <row r="1213" spans="1:15" hidden="1">
      <c r="A1213" s="10" t="s">
        <v>73</v>
      </c>
      <c r="B1213" t="s">
        <v>8</v>
      </c>
      <c r="C1213">
        <v>2.67</v>
      </c>
      <c r="D1213">
        <v>6.86</v>
      </c>
      <c r="E1213" s="27">
        <v>38.9212828</v>
      </c>
      <c r="F1213">
        <v>6.98</v>
      </c>
      <c r="G1213">
        <v>1</v>
      </c>
      <c r="H1213">
        <v>7.98</v>
      </c>
      <c r="I1213">
        <v>87.47</v>
      </c>
      <c r="J1213">
        <v>33.46</v>
      </c>
      <c r="K1213" s="9">
        <v>45323</v>
      </c>
      <c r="L1213">
        <f xml:space="preserve"> (交易處理資料__3[[#This Row],[售出工時]] * 60) / 5</f>
        <v>32.04</v>
      </c>
      <c r="M1213" t="str">
        <f>VLOOKUP(交易處理資料__3[[#This Row],[人員代號]],團隊分組!$B$1:$C$52,2,FALSE)</f>
        <v>噴漆維修組</v>
      </c>
      <c r="N1213">
        <f>IF(交易處理資料__3[[#This Row],[上班時間]]=0,0,交易處理資料__3[[#This Row],[售出工時]]/交易處理資料__3[[#This Row],[上班時間]])</f>
        <v>0.33458646616541349</v>
      </c>
      <c r="O1213" s="31" t="str">
        <f>IF(交易處理資料__3[[#This Row],[上班時間]]=0,"否","是")</f>
        <v>是</v>
      </c>
    </row>
    <row r="1214" spans="1:15" hidden="1">
      <c r="A1214" s="10" t="s">
        <v>73</v>
      </c>
      <c r="B1214" t="s">
        <v>9</v>
      </c>
      <c r="C1214">
        <v>4.0833333329999997</v>
      </c>
      <c r="D1214">
        <v>4.82</v>
      </c>
      <c r="E1214" s="27">
        <v>84.716459200000003</v>
      </c>
      <c r="F1214">
        <v>8.9499999999999993</v>
      </c>
      <c r="G1214">
        <v>1.1000000000000001</v>
      </c>
      <c r="H1214">
        <v>10.050000000000001</v>
      </c>
      <c r="I1214">
        <v>89.05</v>
      </c>
      <c r="J1214">
        <v>40.630000000000003</v>
      </c>
      <c r="K1214" s="9">
        <v>45323</v>
      </c>
      <c r="L1214">
        <f xml:space="preserve"> (交易處理資料__3[[#This Row],[售出工時]] * 60) / 5</f>
        <v>48.999999996</v>
      </c>
      <c r="M1214" t="str">
        <f>VLOOKUP(交易處理資料__3[[#This Row],[人員代號]],團隊分組!$B$1:$C$52,2,FALSE)</f>
        <v>噴漆維修組</v>
      </c>
      <c r="N1214">
        <f>IF(交易處理資料__3[[#This Row],[上班時間]]=0,0,交易處理資料__3[[#This Row],[售出工時]]/交易處理資料__3[[#This Row],[上班時間]])</f>
        <v>0.40630182417910443</v>
      </c>
      <c r="O1214" s="31" t="str">
        <f>IF(交易處理資料__3[[#This Row],[上班時間]]=0,"否","是")</f>
        <v>是</v>
      </c>
    </row>
    <row r="1215" spans="1:15" hidden="1">
      <c r="A1215" t="s">
        <v>74</v>
      </c>
      <c r="B1215" t="s">
        <v>12</v>
      </c>
      <c r="C1215">
        <v>2.9166666669999999</v>
      </c>
      <c r="D1215">
        <v>1.63</v>
      </c>
      <c r="E1215" s="27">
        <v>178.9366053</v>
      </c>
      <c r="F1215">
        <v>8.1999999999999993</v>
      </c>
      <c r="G1215">
        <v>2.84</v>
      </c>
      <c r="H1215">
        <v>11.04</v>
      </c>
      <c r="I1215">
        <v>74.28</v>
      </c>
      <c r="J1215">
        <v>26.42</v>
      </c>
      <c r="K1215" s="9">
        <v>45323</v>
      </c>
      <c r="L1215">
        <f xml:space="preserve"> (交易處理資料__3[[#This Row],[售出工時]] * 60) / 5</f>
        <v>35.000000004</v>
      </c>
      <c r="M1215" t="str">
        <f>VLOOKUP(交易處理資料__3[[#This Row],[人員代號]],團隊分組!$B$1:$C$52,2,FALSE)</f>
        <v>鈑金維修組</v>
      </c>
      <c r="N1215">
        <f>IF(交易處理資料__3[[#This Row],[上班時間]]=0,0,交易處理資料__3[[#This Row],[售出工時]]/交易處理資料__3[[#This Row],[上班時間]])</f>
        <v>0.26419082128623189</v>
      </c>
      <c r="O1215" s="31" t="str">
        <f>IF(交易處理資料__3[[#This Row],[上班時間]]=0,"否","是")</f>
        <v>是</v>
      </c>
    </row>
    <row r="1216" spans="1:15" hidden="1">
      <c r="A1216" t="s">
        <v>74</v>
      </c>
      <c r="B1216" t="s">
        <v>13</v>
      </c>
      <c r="C1216">
        <v>0</v>
      </c>
      <c r="D1216">
        <v>0</v>
      </c>
      <c r="E1216" s="27">
        <v>0</v>
      </c>
      <c r="F1216">
        <v>3.63</v>
      </c>
      <c r="G1216">
        <v>4.58</v>
      </c>
      <c r="H1216">
        <v>8.2100000000000009</v>
      </c>
      <c r="I1216">
        <v>44.21</v>
      </c>
      <c r="J1216">
        <v>0</v>
      </c>
      <c r="K1216" s="9">
        <v>45323</v>
      </c>
      <c r="L1216">
        <f xml:space="preserve"> (交易處理資料__3[[#This Row],[售出工時]] * 60) / 5</f>
        <v>0</v>
      </c>
      <c r="M1216" t="str">
        <f>VLOOKUP(交易處理資料__3[[#This Row],[人員代號]],團隊分組!$B$1:$C$52,2,FALSE)</f>
        <v>鈑金維修組</v>
      </c>
      <c r="N1216">
        <f>IF(交易處理資料__3[[#This Row],[上班時間]]=0,0,交易處理資料__3[[#This Row],[售出工時]]/交易處理資料__3[[#This Row],[上班時間]])</f>
        <v>0</v>
      </c>
      <c r="O1216" s="31" t="str">
        <f>IF(交易處理資料__3[[#This Row],[上班時間]]=0,"否","是")</f>
        <v>是</v>
      </c>
    </row>
    <row r="1217" spans="1:15" hidden="1">
      <c r="A1217" t="s">
        <v>74</v>
      </c>
      <c r="B1217" t="s">
        <v>14</v>
      </c>
      <c r="C1217">
        <v>0</v>
      </c>
      <c r="D1217">
        <v>0</v>
      </c>
      <c r="E1217" s="27">
        <v>0</v>
      </c>
      <c r="F1217">
        <v>5.03</v>
      </c>
      <c r="G1217">
        <v>3.18</v>
      </c>
      <c r="H1217">
        <v>8.2100000000000009</v>
      </c>
      <c r="I1217">
        <v>61.27</v>
      </c>
      <c r="J1217">
        <v>0</v>
      </c>
      <c r="K1217" s="9">
        <v>45323</v>
      </c>
      <c r="L1217">
        <f xml:space="preserve"> (交易處理資料__3[[#This Row],[售出工時]] * 60) / 5</f>
        <v>0</v>
      </c>
      <c r="M1217" t="str">
        <f>VLOOKUP(交易處理資料__3[[#This Row],[人員代號]],團隊分組!$B$1:$C$52,2,FALSE)</f>
        <v>鈑金維修組</v>
      </c>
      <c r="N1217">
        <f>IF(交易處理資料__3[[#This Row],[上班時間]]=0,0,交易處理資料__3[[#This Row],[售出工時]]/交易處理資料__3[[#This Row],[上班時間]])</f>
        <v>0</v>
      </c>
      <c r="O1217" s="31" t="str">
        <f>IF(交易處理資料__3[[#This Row],[上班時間]]=0,"否","是")</f>
        <v>是</v>
      </c>
    </row>
    <row r="1218" spans="1:15" hidden="1">
      <c r="A1218" t="s">
        <v>74</v>
      </c>
      <c r="B1218" t="s">
        <v>15</v>
      </c>
      <c r="C1218">
        <v>0</v>
      </c>
      <c r="D1218">
        <v>0</v>
      </c>
      <c r="E1218" s="27">
        <v>0</v>
      </c>
      <c r="F1218">
        <v>5.01</v>
      </c>
      <c r="G1218">
        <v>3.19</v>
      </c>
      <c r="H1218">
        <v>8.1999999999999993</v>
      </c>
      <c r="I1218">
        <v>61.1</v>
      </c>
      <c r="J1218">
        <v>0</v>
      </c>
      <c r="K1218" s="9">
        <v>45323</v>
      </c>
      <c r="L1218">
        <f xml:space="preserve"> (交易處理資料__3[[#This Row],[售出工時]] * 60) / 5</f>
        <v>0</v>
      </c>
      <c r="M1218" t="str">
        <f>VLOOKUP(交易處理資料__3[[#This Row],[人員代號]],團隊分組!$B$1:$C$52,2,FALSE)</f>
        <v>鈑金維修組</v>
      </c>
      <c r="N1218">
        <f>IF(交易處理資料__3[[#This Row],[上班時間]]=0,0,交易處理資料__3[[#This Row],[售出工時]]/交易處理資料__3[[#This Row],[上班時間]])</f>
        <v>0</v>
      </c>
      <c r="O1218" s="31" t="str">
        <f>IF(交易處理資料__3[[#This Row],[上班時間]]=0,"否","是")</f>
        <v>是</v>
      </c>
    </row>
    <row r="1219" spans="1:15" hidden="1">
      <c r="A1219" t="s">
        <v>75</v>
      </c>
      <c r="B1219" t="s">
        <v>17</v>
      </c>
      <c r="C1219">
        <v>10.33333333</v>
      </c>
      <c r="D1219">
        <v>6.38</v>
      </c>
      <c r="E1219" s="27">
        <v>161.96447230000001</v>
      </c>
      <c r="F1219">
        <v>5.26</v>
      </c>
      <c r="G1219">
        <v>2.83</v>
      </c>
      <c r="H1219">
        <v>8.09</v>
      </c>
      <c r="I1219">
        <v>65.02</v>
      </c>
      <c r="J1219">
        <v>127.73</v>
      </c>
      <c r="K1219" s="9">
        <v>45323</v>
      </c>
      <c r="L1219">
        <f xml:space="preserve"> (交易處理資料__3[[#This Row],[售出工時]] * 60) / 5</f>
        <v>123.99999996000001</v>
      </c>
      <c r="M1219" t="str">
        <f>VLOOKUP(交易處理資料__3[[#This Row],[人員代號]],團隊分組!$B$1:$C$52,2,FALSE)</f>
        <v>快速保養團隊A</v>
      </c>
      <c r="N1219">
        <f>IF(交易處理資料__3[[#This Row],[上班時間]]=0,0,交易處理資料__3[[#This Row],[售出工時]]/交易處理資料__3[[#This Row],[上班時間]])</f>
        <v>1.2772970741656366</v>
      </c>
      <c r="O1219" s="31" t="str">
        <f>IF(交易處理資料__3[[#This Row],[上班時間]]=0,"否","是")</f>
        <v>是</v>
      </c>
    </row>
    <row r="1220" spans="1:15" hidden="1">
      <c r="A1220" t="s">
        <v>75</v>
      </c>
      <c r="B1220" t="s">
        <v>19</v>
      </c>
      <c r="C1220">
        <v>1.17</v>
      </c>
      <c r="D1220">
        <v>1.62</v>
      </c>
      <c r="E1220" s="27">
        <v>72.222222220000006</v>
      </c>
      <c r="F1220">
        <v>6.74</v>
      </c>
      <c r="G1220">
        <v>1.66</v>
      </c>
      <c r="H1220">
        <v>8.4</v>
      </c>
      <c r="I1220">
        <v>80.239999999999995</v>
      </c>
      <c r="J1220">
        <v>13.93</v>
      </c>
      <c r="K1220" s="9">
        <v>45323</v>
      </c>
      <c r="L1220">
        <f xml:space="preserve"> (交易處理資料__3[[#This Row],[售出工時]] * 60) / 5</f>
        <v>14.039999999999997</v>
      </c>
      <c r="M1220" t="str">
        <f>VLOOKUP(交易處理資料__3[[#This Row],[人員代號]],團隊分組!$B$1:$C$52,2,FALSE)</f>
        <v>查修團隊A</v>
      </c>
      <c r="N1220">
        <f>IF(交易處理資料__3[[#This Row],[上班時間]]=0,0,交易處理資料__3[[#This Row],[售出工時]]/交易處理資料__3[[#This Row],[上班時間]])</f>
        <v>0.13928571428571426</v>
      </c>
      <c r="O1220" s="31" t="str">
        <f>IF(交易處理資料__3[[#This Row],[上班時間]]=0,"否","是")</f>
        <v>是</v>
      </c>
    </row>
    <row r="1221" spans="1:15" hidden="1">
      <c r="A1221" t="s">
        <v>75</v>
      </c>
      <c r="B1221" t="s">
        <v>21</v>
      </c>
      <c r="C1221">
        <v>0.5</v>
      </c>
      <c r="D1221">
        <v>5.7</v>
      </c>
      <c r="E1221" s="27">
        <v>8.7719298250000008</v>
      </c>
      <c r="F1221">
        <v>7.88</v>
      </c>
      <c r="G1221">
        <v>2.25</v>
      </c>
      <c r="H1221">
        <v>10.130000000000001</v>
      </c>
      <c r="I1221">
        <v>77.790000000000006</v>
      </c>
      <c r="J1221">
        <v>4.9400000000000004</v>
      </c>
      <c r="K1221" s="9">
        <v>45323</v>
      </c>
      <c r="L1221">
        <f xml:space="preserve"> (交易處理資料__3[[#This Row],[售出工時]] * 60) / 5</f>
        <v>6</v>
      </c>
      <c r="M1221" t="str">
        <f>VLOOKUP(交易處理資料__3[[#This Row],[人員代號]],團隊分組!$B$1:$C$52,2,FALSE)</f>
        <v>查修團隊B</v>
      </c>
      <c r="N1221">
        <f>IF(交易處理資料__3[[#This Row],[上班時間]]=0,0,交易處理資料__3[[#This Row],[售出工時]]/交易處理資料__3[[#This Row],[上班時間]])</f>
        <v>4.9358341559723587E-2</v>
      </c>
      <c r="O1221" s="31" t="str">
        <f>IF(交易處理資料__3[[#This Row],[上班時間]]=0,"否","是")</f>
        <v>是</v>
      </c>
    </row>
    <row r="1222" spans="1:15" hidden="1">
      <c r="A1222" t="s">
        <v>75</v>
      </c>
      <c r="B1222" t="s">
        <v>22</v>
      </c>
      <c r="C1222">
        <v>7.6266666670000003</v>
      </c>
      <c r="D1222">
        <v>7.21</v>
      </c>
      <c r="E1222" s="27">
        <v>105.77901060000001</v>
      </c>
      <c r="F1222">
        <v>7.21</v>
      </c>
      <c r="G1222">
        <v>0.74</v>
      </c>
      <c r="H1222">
        <v>7.95</v>
      </c>
      <c r="I1222">
        <v>90.69</v>
      </c>
      <c r="J1222">
        <v>95.93</v>
      </c>
      <c r="K1222" s="9">
        <v>45323</v>
      </c>
      <c r="L1222">
        <f xml:space="preserve"> (交易處理資料__3[[#This Row],[售出工時]] * 60) / 5</f>
        <v>91.520000004000011</v>
      </c>
      <c r="M1222" t="str">
        <f>VLOOKUP(交易處理資料__3[[#This Row],[人員代號]],團隊分組!$B$1:$C$52,2,FALSE)</f>
        <v>快速保養團隊A</v>
      </c>
      <c r="N1222">
        <f>IF(交易處理資料__3[[#This Row],[上班時間]]=0,0,交易處理資料__3[[#This Row],[售出工時]]/交易處理資料__3[[#This Row],[上班時間]])</f>
        <v>0.95932914050314466</v>
      </c>
      <c r="O1222" s="31" t="str">
        <f>IF(交易處理資料__3[[#This Row],[上班時間]]=0,"否","是")</f>
        <v>是</v>
      </c>
    </row>
    <row r="1223" spans="1:15" hidden="1">
      <c r="A1223" t="s">
        <v>75</v>
      </c>
      <c r="B1223" t="s">
        <v>26</v>
      </c>
      <c r="C1223">
        <v>2</v>
      </c>
      <c r="D1223">
        <v>2.25</v>
      </c>
      <c r="E1223" s="27">
        <v>88.888888890000004</v>
      </c>
      <c r="F1223">
        <v>3.56</v>
      </c>
      <c r="G1223">
        <v>7.12</v>
      </c>
      <c r="H1223">
        <v>10.68</v>
      </c>
      <c r="I1223">
        <v>33.33</v>
      </c>
      <c r="J1223">
        <v>18.73</v>
      </c>
      <c r="K1223" s="9">
        <v>45323</v>
      </c>
      <c r="L1223">
        <f xml:space="preserve"> (交易處理資料__3[[#This Row],[售出工時]] * 60) / 5</f>
        <v>24</v>
      </c>
      <c r="M1223" t="str">
        <f>VLOOKUP(交易處理資料__3[[#This Row],[人員代號]],團隊分組!$B$1:$C$52,2,FALSE)</f>
        <v>查修團隊B</v>
      </c>
      <c r="N1223">
        <f>IF(交易處理資料__3[[#This Row],[上班時間]]=0,0,交易處理資料__3[[#This Row],[售出工時]]/交易處理資料__3[[#This Row],[上班時間]])</f>
        <v>0.18726591760299627</v>
      </c>
      <c r="O1223" s="31" t="str">
        <f>IF(交易處理資料__3[[#This Row],[上班時間]]=0,"否","是")</f>
        <v>是</v>
      </c>
    </row>
    <row r="1224" spans="1:15" hidden="1">
      <c r="A1224" t="s">
        <v>75</v>
      </c>
      <c r="B1224" t="s">
        <v>28</v>
      </c>
      <c r="C1224">
        <v>5.75</v>
      </c>
      <c r="D1224">
        <v>4.37</v>
      </c>
      <c r="E1224" s="27">
        <v>131.5789474</v>
      </c>
      <c r="F1224">
        <v>6.4</v>
      </c>
      <c r="G1224">
        <v>1.65</v>
      </c>
      <c r="H1224">
        <v>8.0500000000000007</v>
      </c>
      <c r="I1224">
        <v>79.5</v>
      </c>
      <c r="J1224">
        <v>71.430000000000007</v>
      </c>
      <c r="K1224" s="9">
        <v>45323</v>
      </c>
      <c r="L1224">
        <f xml:space="preserve"> (交易處理資料__3[[#This Row],[售出工時]] * 60) / 5</f>
        <v>69</v>
      </c>
      <c r="M1224" t="str">
        <f>VLOOKUP(交易處理資料__3[[#This Row],[人員代號]],團隊分組!$B$1:$C$52,2,FALSE)</f>
        <v>快速保養團隊A</v>
      </c>
      <c r="N1224">
        <f>IF(交易處理資料__3[[#This Row],[上班時間]]=0,0,交易處理資料__3[[#This Row],[售出工時]]/交易處理資料__3[[#This Row],[上班時間]])</f>
        <v>0.71428571428571419</v>
      </c>
      <c r="O1224" s="31" t="str">
        <f>IF(交易處理資料__3[[#This Row],[上班時間]]=0,"否","是")</f>
        <v>是</v>
      </c>
    </row>
    <row r="1225" spans="1:15" hidden="1">
      <c r="A1225" t="s">
        <v>75</v>
      </c>
      <c r="B1225" t="s">
        <v>29</v>
      </c>
      <c r="C1225">
        <v>3.1666666669999999</v>
      </c>
      <c r="D1225">
        <v>3.28</v>
      </c>
      <c r="E1225" s="27">
        <v>96.544715449999998</v>
      </c>
      <c r="F1225">
        <v>7.01</v>
      </c>
      <c r="G1225">
        <v>1.0900000000000001</v>
      </c>
      <c r="H1225">
        <v>8.1</v>
      </c>
      <c r="I1225">
        <v>86.54</v>
      </c>
      <c r="J1225">
        <v>39.090000000000003</v>
      </c>
      <c r="K1225" s="9">
        <v>45323</v>
      </c>
      <c r="L1225">
        <f xml:space="preserve"> (交易處理資料__3[[#This Row],[售出工時]] * 60) / 5</f>
        <v>38.000000004</v>
      </c>
      <c r="M1225" t="str">
        <f>VLOOKUP(交易處理資料__3[[#This Row],[人員代號]],團隊分組!$B$1:$C$52,2,FALSE)</f>
        <v>查修團隊B</v>
      </c>
      <c r="N1225">
        <f>IF(交易處理資料__3[[#This Row],[上班時間]]=0,0,交易處理資料__3[[#This Row],[售出工時]]/交易處理資料__3[[#This Row],[上班時間]])</f>
        <v>0.39094650209876541</v>
      </c>
      <c r="O1225" s="31" t="str">
        <f>IF(交易處理資料__3[[#This Row],[上班時間]]=0,"否","是")</f>
        <v>是</v>
      </c>
    </row>
    <row r="1226" spans="1:15">
      <c r="A1226" t="s">
        <v>75</v>
      </c>
      <c r="B1226" t="s">
        <v>33</v>
      </c>
      <c r="C1226">
        <v>0</v>
      </c>
      <c r="D1226">
        <v>0</v>
      </c>
      <c r="E1226" s="27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 s="9">
        <v>45323</v>
      </c>
      <c r="L1226">
        <f xml:space="preserve"> (交易處理資料__3[[#This Row],[售出工時]] * 60) / 5</f>
        <v>0</v>
      </c>
      <c r="M1226" t="str">
        <f>VLOOKUP(交易處理資料__3[[#This Row],[人員代號]],團隊分組!$B$1:$C$52,2,FALSE)</f>
        <v>快速保養團隊B</v>
      </c>
      <c r="N1226">
        <f>IF(交易處理資料__3[[#This Row],[上班時間]]=0,0,交易處理資料__3[[#This Row],[售出工時]]/交易處理資料__3[[#This Row],[上班時間]])</f>
        <v>0</v>
      </c>
      <c r="O1226" s="31" t="str">
        <f>IF(交易處理資料__3[[#This Row],[上班時間]]=0,"否","是")</f>
        <v>否</v>
      </c>
    </row>
    <row r="1227" spans="1:15" hidden="1">
      <c r="A1227" t="s">
        <v>75</v>
      </c>
      <c r="B1227" t="s">
        <v>36</v>
      </c>
      <c r="C1227">
        <v>1.0833333329999999</v>
      </c>
      <c r="D1227">
        <v>4.72</v>
      </c>
      <c r="E1227" s="27">
        <v>22.951977400000001</v>
      </c>
      <c r="F1227">
        <v>7.38</v>
      </c>
      <c r="G1227">
        <v>3.05</v>
      </c>
      <c r="H1227">
        <v>10.43</v>
      </c>
      <c r="I1227">
        <v>70.760000000000005</v>
      </c>
      <c r="J1227">
        <v>10.39</v>
      </c>
      <c r="K1227" s="9">
        <v>45323</v>
      </c>
      <c r="L1227">
        <f xml:space="preserve"> (交易處理資料__3[[#This Row],[售出工時]] * 60) / 5</f>
        <v>12.999999996</v>
      </c>
      <c r="M1227" t="str">
        <f>VLOOKUP(交易處理資料__3[[#This Row],[人員代號]],團隊分組!$B$1:$C$52,2,FALSE)</f>
        <v>查修團隊B</v>
      </c>
      <c r="N1227">
        <f>IF(交易處理資料__3[[#This Row],[上班時間]]=0,0,交易處理資料__3[[#This Row],[售出工時]]/交易處理資料__3[[#This Row],[上班時間]])</f>
        <v>0.10386705014381591</v>
      </c>
      <c r="O1227" s="31" t="str">
        <f>IF(交易處理資料__3[[#This Row],[上班時間]]=0,"否","是")</f>
        <v>是</v>
      </c>
    </row>
    <row r="1228" spans="1:15" hidden="1">
      <c r="A1228" t="s">
        <v>75</v>
      </c>
      <c r="B1228" t="s">
        <v>37</v>
      </c>
      <c r="C1228">
        <v>6</v>
      </c>
      <c r="D1228">
        <v>9.83</v>
      </c>
      <c r="E1228" s="27">
        <v>61.03763988</v>
      </c>
      <c r="F1228">
        <v>8.16</v>
      </c>
      <c r="G1228">
        <v>2.1800000000000002</v>
      </c>
      <c r="H1228">
        <v>10.34</v>
      </c>
      <c r="I1228">
        <v>78.92</v>
      </c>
      <c r="J1228">
        <v>58.03</v>
      </c>
      <c r="K1228" s="9">
        <v>45323</v>
      </c>
      <c r="L1228">
        <f xml:space="preserve"> (交易處理資料__3[[#This Row],[售出工時]] * 60) / 5</f>
        <v>72</v>
      </c>
      <c r="M1228" t="str">
        <f>VLOOKUP(交易處理資料__3[[#This Row],[人員代號]],團隊分組!$B$1:$C$52,2,FALSE)</f>
        <v>查修團隊A</v>
      </c>
      <c r="N1228">
        <f>IF(交易處理資料__3[[#This Row],[上班時間]]=0,0,交易處理資料__3[[#This Row],[售出工時]]/交易處理資料__3[[#This Row],[上班時間]])</f>
        <v>0.58027079303675044</v>
      </c>
      <c r="O1228" s="31" t="str">
        <f>IF(交易處理資料__3[[#This Row],[上班時間]]=0,"否","是")</f>
        <v>是</v>
      </c>
    </row>
    <row r="1229" spans="1:15" hidden="1">
      <c r="A1229" t="s">
        <v>75</v>
      </c>
      <c r="B1229" t="s">
        <v>38</v>
      </c>
      <c r="C1229">
        <v>15.91666667</v>
      </c>
      <c r="D1229">
        <v>5.48</v>
      </c>
      <c r="E1229" s="27">
        <v>290.45012170000001</v>
      </c>
      <c r="F1229">
        <v>6.63</v>
      </c>
      <c r="G1229">
        <v>1.44</v>
      </c>
      <c r="H1229">
        <v>8.07</v>
      </c>
      <c r="I1229">
        <v>82.16</v>
      </c>
      <c r="J1229">
        <v>197.23</v>
      </c>
      <c r="K1229" s="9">
        <v>45323</v>
      </c>
      <c r="L1229">
        <f xml:space="preserve"> (交易處理資料__3[[#This Row],[售出工時]] * 60) / 5</f>
        <v>191.00000003999997</v>
      </c>
      <c r="M1229" t="str">
        <f>VLOOKUP(交易處理資料__3[[#This Row],[人員代號]],團隊分組!$B$1:$C$52,2,FALSE)</f>
        <v>快速保養團隊A</v>
      </c>
      <c r="N1229">
        <f>IF(交易處理資料__3[[#This Row],[上班時間]]=0,0,交易處理資料__3[[#This Row],[售出工時]]/交易處理資料__3[[#This Row],[上班時間]])</f>
        <v>1.9723254857496901</v>
      </c>
      <c r="O1229" s="31" t="str">
        <f>IF(交易處理資料__3[[#This Row],[上班時間]]=0,"否","是")</f>
        <v>是</v>
      </c>
    </row>
    <row r="1230" spans="1:15" hidden="1">
      <c r="A1230" t="s">
        <v>75</v>
      </c>
      <c r="B1230" t="s">
        <v>39</v>
      </c>
      <c r="C1230">
        <v>1.5</v>
      </c>
      <c r="D1230">
        <v>2.35</v>
      </c>
      <c r="E1230" s="27">
        <v>63.829787230000001</v>
      </c>
      <c r="F1230">
        <v>7.25</v>
      </c>
      <c r="G1230">
        <v>3.19</v>
      </c>
      <c r="H1230">
        <v>10.44</v>
      </c>
      <c r="I1230">
        <v>69.44</v>
      </c>
      <c r="J1230">
        <v>14.37</v>
      </c>
      <c r="K1230" s="9">
        <v>45323</v>
      </c>
      <c r="L1230">
        <f xml:space="preserve"> (交易處理資料__3[[#This Row],[售出工時]] * 60) / 5</f>
        <v>18</v>
      </c>
      <c r="M1230" t="str">
        <f>VLOOKUP(交易處理資料__3[[#This Row],[人員代號]],團隊分組!$B$1:$C$52,2,FALSE)</f>
        <v>查修團隊A</v>
      </c>
      <c r="N1230">
        <f>IF(交易處理資料__3[[#This Row],[上班時間]]=0,0,交易處理資料__3[[#This Row],[售出工時]]/交易處理資料__3[[#This Row],[上班時間]])</f>
        <v>0.14367816091954025</v>
      </c>
      <c r="O1230" s="31" t="str">
        <f>IF(交易處理資料__3[[#This Row],[上班時間]]=0,"否","是")</f>
        <v>是</v>
      </c>
    </row>
    <row r="1231" spans="1:15" hidden="1">
      <c r="A1231" t="s">
        <v>75</v>
      </c>
      <c r="B1231" t="s">
        <v>40</v>
      </c>
      <c r="C1231">
        <v>2</v>
      </c>
      <c r="D1231">
        <v>2.04</v>
      </c>
      <c r="E1231" s="27">
        <v>98.039215690000006</v>
      </c>
      <c r="F1231">
        <v>9.35</v>
      </c>
      <c r="G1231">
        <v>1.0900000000000001</v>
      </c>
      <c r="H1231">
        <v>10.44</v>
      </c>
      <c r="I1231">
        <v>89.56</v>
      </c>
      <c r="J1231">
        <v>19.16</v>
      </c>
      <c r="K1231" s="9">
        <v>45323</v>
      </c>
      <c r="L1231">
        <f xml:space="preserve"> (交易處理資料__3[[#This Row],[售出工時]] * 60) / 5</f>
        <v>24</v>
      </c>
      <c r="M1231" t="str">
        <f>VLOOKUP(交易處理資料__3[[#This Row],[人員代號]],團隊分組!$B$1:$C$52,2,FALSE)</f>
        <v>查修團隊A</v>
      </c>
      <c r="N1231">
        <f>IF(交易處理資料__3[[#This Row],[上班時間]]=0,0,交易處理資料__3[[#This Row],[售出工時]]/交易處理資料__3[[#This Row],[上班時間]])</f>
        <v>0.19157088122605365</v>
      </c>
      <c r="O1231" s="31" t="str">
        <f>IF(交易處理資料__3[[#This Row],[上班時間]]=0,"否","是")</f>
        <v>是</v>
      </c>
    </row>
    <row r="1232" spans="1:15" hidden="1">
      <c r="A1232" t="s">
        <v>75</v>
      </c>
      <c r="B1232" t="s">
        <v>41</v>
      </c>
      <c r="C1232">
        <v>13.08333333</v>
      </c>
      <c r="D1232">
        <v>7.32</v>
      </c>
      <c r="E1232" s="27">
        <v>178.7340619</v>
      </c>
      <c r="F1232">
        <v>7.84</v>
      </c>
      <c r="G1232">
        <v>2.35</v>
      </c>
      <c r="H1232">
        <v>10.19</v>
      </c>
      <c r="I1232">
        <v>76.94</v>
      </c>
      <c r="J1232">
        <v>128.38999999999999</v>
      </c>
      <c r="K1232" s="9">
        <v>45323</v>
      </c>
      <c r="L1232">
        <f xml:space="preserve"> (交易處理資料__3[[#This Row],[售出工時]] * 60) / 5</f>
        <v>156.99999996000003</v>
      </c>
      <c r="M1232" t="str">
        <f>VLOOKUP(交易處理資料__3[[#This Row],[人員代號]],團隊分組!$B$1:$C$52,2,FALSE)</f>
        <v>快速保養團隊A</v>
      </c>
      <c r="N1232">
        <f>IF(交易處理資料__3[[#This Row],[上班時間]]=0,0,交易處理資料__3[[#This Row],[售出工時]]/交易處理資料__3[[#This Row],[上班時間]])</f>
        <v>1.2839385014720315</v>
      </c>
      <c r="O1232" s="31" t="str">
        <f>IF(交易處理資料__3[[#This Row],[上班時間]]=0,"否","是")</f>
        <v>是</v>
      </c>
    </row>
    <row r="1233" spans="1:15" hidden="1">
      <c r="A1233" t="s">
        <v>75</v>
      </c>
      <c r="B1233" t="s">
        <v>43</v>
      </c>
      <c r="C1233">
        <v>3.26</v>
      </c>
      <c r="D1233">
        <v>3.12</v>
      </c>
      <c r="E1233" s="27">
        <v>104.4871795</v>
      </c>
      <c r="F1233">
        <v>7.18</v>
      </c>
      <c r="G1233">
        <v>0.95</v>
      </c>
      <c r="H1233">
        <v>8.1300000000000008</v>
      </c>
      <c r="I1233">
        <v>88.31</v>
      </c>
      <c r="J1233">
        <v>40.1</v>
      </c>
      <c r="K1233" s="9">
        <v>45323</v>
      </c>
      <c r="L1233">
        <f xml:space="preserve"> (交易處理資料__3[[#This Row],[售出工時]] * 60) / 5</f>
        <v>39.119999999999997</v>
      </c>
      <c r="M1233" t="str">
        <f>VLOOKUP(交易處理資料__3[[#This Row],[人員代號]],團隊分組!$B$1:$C$52,2,FALSE)</f>
        <v>查修團隊B</v>
      </c>
      <c r="N1233">
        <f>IF(交易處理資料__3[[#This Row],[上班時間]]=0,0,交易處理資料__3[[#This Row],[售出工時]]/交易處理資料__3[[#This Row],[上班時間]])</f>
        <v>0.40098400984009835</v>
      </c>
      <c r="O1233" s="31" t="str">
        <f>IF(交易處理資料__3[[#This Row],[上班時間]]=0,"否","是")</f>
        <v>是</v>
      </c>
    </row>
    <row r="1234" spans="1:15" hidden="1">
      <c r="A1234" t="s">
        <v>75</v>
      </c>
      <c r="B1234" t="s">
        <v>47</v>
      </c>
      <c r="C1234">
        <v>1</v>
      </c>
      <c r="D1234">
        <v>1.23</v>
      </c>
      <c r="E1234" s="27">
        <v>81.300813009999999</v>
      </c>
      <c r="F1234">
        <v>6.78</v>
      </c>
      <c r="G1234">
        <v>1.32</v>
      </c>
      <c r="H1234">
        <v>8.1</v>
      </c>
      <c r="I1234">
        <v>83.7</v>
      </c>
      <c r="J1234">
        <v>12.35</v>
      </c>
      <c r="K1234" s="9">
        <v>45323</v>
      </c>
      <c r="L1234">
        <f xml:space="preserve"> (交易處理資料__3[[#This Row],[售出工時]] * 60) / 5</f>
        <v>12</v>
      </c>
      <c r="M1234" t="str">
        <f>VLOOKUP(交易處理資料__3[[#This Row],[人員代號]],團隊分組!$B$1:$C$52,2,FALSE)</f>
        <v>查修團隊B</v>
      </c>
      <c r="N1234">
        <f>IF(交易處理資料__3[[#This Row],[上班時間]]=0,0,交易處理資料__3[[#This Row],[售出工時]]/交易處理資料__3[[#This Row],[上班時間]])</f>
        <v>0.1234567901234568</v>
      </c>
      <c r="O1234" s="31" t="str">
        <f>IF(交易處理資料__3[[#This Row],[上班時間]]=0,"否","是")</f>
        <v>是</v>
      </c>
    </row>
    <row r="1235" spans="1:15" hidden="1">
      <c r="A1235" t="s">
        <v>75</v>
      </c>
      <c r="B1235" t="s">
        <v>48</v>
      </c>
      <c r="C1235">
        <v>0</v>
      </c>
      <c r="D1235">
        <v>0</v>
      </c>
      <c r="E1235" s="27">
        <v>0</v>
      </c>
      <c r="F1235">
        <v>6.38</v>
      </c>
      <c r="G1235">
        <v>1.95</v>
      </c>
      <c r="H1235">
        <v>8.33</v>
      </c>
      <c r="I1235">
        <v>76.59</v>
      </c>
      <c r="J1235">
        <v>0</v>
      </c>
      <c r="K1235" s="9">
        <v>45323</v>
      </c>
      <c r="L1235">
        <f xml:space="preserve"> (交易處理資料__3[[#This Row],[售出工時]] * 60) / 5</f>
        <v>0</v>
      </c>
      <c r="M1235" t="str">
        <f>VLOOKUP(交易處理資料__3[[#This Row],[人員代號]],團隊分組!$B$1:$C$52,2,FALSE)</f>
        <v>查修團隊A</v>
      </c>
      <c r="N1235">
        <f>IF(交易處理資料__3[[#This Row],[上班時間]]=0,0,交易處理資料__3[[#This Row],[售出工時]]/交易處理資料__3[[#This Row],[上班時間]])</f>
        <v>0</v>
      </c>
      <c r="O1235" s="31" t="str">
        <f>IF(交易處理資料__3[[#This Row],[上班時間]]=0,"否","是")</f>
        <v>是</v>
      </c>
    </row>
    <row r="1236" spans="1:15" hidden="1">
      <c r="A1236" t="s">
        <v>75</v>
      </c>
      <c r="B1236" t="s">
        <v>49</v>
      </c>
      <c r="C1236">
        <v>1.26</v>
      </c>
      <c r="D1236">
        <v>1.73</v>
      </c>
      <c r="E1236" s="27">
        <v>72.832369940000007</v>
      </c>
      <c r="F1236">
        <v>6.16</v>
      </c>
      <c r="G1236">
        <v>2.21</v>
      </c>
      <c r="H1236">
        <v>8.3699999999999992</v>
      </c>
      <c r="I1236">
        <v>73.599999999999994</v>
      </c>
      <c r="J1236">
        <v>15.05</v>
      </c>
      <c r="K1236" s="9">
        <v>45323</v>
      </c>
      <c r="L1236">
        <f xml:space="preserve"> (交易處理資料__3[[#This Row],[售出工時]] * 60) / 5</f>
        <v>15.12</v>
      </c>
      <c r="M1236" t="str">
        <f>VLOOKUP(交易處理資料__3[[#This Row],[人員代號]],團隊分組!$B$1:$C$52,2,FALSE)</f>
        <v>查修團隊A</v>
      </c>
      <c r="N1236">
        <f>IF(交易處理資料__3[[#This Row],[上班時間]]=0,0,交易處理資料__3[[#This Row],[售出工時]]/交易處理資料__3[[#This Row],[上班時間]])</f>
        <v>0.15053763440860216</v>
      </c>
      <c r="O1236" s="31" t="str">
        <f>IF(交易處理資料__3[[#This Row],[上班時間]]=0,"否","是")</f>
        <v>是</v>
      </c>
    </row>
    <row r="1237" spans="1:15" hidden="1">
      <c r="A1237" t="s">
        <v>75</v>
      </c>
      <c r="B1237" t="s">
        <v>50</v>
      </c>
      <c r="C1237">
        <v>12.926666669999999</v>
      </c>
      <c r="D1237">
        <v>7.85</v>
      </c>
      <c r="E1237" s="27">
        <v>164.67091300000001</v>
      </c>
      <c r="F1237">
        <v>7.88</v>
      </c>
      <c r="G1237">
        <v>0.14000000000000001</v>
      </c>
      <c r="H1237">
        <v>8.02</v>
      </c>
      <c r="I1237">
        <v>98.25</v>
      </c>
      <c r="J1237">
        <v>161.18</v>
      </c>
      <c r="K1237" s="9">
        <v>45323</v>
      </c>
      <c r="L1237">
        <f xml:space="preserve"> (交易處理資料__3[[#This Row],[售出工時]] * 60) / 5</f>
        <v>155.12000003999998</v>
      </c>
      <c r="M1237" t="str">
        <f>VLOOKUP(交易處理資料__3[[#This Row],[人員代號]],團隊分組!$B$1:$C$52,2,FALSE)</f>
        <v>快速保養團隊B</v>
      </c>
      <c r="N1237">
        <f>IF(交易處理資料__3[[#This Row],[上班時間]]=0,0,交易處理資料__3[[#This Row],[售出工時]]/交易處理資料__3[[#This Row],[上班時間]])</f>
        <v>1.6118038241895263</v>
      </c>
      <c r="O1237" s="31" t="str">
        <f>IF(交易處理資料__3[[#This Row],[上班時間]]=0,"否","是")</f>
        <v>是</v>
      </c>
    </row>
    <row r="1238" spans="1:15" hidden="1">
      <c r="A1238" t="s">
        <v>75</v>
      </c>
      <c r="B1238" t="s">
        <v>51</v>
      </c>
      <c r="C1238">
        <v>0</v>
      </c>
      <c r="D1238">
        <v>0</v>
      </c>
      <c r="E1238" s="27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 s="9">
        <v>45323</v>
      </c>
      <c r="L1238">
        <f xml:space="preserve"> (交易處理資料__3[[#This Row],[售出工時]] * 60) / 5</f>
        <v>0</v>
      </c>
      <c r="M1238" t="str">
        <f>VLOOKUP(交易處理資料__3[[#This Row],[人員代號]],團隊分組!$B$1:$C$52,2,FALSE)</f>
        <v>無效數據</v>
      </c>
      <c r="N1238">
        <f>IF(交易處理資料__3[[#This Row],[上班時間]]=0,0,交易處理資料__3[[#This Row],[售出工時]]/交易處理資料__3[[#This Row],[上班時間]])</f>
        <v>0</v>
      </c>
      <c r="O1238" s="31" t="str">
        <f>IF(交易處理資料__3[[#This Row],[上班時間]]=0,"否","是")</f>
        <v>否</v>
      </c>
    </row>
    <row r="1239" spans="1:15" hidden="1">
      <c r="A1239" t="s">
        <v>75</v>
      </c>
      <c r="B1239" t="s">
        <v>52</v>
      </c>
      <c r="C1239">
        <v>0</v>
      </c>
      <c r="D1239">
        <v>0</v>
      </c>
      <c r="E1239" s="27">
        <v>0</v>
      </c>
      <c r="F1239">
        <v>7.24</v>
      </c>
      <c r="G1239">
        <v>0.84</v>
      </c>
      <c r="H1239">
        <v>8.08</v>
      </c>
      <c r="I1239">
        <v>89.6</v>
      </c>
      <c r="J1239">
        <v>0</v>
      </c>
      <c r="K1239" s="9">
        <v>45323</v>
      </c>
      <c r="L1239">
        <f xml:space="preserve"> (交易處理資料__3[[#This Row],[售出工時]] * 60) / 5</f>
        <v>0</v>
      </c>
      <c r="M1239" t="str">
        <f>VLOOKUP(交易處理資料__3[[#This Row],[人員代號]],團隊分組!$B$1:$C$52,2,FALSE)</f>
        <v>查修團隊B</v>
      </c>
      <c r="N1239">
        <f>IF(交易處理資料__3[[#This Row],[上班時間]]=0,0,交易處理資料__3[[#This Row],[售出工時]]/交易處理資料__3[[#This Row],[上班時間]])</f>
        <v>0</v>
      </c>
      <c r="O1239" s="31" t="str">
        <f>IF(交易處理資料__3[[#This Row],[上班時間]]=0,"否","是")</f>
        <v>是</v>
      </c>
    </row>
    <row r="1240" spans="1:15" hidden="1">
      <c r="A1240" t="s">
        <v>75</v>
      </c>
      <c r="B1240" t="s">
        <v>53</v>
      </c>
      <c r="C1240">
        <v>5.6666666670000003</v>
      </c>
      <c r="D1240">
        <v>7.37</v>
      </c>
      <c r="E1240" s="27">
        <v>76.888285839999995</v>
      </c>
      <c r="F1240">
        <v>8.18</v>
      </c>
      <c r="G1240">
        <v>1.18</v>
      </c>
      <c r="H1240">
        <v>9.36</v>
      </c>
      <c r="I1240">
        <v>87.39</v>
      </c>
      <c r="J1240">
        <v>60.54</v>
      </c>
      <c r="K1240" s="9">
        <v>45323</v>
      </c>
      <c r="L1240">
        <f xml:space="preserve"> (交易處理資料__3[[#This Row],[售出工時]] * 60) / 5</f>
        <v>68.000000004</v>
      </c>
      <c r="M1240" t="str">
        <f>VLOOKUP(交易處理資料__3[[#This Row],[人員代號]],團隊分組!$B$1:$C$52,2,FALSE)</f>
        <v>查修團隊A</v>
      </c>
      <c r="N1240">
        <f>IF(交易處理資料__3[[#This Row],[上班時間]]=0,0,交易處理資料__3[[#This Row],[售出工時]]/交易處理資料__3[[#This Row],[上班時間]])</f>
        <v>0.60541310544871807</v>
      </c>
      <c r="O1240" s="31" t="str">
        <f>IF(交易處理資料__3[[#This Row],[上班時間]]=0,"否","是")</f>
        <v>是</v>
      </c>
    </row>
    <row r="1241" spans="1:15" hidden="1">
      <c r="A1241" s="10" t="s">
        <v>73</v>
      </c>
      <c r="B1241" t="s">
        <v>1</v>
      </c>
      <c r="C1241">
        <v>3.11</v>
      </c>
      <c r="D1241">
        <v>3.57</v>
      </c>
      <c r="E1241" s="27">
        <v>87.114845939999995</v>
      </c>
      <c r="F1241">
        <v>7.12</v>
      </c>
      <c r="G1241">
        <v>0.92</v>
      </c>
      <c r="H1241">
        <v>8.0399999999999991</v>
      </c>
      <c r="I1241">
        <v>88.56</v>
      </c>
      <c r="J1241">
        <v>38.68</v>
      </c>
      <c r="K1241" s="9">
        <v>45324</v>
      </c>
      <c r="L1241">
        <f xml:space="preserve"> (交易處理資料__3[[#This Row],[售出工時]] * 60) / 5</f>
        <v>37.32</v>
      </c>
      <c r="M1241" t="str">
        <f>VLOOKUP(交易處理資料__3[[#This Row],[人員代號]],團隊分組!$B$1:$C$52,2,FALSE)</f>
        <v>噴漆維修組</v>
      </c>
      <c r="N1241">
        <f>IF(交易處理資料__3[[#This Row],[上班時間]]=0,0,交易處理資料__3[[#This Row],[售出工時]]/交易處理資料__3[[#This Row],[上班時間]])</f>
        <v>0.38681592039800999</v>
      </c>
      <c r="O1241" s="31" t="str">
        <f>IF(交易處理資料__3[[#This Row],[上班時間]]=0,"否","是")</f>
        <v>是</v>
      </c>
    </row>
    <row r="1242" spans="1:15" hidden="1">
      <c r="A1242" s="10" t="s">
        <v>73</v>
      </c>
      <c r="B1242" t="s">
        <v>2</v>
      </c>
      <c r="C1242">
        <v>0.67</v>
      </c>
      <c r="D1242">
        <v>4.83</v>
      </c>
      <c r="E1242" s="27">
        <v>13.87163561</v>
      </c>
      <c r="F1242">
        <v>7.95</v>
      </c>
      <c r="G1242">
        <v>0.11</v>
      </c>
      <c r="H1242">
        <v>8.06</v>
      </c>
      <c r="I1242">
        <v>98.64</v>
      </c>
      <c r="J1242">
        <v>8.31</v>
      </c>
      <c r="K1242" s="9">
        <v>45324</v>
      </c>
      <c r="L1242">
        <f xml:space="preserve"> (交易處理資料__3[[#This Row],[售出工時]] * 60) / 5</f>
        <v>8.0400000000000009</v>
      </c>
      <c r="M1242" t="str">
        <f>VLOOKUP(交易處理資料__3[[#This Row],[人員代號]],團隊分組!$B$1:$C$52,2,FALSE)</f>
        <v>噴漆維修組</v>
      </c>
      <c r="N1242">
        <f>IF(交易處理資料__3[[#This Row],[上班時間]]=0,0,交易處理資料__3[[#This Row],[售出工時]]/交易處理資料__3[[#This Row],[上班時間]])</f>
        <v>8.3126550868486346E-2</v>
      </c>
      <c r="O1242" s="31" t="str">
        <f>IF(交易處理資料__3[[#This Row],[上班時間]]=0,"否","是")</f>
        <v>是</v>
      </c>
    </row>
    <row r="1243" spans="1:15" hidden="1">
      <c r="A1243" s="10" t="s">
        <v>73</v>
      </c>
      <c r="B1243" t="s">
        <v>3</v>
      </c>
      <c r="C1243">
        <v>0.67</v>
      </c>
      <c r="D1243">
        <v>4.83</v>
      </c>
      <c r="E1243" s="27">
        <v>13.87163561</v>
      </c>
      <c r="F1243">
        <v>7.95</v>
      </c>
      <c r="G1243">
        <v>0.11</v>
      </c>
      <c r="H1243">
        <v>8.06</v>
      </c>
      <c r="I1243">
        <v>98.64</v>
      </c>
      <c r="J1243">
        <v>8.31</v>
      </c>
      <c r="K1243" s="9">
        <v>45324</v>
      </c>
      <c r="L1243">
        <f xml:space="preserve"> (交易處理資料__3[[#This Row],[售出工時]] * 60) / 5</f>
        <v>8.0400000000000009</v>
      </c>
      <c r="M1243" t="str">
        <f>VLOOKUP(交易處理資料__3[[#This Row],[人員代號]],團隊分組!$B$1:$C$52,2,FALSE)</f>
        <v>噴漆維修組</v>
      </c>
      <c r="N1243">
        <f>IF(交易處理資料__3[[#This Row],[上班時間]]=0,0,交易處理資料__3[[#This Row],[售出工時]]/交易處理資料__3[[#This Row],[上班時間]])</f>
        <v>8.3126550868486346E-2</v>
      </c>
      <c r="O1243" s="31" t="str">
        <f>IF(交易處理資料__3[[#This Row],[上班時間]]=0,"否","是")</f>
        <v>是</v>
      </c>
    </row>
    <row r="1244" spans="1:15" hidden="1">
      <c r="A1244" s="10" t="s">
        <v>73</v>
      </c>
      <c r="B1244" t="s">
        <v>4</v>
      </c>
      <c r="C1244">
        <v>2.99</v>
      </c>
      <c r="D1244">
        <v>6.22</v>
      </c>
      <c r="E1244" s="27">
        <v>48.070739549999999</v>
      </c>
      <c r="F1244">
        <v>7.1</v>
      </c>
      <c r="G1244">
        <v>0.91</v>
      </c>
      <c r="H1244">
        <v>8.01</v>
      </c>
      <c r="I1244">
        <v>88.64</v>
      </c>
      <c r="J1244">
        <v>37.33</v>
      </c>
      <c r="K1244" s="9">
        <v>45324</v>
      </c>
      <c r="L1244">
        <f xml:space="preserve"> (交易處理資料__3[[#This Row],[售出工時]] * 60) / 5</f>
        <v>35.880000000000003</v>
      </c>
      <c r="M1244" t="str">
        <f>VLOOKUP(交易處理資料__3[[#This Row],[人員代號]],團隊分組!$B$1:$C$52,2,FALSE)</f>
        <v>噴漆維修組</v>
      </c>
      <c r="N1244">
        <f>IF(交易處理資料__3[[#This Row],[上班時間]]=0,0,交易處理資料__3[[#This Row],[售出工時]]/交易處理資料__3[[#This Row],[上班時間]])</f>
        <v>0.37328339575530589</v>
      </c>
      <c r="O1244" s="31" t="str">
        <f>IF(交易處理資料__3[[#This Row],[上班時間]]=0,"否","是")</f>
        <v>是</v>
      </c>
    </row>
    <row r="1245" spans="1:15" hidden="1">
      <c r="A1245" s="10" t="s">
        <v>73</v>
      </c>
      <c r="B1245" t="s">
        <v>6</v>
      </c>
      <c r="C1245">
        <v>0.67</v>
      </c>
      <c r="D1245">
        <v>4.83</v>
      </c>
      <c r="E1245" s="27">
        <v>13.87163561</v>
      </c>
      <c r="F1245">
        <v>7.95</v>
      </c>
      <c r="G1245">
        <v>0.1</v>
      </c>
      <c r="H1245">
        <v>8.0500000000000007</v>
      </c>
      <c r="I1245">
        <v>98.76</v>
      </c>
      <c r="J1245">
        <v>8.32</v>
      </c>
      <c r="K1245" s="9">
        <v>45324</v>
      </c>
      <c r="L1245">
        <f xml:space="preserve"> (交易處理資料__3[[#This Row],[售出工時]] * 60) / 5</f>
        <v>8.0400000000000009</v>
      </c>
      <c r="M1245" t="str">
        <f>VLOOKUP(交易處理資料__3[[#This Row],[人員代號]],團隊分組!$B$1:$C$52,2,FALSE)</f>
        <v>噴漆維修組</v>
      </c>
      <c r="N1245">
        <f>IF(交易處理資料__3[[#This Row],[上班時間]]=0,0,交易處理資料__3[[#This Row],[售出工時]]/交易處理資料__3[[#This Row],[上班時間]])</f>
        <v>8.3229813664596267E-2</v>
      </c>
      <c r="O1245" s="31" t="str">
        <f>IF(交易處理資料__3[[#This Row],[上班時間]]=0,"否","是")</f>
        <v>是</v>
      </c>
    </row>
    <row r="1246" spans="1:15" hidden="1">
      <c r="A1246" s="10" t="s">
        <v>73</v>
      </c>
      <c r="B1246" t="s">
        <v>7</v>
      </c>
      <c r="C1246">
        <v>3.96</v>
      </c>
      <c r="D1246">
        <v>4.63</v>
      </c>
      <c r="E1246" s="27">
        <v>85.529157670000004</v>
      </c>
      <c r="F1246">
        <v>7.8</v>
      </c>
      <c r="G1246">
        <v>0.22</v>
      </c>
      <c r="H1246">
        <v>8.02</v>
      </c>
      <c r="I1246">
        <v>97.26</v>
      </c>
      <c r="J1246">
        <v>49.38</v>
      </c>
      <c r="K1246" s="9">
        <v>45324</v>
      </c>
      <c r="L1246">
        <f xml:space="preserve"> (交易處理資料__3[[#This Row],[售出工時]] * 60) / 5</f>
        <v>47.519999999999996</v>
      </c>
      <c r="M1246" t="str">
        <f>VLOOKUP(交易處理資料__3[[#This Row],[人員代號]],團隊分組!$B$1:$C$52,2,FALSE)</f>
        <v>噴漆維修組</v>
      </c>
      <c r="N1246">
        <f>IF(交易處理資料__3[[#This Row],[上班時間]]=0,0,交易處理資料__3[[#This Row],[售出工時]]/交易處理資料__3[[#This Row],[上班時間]])</f>
        <v>0.49376558603491272</v>
      </c>
      <c r="O1246" s="31" t="str">
        <f>IF(交易處理資料__3[[#This Row],[上班時間]]=0,"否","是")</f>
        <v>是</v>
      </c>
    </row>
    <row r="1247" spans="1:15" hidden="1">
      <c r="A1247" s="10" t="s">
        <v>73</v>
      </c>
      <c r="B1247" t="s">
        <v>8</v>
      </c>
      <c r="C1247">
        <v>0</v>
      </c>
      <c r="D1247">
        <v>0</v>
      </c>
      <c r="E1247" s="27">
        <v>0</v>
      </c>
      <c r="F1247">
        <v>7.08</v>
      </c>
      <c r="G1247">
        <v>0.92</v>
      </c>
      <c r="H1247">
        <v>8</v>
      </c>
      <c r="I1247">
        <v>88.5</v>
      </c>
      <c r="J1247">
        <v>0</v>
      </c>
      <c r="K1247" s="9">
        <v>45324</v>
      </c>
      <c r="L1247">
        <f xml:space="preserve"> (交易處理資料__3[[#This Row],[售出工時]] * 60) / 5</f>
        <v>0</v>
      </c>
      <c r="M1247" t="str">
        <f>VLOOKUP(交易處理資料__3[[#This Row],[人員代號]],團隊分組!$B$1:$C$52,2,FALSE)</f>
        <v>噴漆維修組</v>
      </c>
      <c r="N1247">
        <f>IF(交易處理資料__3[[#This Row],[上班時間]]=0,0,交易處理資料__3[[#This Row],[售出工時]]/交易處理資料__3[[#This Row],[上班時間]])</f>
        <v>0</v>
      </c>
      <c r="O1247" s="31" t="str">
        <f>IF(交易處理資料__3[[#This Row],[上班時間]]=0,"否","是")</f>
        <v>是</v>
      </c>
    </row>
    <row r="1248" spans="1:15" hidden="1">
      <c r="A1248" s="10" t="s">
        <v>73</v>
      </c>
      <c r="B1248" t="s">
        <v>9</v>
      </c>
      <c r="C1248">
        <v>3.01</v>
      </c>
      <c r="D1248">
        <v>6.27</v>
      </c>
      <c r="E1248" s="27">
        <v>48.006379590000002</v>
      </c>
      <c r="F1248">
        <v>7.28</v>
      </c>
      <c r="G1248">
        <v>0.91</v>
      </c>
      <c r="H1248">
        <v>8.19</v>
      </c>
      <c r="I1248">
        <v>88.89</v>
      </c>
      <c r="J1248">
        <v>36.75</v>
      </c>
      <c r="K1248" s="9">
        <v>45324</v>
      </c>
      <c r="L1248">
        <f xml:space="preserve"> (交易處理資料__3[[#This Row],[售出工時]] * 60) / 5</f>
        <v>36.119999999999997</v>
      </c>
      <c r="M1248" t="str">
        <f>VLOOKUP(交易處理資料__3[[#This Row],[人員代號]],團隊分組!$B$1:$C$52,2,FALSE)</f>
        <v>噴漆維修組</v>
      </c>
      <c r="N1248">
        <f>IF(交易處理資料__3[[#This Row],[上班時間]]=0,0,交易處理資料__3[[#This Row],[售出工時]]/交易處理資料__3[[#This Row],[上班時間]])</f>
        <v>0.36752136752136749</v>
      </c>
      <c r="O1248" s="31" t="str">
        <f>IF(交易處理資料__3[[#This Row],[上班時間]]=0,"否","是")</f>
        <v>是</v>
      </c>
    </row>
    <row r="1249" spans="1:15" hidden="1">
      <c r="A1249" t="s">
        <v>74</v>
      </c>
      <c r="B1249" t="s">
        <v>12</v>
      </c>
      <c r="C1249">
        <v>0</v>
      </c>
      <c r="D1249">
        <v>0</v>
      </c>
      <c r="E1249" s="27">
        <v>0</v>
      </c>
      <c r="F1249">
        <v>6.26</v>
      </c>
      <c r="G1249">
        <v>1.8</v>
      </c>
      <c r="H1249">
        <v>8.06</v>
      </c>
      <c r="I1249">
        <v>77.67</v>
      </c>
      <c r="J1249">
        <v>0</v>
      </c>
      <c r="K1249" s="9">
        <v>45324</v>
      </c>
      <c r="L1249">
        <f xml:space="preserve"> (交易處理資料__3[[#This Row],[售出工時]] * 60) / 5</f>
        <v>0</v>
      </c>
      <c r="M1249" t="str">
        <f>VLOOKUP(交易處理資料__3[[#This Row],[人員代號]],團隊分組!$B$1:$C$52,2,FALSE)</f>
        <v>鈑金維修組</v>
      </c>
      <c r="N1249">
        <f>IF(交易處理資料__3[[#This Row],[上班時間]]=0,0,交易處理資料__3[[#This Row],[售出工時]]/交易處理資料__3[[#This Row],[上班時間]])</f>
        <v>0</v>
      </c>
      <c r="O1249" s="31" t="str">
        <f>IF(交易處理資料__3[[#This Row],[上班時間]]=0,"否","是")</f>
        <v>是</v>
      </c>
    </row>
    <row r="1250" spans="1:15" hidden="1">
      <c r="A1250" t="s">
        <v>74</v>
      </c>
      <c r="B1250" t="s">
        <v>13</v>
      </c>
      <c r="C1250">
        <v>0</v>
      </c>
      <c r="D1250">
        <v>0</v>
      </c>
      <c r="E1250" s="27">
        <v>0</v>
      </c>
      <c r="F1250">
        <v>7.14</v>
      </c>
      <c r="G1250">
        <v>0.92</v>
      </c>
      <c r="H1250">
        <v>8.06</v>
      </c>
      <c r="I1250">
        <v>88.59</v>
      </c>
      <c r="J1250">
        <v>0</v>
      </c>
      <c r="K1250" s="9">
        <v>45324</v>
      </c>
      <c r="L1250">
        <f xml:space="preserve"> (交易處理資料__3[[#This Row],[售出工時]] * 60) / 5</f>
        <v>0</v>
      </c>
      <c r="M1250" t="str">
        <f>VLOOKUP(交易處理資料__3[[#This Row],[人員代號]],團隊分組!$B$1:$C$52,2,FALSE)</f>
        <v>鈑金維修組</v>
      </c>
      <c r="N1250">
        <f>IF(交易處理資料__3[[#This Row],[上班時間]]=0,0,交易處理資料__3[[#This Row],[售出工時]]/交易處理資料__3[[#This Row],[上班時間]])</f>
        <v>0</v>
      </c>
      <c r="O1250" s="31" t="str">
        <f>IF(交易處理資料__3[[#This Row],[上班時間]]=0,"否","是")</f>
        <v>是</v>
      </c>
    </row>
    <row r="1251" spans="1:15" hidden="1">
      <c r="A1251" t="s">
        <v>74</v>
      </c>
      <c r="B1251" t="s">
        <v>14</v>
      </c>
      <c r="C1251">
        <v>1.5</v>
      </c>
      <c r="D1251">
        <v>2.1</v>
      </c>
      <c r="E1251" s="27">
        <v>71.428571430000005</v>
      </c>
      <c r="F1251">
        <v>5.25</v>
      </c>
      <c r="G1251">
        <v>2.8</v>
      </c>
      <c r="H1251">
        <v>8.0500000000000007</v>
      </c>
      <c r="I1251">
        <v>65.22</v>
      </c>
      <c r="J1251">
        <v>18.63</v>
      </c>
      <c r="K1251" s="9">
        <v>45324</v>
      </c>
      <c r="L1251">
        <f xml:space="preserve"> (交易處理資料__3[[#This Row],[售出工時]] * 60) / 5</f>
        <v>18</v>
      </c>
      <c r="M1251" t="str">
        <f>VLOOKUP(交易處理資料__3[[#This Row],[人員代號]],團隊分組!$B$1:$C$52,2,FALSE)</f>
        <v>鈑金維修組</v>
      </c>
      <c r="N1251">
        <f>IF(交易處理資料__3[[#This Row],[上班時間]]=0,0,交易處理資料__3[[#This Row],[售出工時]]/交易處理資料__3[[#This Row],[上班時間]])</f>
        <v>0.18633540372670807</v>
      </c>
      <c r="O1251" s="31" t="str">
        <f>IF(交易處理資料__3[[#This Row],[上班時間]]=0,"否","是")</f>
        <v>是</v>
      </c>
    </row>
    <row r="1252" spans="1:15" hidden="1">
      <c r="A1252" t="s">
        <v>74</v>
      </c>
      <c r="B1252" t="s">
        <v>15</v>
      </c>
      <c r="C1252">
        <v>2</v>
      </c>
      <c r="D1252">
        <v>2.8</v>
      </c>
      <c r="E1252" s="27">
        <v>71.428571430000005</v>
      </c>
      <c r="F1252">
        <v>6.32</v>
      </c>
      <c r="G1252">
        <v>1.73</v>
      </c>
      <c r="H1252">
        <v>8.0500000000000007</v>
      </c>
      <c r="I1252">
        <v>78.510000000000005</v>
      </c>
      <c r="J1252">
        <v>24.84</v>
      </c>
      <c r="K1252" s="9">
        <v>45324</v>
      </c>
      <c r="L1252">
        <f xml:space="preserve"> (交易處理資料__3[[#This Row],[售出工時]] * 60) / 5</f>
        <v>24</v>
      </c>
      <c r="M1252" t="str">
        <f>VLOOKUP(交易處理資料__3[[#This Row],[人員代號]],團隊分組!$B$1:$C$52,2,FALSE)</f>
        <v>鈑金維修組</v>
      </c>
      <c r="N1252">
        <f>IF(交易處理資料__3[[#This Row],[上班時間]]=0,0,交易處理資料__3[[#This Row],[售出工時]]/交易處理資料__3[[#This Row],[上班時間]])</f>
        <v>0.24844720496894407</v>
      </c>
      <c r="O1252" s="31" t="str">
        <f>IF(交易處理資料__3[[#This Row],[上班時間]]=0,"否","是")</f>
        <v>是</v>
      </c>
    </row>
    <row r="1253" spans="1:15" hidden="1">
      <c r="A1253" t="s">
        <v>75</v>
      </c>
      <c r="B1253" t="s">
        <v>17</v>
      </c>
      <c r="C1253">
        <v>14.66666667</v>
      </c>
      <c r="D1253">
        <v>8.07</v>
      </c>
      <c r="E1253" s="27">
        <v>181.74308139999999</v>
      </c>
      <c r="F1253">
        <v>6.7</v>
      </c>
      <c r="G1253">
        <v>2.2599999999999998</v>
      </c>
      <c r="H1253">
        <v>8.9600000000000009</v>
      </c>
      <c r="I1253">
        <v>74.78</v>
      </c>
      <c r="J1253">
        <v>163.69</v>
      </c>
      <c r="K1253" s="9">
        <v>45324</v>
      </c>
      <c r="L1253">
        <f xml:space="preserve"> (交易處理資料__3[[#This Row],[售出工時]] * 60) / 5</f>
        <v>176.00000003999997</v>
      </c>
      <c r="M1253" t="str">
        <f>VLOOKUP(交易處理資料__3[[#This Row],[人員代號]],團隊分組!$B$1:$C$52,2,FALSE)</f>
        <v>快速保養團隊A</v>
      </c>
      <c r="N1253">
        <f>IF(交易處理資料__3[[#This Row],[上班時間]]=0,0,交易處理資料__3[[#This Row],[售出工時]]/交易處理資料__3[[#This Row],[上班時間]])</f>
        <v>1.6369047622767856</v>
      </c>
      <c r="O1253" s="31" t="str">
        <f>IF(交易處理資料__3[[#This Row],[上班時間]]=0,"否","是")</f>
        <v>是</v>
      </c>
    </row>
    <row r="1254" spans="1:15" hidden="1">
      <c r="A1254" t="s">
        <v>75</v>
      </c>
      <c r="B1254" t="s">
        <v>18</v>
      </c>
      <c r="C1254">
        <v>1.9166666670000001</v>
      </c>
      <c r="D1254">
        <v>5.86</v>
      </c>
      <c r="E1254" s="27">
        <v>32.707622299999997</v>
      </c>
      <c r="F1254">
        <v>7.79</v>
      </c>
      <c r="G1254">
        <v>0.19</v>
      </c>
      <c r="H1254">
        <v>7.98</v>
      </c>
      <c r="I1254">
        <v>97.62</v>
      </c>
      <c r="J1254">
        <v>24.02</v>
      </c>
      <c r="K1254" s="9">
        <v>45324</v>
      </c>
      <c r="L1254">
        <f xml:space="preserve"> (交易處理資料__3[[#This Row],[售出工時]] * 60) / 5</f>
        <v>23.000000004</v>
      </c>
      <c r="M1254" t="str">
        <f>VLOOKUP(交易處理資料__3[[#This Row],[人員代號]],團隊分組!$B$1:$C$52,2,FALSE)</f>
        <v>查修團隊B</v>
      </c>
      <c r="N1254">
        <f>IF(交易處理資料__3[[#This Row],[上班時間]]=0,0,交易處理資料__3[[#This Row],[售出工時]]/交易處理資料__3[[#This Row],[上班時間]])</f>
        <v>0.24018379285714286</v>
      </c>
      <c r="O1254" s="31" t="str">
        <f>IF(交易處理資料__3[[#This Row],[上班時間]]=0,"否","是")</f>
        <v>是</v>
      </c>
    </row>
    <row r="1255" spans="1:15" hidden="1">
      <c r="A1255" t="s">
        <v>75</v>
      </c>
      <c r="B1255" t="s">
        <v>19</v>
      </c>
      <c r="C1255">
        <v>6.1766666670000001</v>
      </c>
      <c r="D1255">
        <v>7.58</v>
      </c>
      <c r="E1255" s="27">
        <v>81.486367630000004</v>
      </c>
      <c r="F1255">
        <v>6.81</v>
      </c>
      <c r="G1255">
        <v>0.99</v>
      </c>
      <c r="H1255">
        <v>7.8</v>
      </c>
      <c r="I1255">
        <v>87.31</v>
      </c>
      <c r="J1255">
        <v>79.19</v>
      </c>
      <c r="K1255" s="9">
        <v>45324</v>
      </c>
      <c r="L1255">
        <f xml:space="preserve"> (交易處理資料__3[[#This Row],[售出工時]] * 60) / 5</f>
        <v>74.120000003999991</v>
      </c>
      <c r="M1255" t="str">
        <f>VLOOKUP(交易處理資料__3[[#This Row],[人員代號]],團隊分組!$B$1:$C$52,2,FALSE)</f>
        <v>查修團隊A</v>
      </c>
      <c r="N1255">
        <f>IF(交易處理資料__3[[#This Row],[上班時間]]=0,0,交易處理資料__3[[#This Row],[售出工時]]/交易處理資料__3[[#This Row],[上班時間]])</f>
        <v>0.79188034192307699</v>
      </c>
      <c r="O1255" s="31" t="str">
        <f>IF(交易處理資料__3[[#This Row],[上班時間]]=0,"否","是")</f>
        <v>是</v>
      </c>
    </row>
    <row r="1256" spans="1:15" hidden="1">
      <c r="A1256" t="s">
        <v>75</v>
      </c>
      <c r="B1256" t="s">
        <v>21</v>
      </c>
      <c r="C1256">
        <v>3.5</v>
      </c>
      <c r="D1256">
        <v>3.91</v>
      </c>
      <c r="E1256" s="27">
        <v>89.514066499999998</v>
      </c>
      <c r="F1256">
        <v>6.33</v>
      </c>
      <c r="G1256">
        <v>1.65</v>
      </c>
      <c r="H1256">
        <v>7.98</v>
      </c>
      <c r="I1256">
        <v>79.319999999999993</v>
      </c>
      <c r="J1256">
        <v>43.86</v>
      </c>
      <c r="K1256" s="9">
        <v>45324</v>
      </c>
      <c r="L1256">
        <f xml:space="preserve"> (交易處理資料__3[[#This Row],[售出工時]] * 60) / 5</f>
        <v>42</v>
      </c>
      <c r="M1256" t="str">
        <f>VLOOKUP(交易處理資料__3[[#This Row],[人員代號]],團隊分組!$B$1:$C$52,2,FALSE)</f>
        <v>查修團隊B</v>
      </c>
      <c r="N1256">
        <f>IF(交易處理資料__3[[#This Row],[上班時間]]=0,0,交易處理資料__3[[#This Row],[售出工時]]/交易處理資料__3[[#This Row],[上班時間]])</f>
        <v>0.43859649122807015</v>
      </c>
      <c r="O1256" s="31" t="str">
        <f>IF(交易處理資料__3[[#This Row],[上班時間]]=0,"否","是")</f>
        <v>是</v>
      </c>
    </row>
    <row r="1257" spans="1:15" hidden="1">
      <c r="A1257" t="s">
        <v>75</v>
      </c>
      <c r="B1257" t="s">
        <v>22</v>
      </c>
      <c r="C1257">
        <v>10.01</v>
      </c>
      <c r="D1257">
        <v>6.02</v>
      </c>
      <c r="E1257" s="27">
        <v>166.2790698</v>
      </c>
      <c r="F1257">
        <v>6.02</v>
      </c>
      <c r="G1257">
        <v>2.0299999999999998</v>
      </c>
      <c r="H1257">
        <v>8.0500000000000007</v>
      </c>
      <c r="I1257">
        <v>74.78</v>
      </c>
      <c r="J1257">
        <v>124.35</v>
      </c>
      <c r="K1257" s="9">
        <v>45324</v>
      </c>
      <c r="L1257">
        <f xml:space="preserve"> (交易處理資料__3[[#This Row],[售出工時]] * 60) / 5</f>
        <v>120.12</v>
      </c>
      <c r="M1257" t="str">
        <f>VLOOKUP(交易處理資料__3[[#This Row],[人員代號]],團隊分組!$B$1:$C$52,2,FALSE)</f>
        <v>快速保養團隊A</v>
      </c>
      <c r="N1257">
        <f>IF(交易處理資料__3[[#This Row],[上班時間]]=0,0,交易處理資料__3[[#This Row],[售出工時]]/交易處理資料__3[[#This Row],[上班時間]])</f>
        <v>1.2434782608695651</v>
      </c>
      <c r="O1257" s="31" t="str">
        <f>IF(交易處理資料__3[[#This Row],[上班時間]]=0,"否","是")</f>
        <v>是</v>
      </c>
    </row>
    <row r="1258" spans="1:15" hidden="1">
      <c r="A1258" t="s">
        <v>75</v>
      </c>
      <c r="B1258" t="s">
        <v>24</v>
      </c>
      <c r="C1258">
        <v>7.62</v>
      </c>
      <c r="D1258">
        <v>6.68</v>
      </c>
      <c r="E1258" s="27">
        <v>114.07185629999999</v>
      </c>
      <c r="F1258">
        <v>6.68</v>
      </c>
      <c r="G1258">
        <v>1.17</v>
      </c>
      <c r="H1258">
        <v>7.85</v>
      </c>
      <c r="I1258">
        <v>85.1</v>
      </c>
      <c r="J1258">
        <v>97.07</v>
      </c>
      <c r="K1258" s="9">
        <v>45324</v>
      </c>
      <c r="L1258">
        <f xml:space="preserve"> (交易處理資料__3[[#This Row],[售出工時]] * 60) / 5</f>
        <v>91.44</v>
      </c>
      <c r="M1258" t="str">
        <f>VLOOKUP(交易處理資料__3[[#This Row],[人員代號]],團隊分組!$B$1:$C$52,2,FALSE)</f>
        <v>快速保養團隊A</v>
      </c>
      <c r="N1258">
        <f>IF(交易處理資料__3[[#This Row],[上班時間]]=0,0,交易處理資料__3[[#This Row],[售出工時]]/交易處理資料__3[[#This Row],[上班時間]])</f>
        <v>0.97070063694267517</v>
      </c>
      <c r="O1258" s="31" t="str">
        <f>IF(交易處理資料__3[[#This Row],[上班時間]]=0,"否","是")</f>
        <v>是</v>
      </c>
    </row>
    <row r="1259" spans="1:15" hidden="1">
      <c r="A1259" t="s">
        <v>75</v>
      </c>
      <c r="B1259" t="s">
        <v>25</v>
      </c>
      <c r="C1259">
        <v>1.9166666670000001</v>
      </c>
      <c r="D1259">
        <v>4.41</v>
      </c>
      <c r="E1259" s="27">
        <v>43.461829180000002</v>
      </c>
      <c r="F1259">
        <v>7.21</v>
      </c>
      <c r="G1259">
        <v>0.57999999999999996</v>
      </c>
      <c r="H1259">
        <v>7.79</v>
      </c>
      <c r="I1259">
        <v>92.55</v>
      </c>
      <c r="J1259">
        <v>24.6</v>
      </c>
      <c r="K1259" s="9">
        <v>45324</v>
      </c>
      <c r="L1259">
        <f xml:space="preserve"> (交易處理資料__3[[#This Row],[售出工時]] * 60) / 5</f>
        <v>23.000000004</v>
      </c>
      <c r="M1259" t="str">
        <f>VLOOKUP(交易處理資料__3[[#This Row],[人員代號]],團隊分組!$B$1:$C$52,2,FALSE)</f>
        <v>查修團隊A</v>
      </c>
      <c r="N1259">
        <f>IF(交易處理資料__3[[#This Row],[上班時間]]=0,0,交易處理資料__3[[#This Row],[售出工時]]/交易處理資料__3[[#This Row],[上班時間]])</f>
        <v>0.24604193414634148</v>
      </c>
      <c r="O1259" s="31" t="str">
        <f>IF(交易處理資料__3[[#This Row],[上班時間]]=0,"否","是")</f>
        <v>是</v>
      </c>
    </row>
    <row r="1260" spans="1:15" hidden="1">
      <c r="A1260" t="s">
        <v>75</v>
      </c>
      <c r="B1260" t="s">
        <v>26</v>
      </c>
      <c r="C1260">
        <v>8.3333332999999996E-2</v>
      </c>
      <c r="D1260">
        <v>0.01</v>
      </c>
      <c r="E1260" s="27">
        <v>833.33333330000005</v>
      </c>
      <c r="F1260">
        <v>2.62</v>
      </c>
      <c r="G1260">
        <v>5.35</v>
      </c>
      <c r="H1260">
        <v>7.97</v>
      </c>
      <c r="I1260">
        <v>32.869999999999997</v>
      </c>
      <c r="J1260">
        <v>1.05</v>
      </c>
      <c r="K1260" s="9">
        <v>45324</v>
      </c>
      <c r="L1260">
        <f xml:space="preserve"> (交易處理資料__3[[#This Row],[售出工時]] * 60) / 5</f>
        <v>0.999999996</v>
      </c>
      <c r="M1260" t="str">
        <f>VLOOKUP(交易處理資料__3[[#This Row],[人員代號]],團隊分組!$B$1:$C$52,2,FALSE)</f>
        <v>查修團隊B</v>
      </c>
      <c r="N1260">
        <f>IF(交易處理資料__3[[#This Row],[上班時間]]=0,0,交易處理資料__3[[#This Row],[售出工時]]/交易處理資料__3[[#This Row],[上班時間]])</f>
        <v>1.0455876160602258E-2</v>
      </c>
      <c r="O1260" s="31" t="str">
        <f>IF(交易處理資料__3[[#This Row],[上班時間]]=0,"否","是")</f>
        <v>是</v>
      </c>
    </row>
    <row r="1261" spans="1:15" hidden="1">
      <c r="A1261" t="s">
        <v>75</v>
      </c>
      <c r="B1261" t="s">
        <v>29</v>
      </c>
      <c r="C1261">
        <v>0</v>
      </c>
      <c r="D1261">
        <v>0</v>
      </c>
      <c r="E1261" s="27">
        <v>0</v>
      </c>
      <c r="F1261">
        <v>7</v>
      </c>
      <c r="G1261">
        <v>0.94</v>
      </c>
      <c r="H1261">
        <v>7.94</v>
      </c>
      <c r="I1261">
        <v>88.16</v>
      </c>
      <c r="J1261">
        <v>0</v>
      </c>
      <c r="K1261" s="9">
        <v>45324</v>
      </c>
      <c r="L1261">
        <f xml:space="preserve"> (交易處理資料__3[[#This Row],[售出工時]] * 60) / 5</f>
        <v>0</v>
      </c>
      <c r="M1261" t="str">
        <f>VLOOKUP(交易處理資料__3[[#This Row],[人員代號]],團隊分組!$B$1:$C$52,2,FALSE)</f>
        <v>查修團隊B</v>
      </c>
      <c r="N1261">
        <f>IF(交易處理資料__3[[#This Row],[上班時間]]=0,0,交易處理資料__3[[#This Row],[售出工時]]/交易處理資料__3[[#This Row],[上班時間]])</f>
        <v>0</v>
      </c>
      <c r="O1261" s="31" t="str">
        <f>IF(交易處理資料__3[[#This Row],[上班時間]]=0,"否","是")</f>
        <v>是</v>
      </c>
    </row>
    <row r="1262" spans="1:15">
      <c r="A1262" t="s">
        <v>75</v>
      </c>
      <c r="B1262" t="s">
        <v>33</v>
      </c>
      <c r="C1262">
        <v>0</v>
      </c>
      <c r="D1262">
        <v>0</v>
      </c>
      <c r="E1262" s="27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 s="9">
        <v>45324</v>
      </c>
      <c r="L1262">
        <f xml:space="preserve"> (交易處理資料__3[[#This Row],[售出工時]] * 60) / 5</f>
        <v>0</v>
      </c>
      <c r="M1262" t="str">
        <f>VLOOKUP(交易處理資料__3[[#This Row],[人員代號]],團隊分組!$B$1:$C$52,2,FALSE)</f>
        <v>快速保養團隊B</v>
      </c>
      <c r="N1262">
        <f>IF(交易處理資料__3[[#This Row],[上班時間]]=0,0,交易處理資料__3[[#This Row],[售出工時]]/交易處理資料__3[[#This Row],[上班時間]])</f>
        <v>0</v>
      </c>
      <c r="O1262" s="31" t="str">
        <f>IF(交易處理資料__3[[#This Row],[上班時間]]=0,"否","是")</f>
        <v>否</v>
      </c>
    </row>
    <row r="1263" spans="1:15" hidden="1">
      <c r="A1263" t="s">
        <v>75</v>
      </c>
      <c r="B1263" t="s">
        <v>34</v>
      </c>
      <c r="C1263">
        <v>7.67</v>
      </c>
      <c r="D1263">
        <v>8.11</v>
      </c>
      <c r="E1263" s="27">
        <v>94.574599259999999</v>
      </c>
      <c r="F1263">
        <v>6.89</v>
      </c>
      <c r="G1263">
        <v>1.27</v>
      </c>
      <c r="H1263">
        <v>8.16</v>
      </c>
      <c r="I1263">
        <v>84.44</v>
      </c>
      <c r="J1263">
        <v>94</v>
      </c>
      <c r="K1263" s="9">
        <v>45324</v>
      </c>
      <c r="L1263">
        <f xml:space="preserve"> (交易處理資料__3[[#This Row],[售出工時]] * 60) / 5</f>
        <v>92.039999999999992</v>
      </c>
      <c r="M1263" t="str">
        <f>VLOOKUP(交易處理資料__3[[#This Row],[人員代號]],團隊分組!$B$1:$C$52,2,FALSE)</f>
        <v>快速保養團隊A</v>
      </c>
      <c r="N1263">
        <f>IF(交易處理資料__3[[#This Row],[上班時間]]=0,0,交易處理資料__3[[#This Row],[售出工時]]/交易處理資料__3[[#This Row],[上班時間]])</f>
        <v>0.93995098039215685</v>
      </c>
      <c r="O1263" s="31" t="str">
        <f>IF(交易處理資料__3[[#This Row],[上班時間]]=0,"否","是")</f>
        <v>是</v>
      </c>
    </row>
    <row r="1264" spans="1:15" hidden="1">
      <c r="A1264" t="s">
        <v>75</v>
      </c>
      <c r="B1264" t="s">
        <v>35</v>
      </c>
      <c r="C1264">
        <v>2.7266666669999999</v>
      </c>
      <c r="D1264">
        <v>2.36</v>
      </c>
      <c r="E1264" s="27">
        <v>115.5367232</v>
      </c>
      <c r="F1264">
        <v>7.4</v>
      </c>
      <c r="G1264">
        <v>2.59</v>
      </c>
      <c r="H1264">
        <v>9.99</v>
      </c>
      <c r="I1264">
        <v>74.069999999999993</v>
      </c>
      <c r="J1264">
        <v>27.29</v>
      </c>
      <c r="K1264" s="9">
        <v>45324</v>
      </c>
      <c r="L1264">
        <f xml:space="preserve"> (交易處理資料__3[[#This Row],[售出工時]] * 60) / 5</f>
        <v>32.720000003999999</v>
      </c>
      <c r="M1264" t="str">
        <f>VLOOKUP(交易處理資料__3[[#This Row],[人員代號]],團隊分組!$B$1:$C$52,2,FALSE)</f>
        <v>查修團隊B</v>
      </c>
      <c r="N1264">
        <f>IF(交易處理資料__3[[#This Row],[上班時間]]=0,0,交易處理資料__3[[#This Row],[售出工時]]/交易處理資料__3[[#This Row],[上班時間]])</f>
        <v>0.27293960630630631</v>
      </c>
      <c r="O1264" s="31" t="str">
        <f>IF(交易處理資料__3[[#This Row],[上班時間]]=0,"否","是")</f>
        <v>是</v>
      </c>
    </row>
    <row r="1265" spans="1:15" hidden="1">
      <c r="A1265" t="s">
        <v>75</v>
      </c>
      <c r="B1265" t="s">
        <v>36</v>
      </c>
      <c r="C1265">
        <v>3.47</v>
      </c>
      <c r="D1265">
        <v>4.16</v>
      </c>
      <c r="E1265" s="27">
        <v>83.41346154</v>
      </c>
      <c r="F1265">
        <v>6.05</v>
      </c>
      <c r="G1265">
        <v>4.16</v>
      </c>
      <c r="H1265">
        <v>10.210000000000001</v>
      </c>
      <c r="I1265">
        <v>59.26</v>
      </c>
      <c r="J1265">
        <v>33.99</v>
      </c>
      <c r="K1265" s="9">
        <v>45324</v>
      </c>
      <c r="L1265">
        <f xml:space="preserve"> (交易處理資料__3[[#This Row],[售出工時]] * 60) / 5</f>
        <v>41.64</v>
      </c>
      <c r="M1265" t="str">
        <f>VLOOKUP(交易處理資料__3[[#This Row],[人員代號]],團隊分組!$B$1:$C$52,2,FALSE)</f>
        <v>查修團隊B</v>
      </c>
      <c r="N1265">
        <f>IF(交易處理資料__3[[#This Row],[上班時間]]=0,0,交易處理資料__3[[#This Row],[售出工時]]/交易處理資料__3[[#This Row],[上班時間]])</f>
        <v>0.33986287952987265</v>
      </c>
      <c r="O1265" s="31" t="str">
        <f>IF(交易處理資料__3[[#This Row],[上班時間]]=0,"否","是")</f>
        <v>是</v>
      </c>
    </row>
    <row r="1266" spans="1:15" hidden="1">
      <c r="A1266" t="s">
        <v>75</v>
      </c>
      <c r="B1266" t="s">
        <v>38</v>
      </c>
      <c r="C1266">
        <v>14.08333333</v>
      </c>
      <c r="D1266">
        <v>7.98</v>
      </c>
      <c r="E1266" s="27">
        <v>176.48287389999999</v>
      </c>
      <c r="F1266">
        <v>6.83</v>
      </c>
      <c r="G1266">
        <v>1.37</v>
      </c>
      <c r="H1266">
        <v>8.1999999999999993</v>
      </c>
      <c r="I1266">
        <v>83.29</v>
      </c>
      <c r="J1266">
        <v>171.75</v>
      </c>
      <c r="K1266" s="9">
        <v>45324</v>
      </c>
      <c r="L1266">
        <f xml:space="preserve"> (交易處理資料__3[[#This Row],[售出工時]] * 60) / 5</f>
        <v>168.99999996000003</v>
      </c>
      <c r="M1266" t="str">
        <f>VLOOKUP(交易處理資料__3[[#This Row],[人員代號]],團隊分組!$B$1:$C$52,2,FALSE)</f>
        <v>快速保養團隊A</v>
      </c>
      <c r="N1266">
        <f>IF(交易處理資料__3[[#This Row],[上班時間]]=0,0,交易處理資料__3[[#This Row],[售出工時]]/交易處理資料__3[[#This Row],[上班時間]])</f>
        <v>1.7174796743902441</v>
      </c>
      <c r="O1266" s="31" t="str">
        <f>IF(交易處理資料__3[[#This Row],[上班時間]]=0,"否","是")</f>
        <v>是</v>
      </c>
    </row>
    <row r="1267" spans="1:15" hidden="1">
      <c r="A1267" t="s">
        <v>75</v>
      </c>
      <c r="B1267" t="s">
        <v>39</v>
      </c>
      <c r="C1267">
        <v>1.9166666670000001</v>
      </c>
      <c r="D1267">
        <v>2.69</v>
      </c>
      <c r="E1267" s="27">
        <v>71.25154895</v>
      </c>
      <c r="F1267">
        <v>4.54</v>
      </c>
      <c r="G1267">
        <v>3.29</v>
      </c>
      <c r="H1267">
        <v>7.83</v>
      </c>
      <c r="I1267">
        <v>57.98</v>
      </c>
      <c r="J1267">
        <v>24.48</v>
      </c>
      <c r="K1267" s="9">
        <v>45324</v>
      </c>
      <c r="L1267">
        <f xml:space="preserve"> (交易處理資料__3[[#This Row],[售出工時]] * 60) / 5</f>
        <v>23.000000004</v>
      </c>
      <c r="M1267" t="str">
        <f>VLOOKUP(交易處理資料__3[[#This Row],[人員代號]],團隊分組!$B$1:$C$52,2,FALSE)</f>
        <v>查修團隊A</v>
      </c>
      <c r="N1267">
        <f>IF(交易處理資料__3[[#This Row],[上班時間]]=0,0,交易處理資料__3[[#This Row],[售出工時]]/交易處理資料__3[[#This Row],[上班時間]])</f>
        <v>0.24478501494252874</v>
      </c>
      <c r="O1267" s="31" t="str">
        <f>IF(交易處理資料__3[[#This Row],[上班時間]]=0,"否","是")</f>
        <v>是</v>
      </c>
    </row>
    <row r="1268" spans="1:15" hidden="1">
      <c r="A1268" t="s">
        <v>75</v>
      </c>
      <c r="B1268" t="s">
        <v>42</v>
      </c>
      <c r="C1268">
        <v>7.8333333329999997</v>
      </c>
      <c r="D1268">
        <v>7.52</v>
      </c>
      <c r="E1268" s="27">
        <v>104.16666669999999</v>
      </c>
      <c r="F1268">
        <v>4.4400000000000004</v>
      </c>
      <c r="G1268">
        <v>3.73</v>
      </c>
      <c r="H1268">
        <v>8.17</v>
      </c>
      <c r="I1268">
        <v>54.35</v>
      </c>
      <c r="J1268">
        <v>95.88</v>
      </c>
      <c r="K1268" s="9">
        <v>45324</v>
      </c>
      <c r="L1268">
        <f xml:space="preserve"> (交易處理資料__3[[#This Row],[售出工時]] * 60) / 5</f>
        <v>93.999999996</v>
      </c>
      <c r="M1268" t="str">
        <f>VLOOKUP(交易處理資料__3[[#This Row],[人員代號]],團隊分組!$B$1:$C$52,2,FALSE)</f>
        <v>快速保養團隊A</v>
      </c>
      <c r="N1268">
        <f>IF(交易處理資料__3[[#This Row],[上班時間]]=0,0,交易處理資料__3[[#This Row],[售出工時]]/交易處理資料__3[[#This Row],[上班時間]])</f>
        <v>0.95879232962056304</v>
      </c>
      <c r="O1268" s="31" t="str">
        <f>IF(交易處理資料__3[[#This Row],[上班時間]]=0,"否","是")</f>
        <v>是</v>
      </c>
    </row>
    <row r="1269" spans="1:15" hidden="1">
      <c r="A1269" t="s">
        <v>75</v>
      </c>
      <c r="B1269" t="s">
        <v>43</v>
      </c>
      <c r="C1269">
        <v>3.6966666670000001</v>
      </c>
      <c r="D1269">
        <v>5.97</v>
      </c>
      <c r="E1269" s="27">
        <v>61.920714680000003</v>
      </c>
      <c r="F1269">
        <v>4.63</v>
      </c>
      <c r="G1269">
        <v>3.37</v>
      </c>
      <c r="H1269">
        <v>8</v>
      </c>
      <c r="I1269">
        <v>57.88</v>
      </c>
      <c r="J1269">
        <v>46.21</v>
      </c>
      <c r="K1269" s="9">
        <v>45324</v>
      </c>
      <c r="L1269">
        <f xml:space="preserve"> (交易處理資料__3[[#This Row],[售出工時]] * 60) / 5</f>
        <v>44.360000004</v>
      </c>
      <c r="M1269" t="str">
        <f>VLOOKUP(交易處理資料__3[[#This Row],[人員代號]],團隊分組!$B$1:$C$52,2,FALSE)</f>
        <v>查修團隊B</v>
      </c>
      <c r="N1269">
        <f>IF(交易處理資料__3[[#This Row],[上班時間]]=0,0,交易處理資料__3[[#This Row],[售出工時]]/交易處理資料__3[[#This Row],[上班時間]])</f>
        <v>0.46208333337500002</v>
      </c>
      <c r="O1269" s="31" t="str">
        <f>IF(交易處理資料__3[[#This Row],[上班時間]]=0,"否","是")</f>
        <v>是</v>
      </c>
    </row>
    <row r="1270" spans="1:15" hidden="1">
      <c r="A1270" t="s">
        <v>75</v>
      </c>
      <c r="B1270" t="s">
        <v>45</v>
      </c>
      <c r="C1270">
        <v>10.92333333</v>
      </c>
      <c r="D1270">
        <v>6.05</v>
      </c>
      <c r="E1270" s="27">
        <v>180.55096420000001</v>
      </c>
      <c r="F1270">
        <v>6.88</v>
      </c>
      <c r="G1270">
        <v>1.29</v>
      </c>
      <c r="H1270">
        <v>8.17</v>
      </c>
      <c r="I1270">
        <v>84.21</v>
      </c>
      <c r="J1270">
        <v>133.69999999999999</v>
      </c>
      <c r="K1270" s="9">
        <v>45324</v>
      </c>
      <c r="L1270">
        <f xml:space="preserve"> (交易處理資料__3[[#This Row],[售出工時]] * 60) / 5</f>
        <v>131.07999996000001</v>
      </c>
      <c r="M1270" t="str">
        <f>VLOOKUP(交易處理資料__3[[#This Row],[人員代號]],團隊分組!$B$1:$C$52,2,FALSE)</f>
        <v>快速保養團隊A</v>
      </c>
      <c r="N1270">
        <f>IF(交易處理資料__3[[#This Row],[上班時間]]=0,0,交易處理資料__3[[#This Row],[售出工時]]/交易處理資料__3[[#This Row],[上班時間]])</f>
        <v>1.3370053035495717</v>
      </c>
      <c r="O1270" s="31" t="str">
        <f>IF(交易處理資料__3[[#This Row],[上班時間]]=0,"否","是")</f>
        <v>是</v>
      </c>
    </row>
    <row r="1271" spans="1:15" hidden="1">
      <c r="A1271" t="s">
        <v>75</v>
      </c>
      <c r="B1271" t="s">
        <v>46</v>
      </c>
      <c r="C1271">
        <v>5</v>
      </c>
      <c r="D1271">
        <v>5.54</v>
      </c>
      <c r="E1271" s="27">
        <v>90.252707580000006</v>
      </c>
      <c r="F1271">
        <v>5.82</v>
      </c>
      <c r="G1271">
        <v>2.15</v>
      </c>
      <c r="H1271">
        <v>7.97</v>
      </c>
      <c r="I1271">
        <v>73.02</v>
      </c>
      <c r="J1271">
        <v>62.74</v>
      </c>
      <c r="K1271" s="9">
        <v>45324</v>
      </c>
      <c r="L1271">
        <f xml:space="preserve"> (交易處理資料__3[[#This Row],[售出工時]] * 60) / 5</f>
        <v>60</v>
      </c>
      <c r="M1271" t="str">
        <f>VLOOKUP(交易處理資料__3[[#This Row],[人員代號]],團隊分組!$B$1:$C$52,2,FALSE)</f>
        <v>查修團隊B</v>
      </c>
      <c r="N1271">
        <f>IF(交易處理資料__3[[#This Row],[上班時間]]=0,0,交易處理資料__3[[#This Row],[售出工時]]/交易處理資料__3[[#This Row],[上班時間]])</f>
        <v>0.62735257214554585</v>
      </c>
      <c r="O1271" s="31" t="str">
        <f>IF(交易處理資料__3[[#This Row],[上班時間]]=0,"否","是")</f>
        <v>是</v>
      </c>
    </row>
    <row r="1272" spans="1:15" hidden="1">
      <c r="A1272" t="s">
        <v>75</v>
      </c>
      <c r="B1272" t="s">
        <v>48</v>
      </c>
      <c r="C1272">
        <v>0</v>
      </c>
      <c r="D1272">
        <v>0</v>
      </c>
      <c r="E1272" s="27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 s="9">
        <v>45324</v>
      </c>
      <c r="L1272">
        <f xml:space="preserve"> (交易處理資料__3[[#This Row],[售出工時]] * 60) / 5</f>
        <v>0</v>
      </c>
      <c r="M1272" t="str">
        <f>VLOOKUP(交易處理資料__3[[#This Row],[人員代號]],團隊分組!$B$1:$C$52,2,FALSE)</f>
        <v>查修團隊A</v>
      </c>
      <c r="N1272">
        <f>IF(交易處理資料__3[[#This Row],[上班時間]]=0,0,交易處理資料__3[[#This Row],[售出工時]]/交易處理資料__3[[#This Row],[上班時間]])</f>
        <v>0</v>
      </c>
      <c r="O1272" s="31" t="str">
        <f>IF(交易處理資料__3[[#This Row],[上班時間]]=0,"否","是")</f>
        <v>否</v>
      </c>
    </row>
    <row r="1273" spans="1:15" hidden="1">
      <c r="A1273" t="s">
        <v>75</v>
      </c>
      <c r="B1273" t="s">
        <v>49</v>
      </c>
      <c r="C1273">
        <v>4.3</v>
      </c>
      <c r="D1273">
        <v>7</v>
      </c>
      <c r="E1273" s="27">
        <v>61.428571429999998</v>
      </c>
      <c r="F1273">
        <v>7.27</v>
      </c>
      <c r="G1273">
        <v>0.53</v>
      </c>
      <c r="H1273">
        <v>7.8</v>
      </c>
      <c r="I1273">
        <v>93.21</v>
      </c>
      <c r="J1273">
        <v>55.13</v>
      </c>
      <c r="K1273" s="9">
        <v>45324</v>
      </c>
      <c r="L1273">
        <f xml:space="preserve"> (交易處理資料__3[[#This Row],[售出工時]] * 60) / 5</f>
        <v>51.6</v>
      </c>
      <c r="M1273" t="str">
        <f>VLOOKUP(交易處理資料__3[[#This Row],[人員代號]],團隊分組!$B$1:$C$52,2,FALSE)</f>
        <v>查修團隊A</v>
      </c>
      <c r="N1273">
        <f>IF(交易處理資料__3[[#This Row],[上班時間]]=0,0,交易處理資料__3[[#This Row],[售出工時]]/交易處理資料__3[[#This Row],[上班時間]])</f>
        <v>0.55128205128205132</v>
      </c>
      <c r="O1273" s="31" t="str">
        <f>IF(交易處理資料__3[[#This Row],[上班時間]]=0,"否","是")</f>
        <v>是</v>
      </c>
    </row>
    <row r="1274" spans="1:15" hidden="1">
      <c r="A1274" t="s">
        <v>75</v>
      </c>
      <c r="B1274" t="s">
        <v>51</v>
      </c>
      <c r="C1274">
        <v>0</v>
      </c>
      <c r="D1274">
        <v>0</v>
      </c>
      <c r="E1274" s="27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 s="9">
        <v>45324</v>
      </c>
      <c r="L1274">
        <f xml:space="preserve"> (交易處理資料__3[[#This Row],[售出工時]] * 60) / 5</f>
        <v>0</v>
      </c>
      <c r="M1274" t="str">
        <f>VLOOKUP(交易處理資料__3[[#This Row],[人員代號]],團隊分組!$B$1:$C$52,2,FALSE)</f>
        <v>無效數據</v>
      </c>
      <c r="N1274">
        <f>IF(交易處理資料__3[[#This Row],[上班時間]]=0,0,交易處理資料__3[[#This Row],[售出工時]]/交易處理資料__3[[#This Row],[上班時間]])</f>
        <v>0</v>
      </c>
      <c r="O1274" s="31" t="str">
        <f>IF(交易處理資料__3[[#This Row],[上班時間]]=0,"否","是")</f>
        <v>否</v>
      </c>
    </row>
    <row r="1275" spans="1:15" hidden="1">
      <c r="A1275" t="s">
        <v>75</v>
      </c>
      <c r="B1275" t="s">
        <v>52</v>
      </c>
      <c r="C1275">
        <v>4.3333333329999997</v>
      </c>
      <c r="D1275">
        <v>7.92</v>
      </c>
      <c r="E1275" s="27">
        <v>54.713804709999998</v>
      </c>
      <c r="F1275">
        <v>7.9</v>
      </c>
      <c r="G1275">
        <v>0.4</v>
      </c>
      <c r="H1275">
        <v>8.3000000000000007</v>
      </c>
      <c r="I1275">
        <v>95.18</v>
      </c>
      <c r="J1275">
        <v>52.21</v>
      </c>
      <c r="K1275" s="9">
        <v>45324</v>
      </c>
      <c r="L1275">
        <f xml:space="preserve"> (交易處理資料__3[[#This Row],[售出工時]] * 60) / 5</f>
        <v>51.999999996</v>
      </c>
      <c r="M1275" t="str">
        <f>VLOOKUP(交易處理資料__3[[#This Row],[人員代號]],團隊分組!$B$1:$C$52,2,FALSE)</f>
        <v>查修團隊B</v>
      </c>
      <c r="N1275">
        <f>IF(交易處理資料__3[[#This Row],[上班時間]]=0,0,交易處理資料__3[[#This Row],[售出工時]]/交易處理資料__3[[#This Row],[上班時間]])</f>
        <v>0.52208835337349391</v>
      </c>
      <c r="O1275" s="31" t="str">
        <f>IF(交易處理資料__3[[#This Row],[上班時間]]=0,"否","是")</f>
        <v>是</v>
      </c>
    </row>
    <row r="1276" spans="1:15" hidden="1">
      <c r="A1276" s="10" t="s">
        <v>73</v>
      </c>
      <c r="B1276" t="s">
        <v>1</v>
      </c>
      <c r="C1276">
        <v>0</v>
      </c>
      <c r="D1276">
        <v>0</v>
      </c>
      <c r="E1276" s="27">
        <v>0</v>
      </c>
      <c r="F1276">
        <v>5.85</v>
      </c>
      <c r="G1276">
        <v>2.15</v>
      </c>
      <c r="H1276">
        <v>8</v>
      </c>
      <c r="I1276">
        <v>73.13</v>
      </c>
      <c r="J1276">
        <v>0</v>
      </c>
      <c r="K1276" s="9">
        <v>45325</v>
      </c>
      <c r="L1276">
        <f xml:space="preserve"> (交易處理資料__3[[#This Row],[售出工時]] * 60) / 5</f>
        <v>0</v>
      </c>
      <c r="M1276" t="str">
        <f>VLOOKUP(交易處理資料__3[[#This Row],[人員代號]],團隊分組!$B$1:$C$52,2,FALSE)</f>
        <v>噴漆維修組</v>
      </c>
      <c r="N1276">
        <f>IF(交易處理資料__3[[#This Row],[上班時間]]=0,0,交易處理資料__3[[#This Row],[售出工時]]/交易處理資料__3[[#This Row],[上班時間]])</f>
        <v>0</v>
      </c>
      <c r="O1276" s="31" t="str">
        <f>IF(交易處理資料__3[[#This Row],[上班時間]]=0,"否","是")</f>
        <v>是</v>
      </c>
    </row>
    <row r="1277" spans="1:15" hidden="1">
      <c r="A1277" s="10" t="s">
        <v>73</v>
      </c>
      <c r="B1277" t="s">
        <v>2</v>
      </c>
      <c r="C1277">
        <v>0</v>
      </c>
      <c r="D1277">
        <v>0</v>
      </c>
      <c r="E1277" s="2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 s="9">
        <v>45325</v>
      </c>
      <c r="L1277">
        <f xml:space="preserve"> (交易處理資料__3[[#This Row],[售出工時]] * 60) / 5</f>
        <v>0</v>
      </c>
      <c r="M1277" t="str">
        <f>VLOOKUP(交易處理資料__3[[#This Row],[人員代號]],團隊分組!$B$1:$C$52,2,FALSE)</f>
        <v>噴漆維修組</v>
      </c>
      <c r="N1277">
        <f>IF(交易處理資料__3[[#This Row],[上班時間]]=0,0,交易處理資料__3[[#This Row],[售出工時]]/交易處理資料__3[[#This Row],[上班時間]])</f>
        <v>0</v>
      </c>
      <c r="O1277" s="31" t="str">
        <f>IF(交易處理資料__3[[#This Row],[上班時間]]=0,"否","是")</f>
        <v>否</v>
      </c>
    </row>
    <row r="1278" spans="1:15" hidden="1">
      <c r="A1278" s="10" t="s">
        <v>73</v>
      </c>
      <c r="B1278" t="s">
        <v>3</v>
      </c>
      <c r="C1278">
        <v>0</v>
      </c>
      <c r="D1278">
        <v>0</v>
      </c>
      <c r="E1278" s="27">
        <v>0</v>
      </c>
      <c r="F1278">
        <v>7.52</v>
      </c>
      <c r="G1278">
        <v>0.47</v>
      </c>
      <c r="H1278">
        <v>7.99</v>
      </c>
      <c r="I1278">
        <v>94.12</v>
      </c>
      <c r="J1278">
        <v>0</v>
      </c>
      <c r="K1278" s="9">
        <v>45325</v>
      </c>
      <c r="L1278">
        <f xml:space="preserve"> (交易處理資料__3[[#This Row],[售出工時]] * 60) / 5</f>
        <v>0</v>
      </c>
      <c r="M1278" t="str">
        <f>VLOOKUP(交易處理資料__3[[#This Row],[人員代號]],團隊分組!$B$1:$C$52,2,FALSE)</f>
        <v>噴漆維修組</v>
      </c>
      <c r="N1278">
        <f>IF(交易處理資料__3[[#This Row],[上班時間]]=0,0,交易處理資料__3[[#This Row],[售出工時]]/交易處理資料__3[[#This Row],[上班時間]])</f>
        <v>0</v>
      </c>
      <c r="O1278" s="31" t="str">
        <f>IF(交易處理資料__3[[#This Row],[上班時間]]=0,"否","是")</f>
        <v>是</v>
      </c>
    </row>
    <row r="1279" spans="1:15" hidden="1">
      <c r="A1279" s="10" t="s">
        <v>73</v>
      </c>
      <c r="B1279" t="s">
        <v>4</v>
      </c>
      <c r="C1279">
        <v>0</v>
      </c>
      <c r="D1279">
        <v>0</v>
      </c>
      <c r="E1279" s="27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 s="9">
        <v>45325</v>
      </c>
      <c r="L1279">
        <f xml:space="preserve"> (交易處理資料__3[[#This Row],[售出工時]] * 60) / 5</f>
        <v>0</v>
      </c>
      <c r="M1279" t="str">
        <f>VLOOKUP(交易處理資料__3[[#This Row],[人員代號]],團隊分組!$B$1:$C$52,2,FALSE)</f>
        <v>噴漆維修組</v>
      </c>
      <c r="N1279">
        <f>IF(交易處理資料__3[[#This Row],[上班時間]]=0,0,交易處理資料__3[[#This Row],[售出工時]]/交易處理資料__3[[#This Row],[上班時間]])</f>
        <v>0</v>
      </c>
      <c r="O1279" s="31" t="str">
        <f>IF(交易處理資料__3[[#This Row],[上班時間]]=0,"否","是")</f>
        <v>否</v>
      </c>
    </row>
    <row r="1280" spans="1:15" hidden="1">
      <c r="A1280" s="10" t="s">
        <v>73</v>
      </c>
      <c r="B1280" t="s">
        <v>5</v>
      </c>
      <c r="C1280">
        <v>0</v>
      </c>
      <c r="D1280">
        <v>0</v>
      </c>
      <c r="E1280" s="27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 s="9">
        <v>45325</v>
      </c>
      <c r="L1280">
        <f xml:space="preserve"> (交易處理資料__3[[#This Row],[售出工時]] * 60) / 5</f>
        <v>0</v>
      </c>
      <c r="M1280" t="str">
        <f>VLOOKUP(交易處理資料__3[[#This Row],[人員代號]],團隊分組!$B$1:$C$52,2,FALSE)</f>
        <v>噴漆維修組</v>
      </c>
      <c r="N1280">
        <f>IF(交易處理資料__3[[#This Row],[上班時間]]=0,0,交易處理資料__3[[#This Row],[售出工時]]/交易處理資料__3[[#This Row],[上班時間]])</f>
        <v>0</v>
      </c>
      <c r="O1280" s="31" t="str">
        <f>IF(交易處理資料__3[[#This Row],[上班時間]]=0,"否","是")</f>
        <v>否</v>
      </c>
    </row>
    <row r="1281" spans="1:15" hidden="1">
      <c r="A1281" s="10" t="s">
        <v>73</v>
      </c>
      <c r="B1281" t="s">
        <v>6</v>
      </c>
      <c r="C1281">
        <v>0</v>
      </c>
      <c r="D1281">
        <v>0</v>
      </c>
      <c r="E1281" s="27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 s="9">
        <v>45325</v>
      </c>
      <c r="L1281">
        <f xml:space="preserve"> (交易處理資料__3[[#This Row],[售出工時]] * 60) / 5</f>
        <v>0</v>
      </c>
      <c r="M1281" t="str">
        <f>VLOOKUP(交易處理資料__3[[#This Row],[人員代號]],團隊分組!$B$1:$C$52,2,FALSE)</f>
        <v>噴漆維修組</v>
      </c>
      <c r="N1281">
        <f>IF(交易處理資料__3[[#This Row],[上班時間]]=0,0,交易處理資料__3[[#This Row],[售出工時]]/交易處理資料__3[[#This Row],[上班時間]])</f>
        <v>0</v>
      </c>
      <c r="O1281" s="31" t="str">
        <f>IF(交易處理資料__3[[#This Row],[上班時間]]=0,"否","是")</f>
        <v>否</v>
      </c>
    </row>
    <row r="1282" spans="1:15" hidden="1">
      <c r="A1282" s="10" t="s">
        <v>73</v>
      </c>
      <c r="B1282" t="s">
        <v>7</v>
      </c>
      <c r="C1282">
        <v>0</v>
      </c>
      <c r="D1282">
        <v>0</v>
      </c>
      <c r="E1282" s="27">
        <v>0</v>
      </c>
      <c r="F1282">
        <v>7.53</v>
      </c>
      <c r="G1282">
        <v>0.45</v>
      </c>
      <c r="H1282">
        <v>7.98</v>
      </c>
      <c r="I1282">
        <v>94.36</v>
      </c>
      <c r="J1282">
        <v>0</v>
      </c>
      <c r="K1282" s="9">
        <v>45325</v>
      </c>
      <c r="L1282">
        <f xml:space="preserve"> (交易處理資料__3[[#This Row],[售出工時]] * 60) / 5</f>
        <v>0</v>
      </c>
      <c r="M1282" t="str">
        <f>VLOOKUP(交易處理資料__3[[#This Row],[人員代號]],團隊分組!$B$1:$C$52,2,FALSE)</f>
        <v>噴漆維修組</v>
      </c>
      <c r="N1282">
        <f>IF(交易處理資料__3[[#This Row],[上班時間]]=0,0,交易處理資料__3[[#This Row],[售出工時]]/交易處理資料__3[[#This Row],[上班時間]])</f>
        <v>0</v>
      </c>
      <c r="O1282" s="31" t="str">
        <f>IF(交易處理資料__3[[#This Row],[上班時間]]=0,"否","是")</f>
        <v>是</v>
      </c>
    </row>
    <row r="1283" spans="1:15" hidden="1">
      <c r="A1283" s="10" t="s">
        <v>73</v>
      </c>
      <c r="B1283" t="s">
        <v>8</v>
      </c>
      <c r="C1283">
        <v>0</v>
      </c>
      <c r="D1283">
        <v>0</v>
      </c>
      <c r="E1283" s="27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 s="9">
        <v>45325</v>
      </c>
      <c r="L1283">
        <f xml:space="preserve"> (交易處理資料__3[[#This Row],[售出工時]] * 60) / 5</f>
        <v>0</v>
      </c>
      <c r="M1283" t="str">
        <f>VLOOKUP(交易處理資料__3[[#This Row],[人員代號]],團隊分組!$B$1:$C$52,2,FALSE)</f>
        <v>噴漆維修組</v>
      </c>
      <c r="N1283">
        <f>IF(交易處理資料__3[[#This Row],[上班時間]]=0,0,交易處理資料__3[[#This Row],[售出工時]]/交易處理資料__3[[#This Row],[上班時間]])</f>
        <v>0</v>
      </c>
      <c r="O1283" s="31" t="str">
        <f>IF(交易處理資料__3[[#This Row],[上班時間]]=0,"否","是")</f>
        <v>否</v>
      </c>
    </row>
    <row r="1284" spans="1:15" hidden="1">
      <c r="A1284" s="10" t="s">
        <v>73</v>
      </c>
      <c r="B1284" t="s">
        <v>9</v>
      </c>
      <c r="C1284">
        <v>0</v>
      </c>
      <c r="D1284">
        <v>0</v>
      </c>
      <c r="E1284" s="27">
        <v>0</v>
      </c>
      <c r="F1284">
        <v>5.89</v>
      </c>
      <c r="G1284">
        <v>2.15</v>
      </c>
      <c r="H1284">
        <v>8.0399999999999991</v>
      </c>
      <c r="I1284">
        <v>73.260000000000005</v>
      </c>
      <c r="J1284">
        <v>0</v>
      </c>
      <c r="K1284" s="9">
        <v>45325</v>
      </c>
      <c r="L1284">
        <f xml:space="preserve"> (交易處理資料__3[[#This Row],[售出工時]] * 60) / 5</f>
        <v>0</v>
      </c>
      <c r="M1284" t="str">
        <f>VLOOKUP(交易處理資料__3[[#This Row],[人員代號]],團隊分組!$B$1:$C$52,2,FALSE)</f>
        <v>噴漆維修組</v>
      </c>
      <c r="N1284">
        <f>IF(交易處理資料__3[[#This Row],[上班時間]]=0,0,交易處理資料__3[[#This Row],[售出工時]]/交易處理資料__3[[#This Row],[上班時間]])</f>
        <v>0</v>
      </c>
      <c r="O1284" s="31" t="str">
        <f>IF(交易處理資料__3[[#This Row],[上班時間]]=0,"否","是")</f>
        <v>是</v>
      </c>
    </row>
    <row r="1285" spans="1:15" hidden="1">
      <c r="A1285" t="s">
        <v>74</v>
      </c>
      <c r="B1285" t="s">
        <v>11</v>
      </c>
      <c r="C1285">
        <v>0</v>
      </c>
      <c r="D1285">
        <v>0</v>
      </c>
      <c r="E1285" s="27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 s="9">
        <v>45325</v>
      </c>
      <c r="L1285">
        <f xml:space="preserve"> (交易處理資料__3[[#This Row],[售出工時]] * 60) / 5</f>
        <v>0</v>
      </c>
      <c r="M1285" t="str">
        <f>VLOOKUP(交易處理資料__3[[#This Row],[人員代號]],團隊分組!$B$1:$C$52,2,FALSE)</f>
        <v>鈑金維修組</v>
      </c>
      <c r="N1285">
        <f>IF(交易處理資料__3[[#This Row],[上班時間]]=0,0,交易處理資料__3[[#This Row],[售出工時]]/交易處理資料__3[[#This Row],[上班時間]])</f>
        <v>0</v>
      </c>
      <c r="O1285" s="31" t="str">
        <f>IF(交易處理資料__3[[#This Row],[上班時間]]=0,"否","是")</f>
        <v>否</v>
      </c>
    </row>
    <row r="1286" spans="1:15" hidden="1">
      <c r="A1286" t="s">
        <v>74</v>
      </c>
      <c r="B1286" t="s">
        <v>12</v>
      </c>
      <c r="C1286">
        <v>0</v>
      </c>
      <c r="D1286">
        <v>0</v>
      </c>
      <c r="E1286" s="27">
        <v>0</v>
      </c>
      <c r="F1286">
        <v>3.99</v>
      </c>
      <c r="G1286">
        <v>4.09</v>
      </c>
      <c r="H1286">
        <v>8.08</v>
      </c>
      <c r="I1286">
        <v>49.38</v>
      </c>
      <c r="J1286">
        <v>0</v>
      </c>
      <c r="K1286" s="9">
        <v>45325</v>
      </c>
      <c r="L1286">
        <f xml:space="preserve"> (交易處理資料__3[[#This Row],[售出工時]] * 60) / 5</f>
        <v>0</v>
      </c>
      <c r="M1286" t="str">
        <f>VLOOKUP(交易處理資料__3[[#This Row],[人員代號]],團隊分組!$B$1:$C$52,2,FALSE)</f>
        <v>鈑金維修組</v>
      </c>
      <c r="N1286">
        <f>IF(交易處理資料__3[[#This Row],[上班時間]]=0,0,交易處理資料__3[[#This Row],[售出工時]]/交易處理資料__3[[#This Row],[上班時間]])</f>
        <v>0</v>
      </c>
      <c r="O1286" s="31" t="str">
        <f>IF(交易處理資料__3[[#This Row],[上班時間]]=0,"否","是")</f>
        <v>是</v>
      </c>
    </row>
    <row r="1287" spans="1:15" hidden="1">
      <c r="A1287" t="s">
        <v>74</v>
      </c>
      <c r="B1287" t="s">
        <v>13</v>
      </c>
      <c r="C1287">
        <v>0</v>
      </c>
      <c r="D1287">
        <v>0</v>
      </c>
      <c r="E1287" s="2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 s="9">
        <v>45325</v>
      </c>
      <c r="L1287">
        <f xml:space="preserve"> (交易處理資料__3[[#This Row],[售出工時]] * 60) / 5</f>
        <v>0</v>
      </c>
      <c r="M1287" t="str">
        <f>VLOOKUP(交易處理資料__3[[#This Row],[人員代號]],團隊分組!$B$1:$C$52,2,FALSE)</f>
        <v>鈑金維修組</v>
      </c>
      <c r="N1287">
        <f>IF(交易處理資料__3[[#This Row],[上班時間]]=0,0,交易處理資料__3[[#This Row],[售出工時]]/交易處理資料__3[[#This Row],[上班時間]])</f>
        <v>0</v>
      </c>
      <c r="O1287" s="31" t="str">
        <f>IF(交易處理資料__3[[#This Row],[上班時間]]=0,"否","是")</f>
        <v>否</v>
      </c>
    </row>
    <row r="1288" spans="1:15" hidden="1">
      <c r="A1288" t="s">
        <v>74</v>
      </c>
      <c r="B1288" t="s">
        <v>14</v>
      </c>
      <c r="C1288">
        <v>0</v>
      </c>
      <c r="D1288">
        <v>0</v>
      </c>
      <c r="E1288" s="27">
        <v>0</v>
      </c>
      <c r="F1288">
        <v>6.63</v>
      </c>
      <c r="G1288">
        <v>1.47</v>
      </c>
      <c r="H1288">
        <v>8.1</v>
      </c>
      <c r="I1288">
        <v>81.849999999999994</v>
      </c>
      <c r="J1288">
        <v>0</v>
      </c>
      <c r="K1288" s="9">
        <v>45325</v>
      </c>
      <c r="L1288">
        <f xml:space="preserve"> (交易處理資料__3[[#This Row],[售出工時]] * 60) / 5</f>
        <v>0</v>
      </c>
      <c r="M1288" t="str">
        <f>VLOOKUP(交易處理資料__3[[#This Row],[人員代號]],團隊分組!$B$1:$C$52,2,FALSE)</f>
        <v>鈑金維修組</v>
      </c>
      <c r="N1288">
        <f>IF(交易處理資料__3[[#This Row],[上班時間]]=0,0,交易處理資料__3[[#This Row],[售出工時]]/交易處理資料__3[[#This Row],[上班時間]])</f>
        <v>0</v>
      </c>
      <c r="O1288" s="31" t="str">
        <f>IF(交易處理資料__3[[#This Row],[上班時間]]=0,"否","是")</f>
        <v>是</v>
      </c>
    </row>
    <row r="1289" spans="1:15" hidden="1">
      <c r="A1289" t="s">
        <v>74</v>
      </c>
      <c r="B1289" t="s">
        <v>15</v>
      </c>
      <c r="C1289">
        <v>0</v>
      </c>
      <c r="D1289">
        <v>0</v>
      </c>
      <c r="E1289" s="27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 s="9">
        <v>45325</v>
      </c>
      <c r="L1289">
        <f xml:space="preserve"> (交易處理資料__3[[#This Row],[售出工時]] * 60) / 5</f>
        <v>0</v>
      </c>
      <c r="M1289" t="str">
        <f>VLOOKUP(交易處理資料__3[[#This Row],[人員代號]],團隊分組!$B$1:$C$52,2,FALSE)</f>
        <v>鈑金維修組</v>
      </c>
      <c r="N1289">
        <f>IF(交易處理資料__3[[#This Row],[上班時間]]=0,0,交易處理資料__3[[#This Row],[售出工時]]/交易處理資料__3[[#This Row],[上班時間]])</f>
        <v>0</v>
      </c>
      <c r="O1289" s="31" t="str">
        <f>IF(交易處理資料__3[[#This Row],[上班時間]]=0,"否","是")</f>
        <v>否</v>
      </c>
    </row>
    <row r="1290" spans="1:15" hidden="1">
      <c r="A1290" t="s">
        <v>75</v>
      </c>
      <c r="B1290" t="s">
        <v>18</v>
      </c>
      <c r="C1290">
        <v>0</v>
      </c>
      <c r="D1290">
        <v>0</v>
      </c>
      <c r="E1290" s="27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 s="9">
        <v>45325</v>
      </c>
      <c r="L1290">
        <f xml:space="preserve"> (交易處理資料__3[[#This Row],[售出工時]] * 60) / 5</f>
        <v>0</v>
      </c>
      <c r="M1290" t="str">
        <f>VLOOKUP(交易處理資料__3[[#This Row],[人員代號]],團隊分組!$B$1:$C$52,2,FALSE)</f>
        <v>查修團隊B</v>
      </c>
      <c r="N1290">
        <f>IF(交易處理資料__3[[#This Row],[上班時間]]=0,0,交易處理資料__3[[#This Row],[售出工時]]/交易處理資料__3[[#This Row],[上班時間]])</f>
        <v>0</v>
      </c>
      <c r="O1290" s="31" t="str">
        <f>IF(交易處理資料__3[[#This Row],[上班時間]]=0,"否","是")</f>
        <v>否</v>
      </c>
    </row>
    <row r="1291" spans="1:15" hidden="1">
      <c r="A1291" t="s">
        <v>75</v>
      </c>
      <c r="B1291" t="s">
        <v>19</v>
      </c>
      <c r="C1291">
        <v>0</v>
      </c>
      <c r="D1291">
        <v>0</v>
      </c>
      <c r="E1291" s="27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 s="9">
        <v>45325</v>
      </c>
      <c r="L1291">
        <f xml:space="preserve"> (交易處理資料__3[[#This Row],[售出工時]] * 60) / 5</f>
        <v>0</v>
      </c>
      <c r="M1291" t="str">
        <f>VLOOKUP(交易處理資料__3[[#This Row],[人員代號]],團隊分組!$B$1:$C$52,2,FALSE)</f>
        <v>查修團隊A</v>
      </c>
      <c r="N1291">
        <f>IF(交易處理資料__3[[#This Row],[上班時間]]=0,0,交易處理資料__3[[#This Row],[售出工時]]/交易處理資料__3[[#This Row],[上班時間]])</f>
        <v>0</v>
      </c>
      <c r="O1291" s="31" t="str">
        <f>IF(交易處理資料__3[[#This Row],[上班時間]]=0,"否","是")</f>
        <v>否</v>
      </c>
    </row>
    <row r="1292" spans="1:15" hidden="1">
      <c r="A1292" t="s">
        <v>75</v>
      </c>
      <c r="B1292" t="s">
        <v>20</v>
      </c>
      <c r="C1292">
        <v>0</v>
      </c>
      <c r="D1292">
        <v>0</v>
      </c>
      <c r="E1292" s="27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 s="9">
        <v>45325</v>
      </c>
      <c r="L1292">
        <f xml:space="preserve"> (交易處理資料__3[[#This Row],[售出工時]] * 60) / 5</f>
        <v>0</v>
      </c>
      <c r="M1292" t="str">
        <f>VLOOKUP(交易處理資料__3[[#This Row],[人員代號]],團隊分組!$B$1:$C$52,2,FALSE)</f>
        <v>查修團隊B</v>
      </c>
      <c r="N1292">
        <f>IF(交易處理資料__3[[#This Row],[上班時間]]=0,0,交易處理資料__3[[#This Row],[售出工時]]/交易處理資料__3[[#This Row],[上班時間]])</f>
        <v>0</v>
      </c>
      <c r="O1292" s="31" t="str">
        <f>IF(交易處理資料__3[[#This Row],[上班時間]]=0,"否","是")</f>
        <v>否</v>
      </c>
    </row>
    <row r="1293" spans="1:15" hidden="1">
      <c r="A1293" t="s">
        <v>75</v>
      </c>
      <c r="B1293" t="s">
        <v>21</v>
      </c>
      <c r="C1293">
        <v>3.21</v>
      </c>
      <c r="D1293">
        <v>2.41</v>
      </c>
      <c r="E1293" s="27">
        <v>133.19502069999999</v>
      </c>
      <c r="F1293">
        <v>5.59</v>
      </c>
      <c r="G1293">
        <v>2.4900000000000002</v>
      </c>
      <c r="H1293">
        <v>8.08</v>
      </c>
      <c r="I1293">
        <v>69.180000000000007</v>
      </c>
      <c r="J1293">
        <v>39.729999999999997</v>
      </c>
      <c r="K1293" s="9">
        <v>45325</v>
      </c>
      <c r="L1293">
        <f xml:space="preserve"> (交易處理資料__3[[#This Row],[售出工時]] * 60) / 5</f>
        <v>38.519999999999996</v>
      </c>
      <c r="M1293" t="str">
        <f>VLOOKUP(交易處理資料__3[[#This Row],[人員代號]],團隊分組!$B$1:$C$52,2,FALSE)</f>
        <v>查修團隊B</v>
      </c>
      <c r="N1293">
        <f>IF(交易處理資料__3[[#This Row],[上班時間]]=0,0,交易處理資料__3[[#This Row],[售出工時]]/交易處理資料__3[[#This Row],[上班時間]])</f>
        <v>0.3972772277227723</v>
      </c>
      <c r="O1293" s="31" t="str">
        <f>IF(交易處理資料__3[[#This Row],[上班時間]]=0,"否","是")</f>
        <v>是</v>
      </c>
    </row>
    <row r="1294" spans="1:15" hidden="1">
      <c r="A1294" t="s">
        <v>75</v>
      </c>
      <c r="B1294" t="s">
        <v>22</v>
      </c>
      <c r="C1294">
        <v>0</v>
      </c>
      <c r="D1294">
        <v>0</v>
      </c>
      <c r="E1294" s="27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 s="9">
        <v>45325</v>
      </c>
      <c r="L1294">
        <f xml:space="preserve"> (交易處理資料__3[[#This Row],[售出工時]] * 60) / 5</f>
        <v>0</v>
      </c>
      <c r="M1294" t="str">
        <f>VLOOKUP(交易處理資料__3[[#This Row],[人員代號]],團隊分組!$B$1:$C$52,2,FALSE)</f>
        <v>快速保養團隊A</v>
      </c>
      <c r="N1294">
        <f>IF(交易處理資料__3[[#This Row],[上班時間]]=0,0,交易處理資料__3[[#This Row],[售出工時]]/交易處理資料__3[[#This Row],[上班時間]])</f>
        <v>0</v>
      </c>
      <c r="O1294" s="31" t="str">
        <f>IF(交易處理資料__3[[#This Row],[上班時間]]=0,"否","是")</f>
        <v>否</v>
      </c>
    </row>
    <row r="1295" spans="1:15" hidden="1">
      <c r="A1295" t="s">
        <v>75</v>
      </c>
      <c r="B1295" t="s">
        <v>24</v>
      </c>
      <c r="C1295">
        <v>6.8333333329999997</v>
      </c>
      <c r="D1295">
        <v>2.91</v>
      </c>
      <c r="E1295" s="27">
        <v>234.82245130000001</v>
      </c>
      <c r="F1295">
        <v>6.28</v>
      </c>
      <c r="G1295">
        <v>1.49</v>
      </c>
      <c r="H1295">
        <v>7.77</v>
      </c>
      <c r="I1295">
        <v>80.819999999999993</v>
      </c>
      <c r="J1295">
        <v>87.95</v>
      </c>
      <c r="K1295" s="9">
        <v>45325</v>
      </c>
      <c r="L1295">
        <f xml:space="preserve"> (交易處理資料__3[[#This Row],[售出工時]] * 60) / 5</f>
        <v>81.999999996</v>
      </c>
      <c r="M1295" t="str">
        <f>VLOOKUP(交易處理資料__3[[#This Row],[人員代號]],團隊分組!$B$1:$C$52,2,FALSE)</f>
        <v>快速保養團隊A</v>
      </c>
      <c r="N1295">
        <f>IF(交易處理資料__3[[#This Row],[上班時間]]=0,0,交易處理資料__3[[#This Row],[售出工時]]/交易處理資料__3[[#This Row],[上班時間]])</f>
        <v>0.87945087940797939</v>
      </c>
      <c r="O1295" s="31" t="str">
        <f>IF(交易處理資料__3[[#This Row],[上班時間]]=0,"否","是")</f>
        <v>是</v>
      </c>
    </row>
    <row r="1296" spans="1:15" hidden="1">
      <c r="A1296" t="s">
        <v>75</v>
      </c>
      <c r="B1296" t="s">
        <v>25</v>
      </c>
      <c r="C1296">
        <v>0</v>
      </c>
      <c r="D1296">
        <v>0</v>
      </c>
      <c r="E1296" s="27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 s="9">
        <v>45325</v>
      </c>
      <c r="L1296">
        <f xml:space="preserve"> (交易處理資料__3[[#This Row],[售出工時]] * 60) / 5</f>
        <v>0</v>
      </c>
      <c r="M1296" t="str">
        <f>VLOOKUP(交易處理資料__3[[#This Row],[人員代號]],團隊分組!$B$1:$C$52,2,FALSE)</f>
        <v>查修團隊A</v>
      </c>
      <c r="N1296">
        <f>IF(交易處理資料__3[[#This Row],[上班時間]]=0,0,交易處理資料__3[[#This Row],[售出工時]]/交易處理資料__3[[#This Row],[上班時間]])</f>
        <v>0</v>
      </c>
      <c r="O1296" s="31" t="str">
        <f>IF(交易處理資料__3[[#This Row],[上班時間]]=0,"否","是")</f>
        <v>否</v>
      </c>
    </row>
    <row r="1297" spans="1:15" hidden="1">
      <c r="A1297" t="s">
        <v>75</v>
      </c>
      <c r="B1297" t="s">
        <v>26</v>
      </c>
      <c r="C1297">
        <v>4.2966666670000002</v>
      </c>
      <c r="D1297">
        <v>3.5</v>
      </c>
      <c r="E1297" s="27">
        <v>122.7619048</v>
      </c>
      <c r="F1297">
        <v>5.65</v>
      </c>
      <c r="G1297">
        <v>2.41</v>
      </c>
      <c r="H1297">
        <v>8.06</v>
      </c>
      <c r="I1297">
        <v>70.099999999999994</v>
      </c>
      <c r="J1297">
        <v>53.31</v>
      </c>
      <c r="K1297" s="9">
        <v>45325</v>
      </c>
      <c r="L1297">
        <f xml:space="preserve"> (交易處理資料__3[[#This Row],[售出工時]] * 60) / 5</f>
        <v>51.560000004000003</v>
      </c>
      <c r="M1297" t="str">
        <f>VLOOKUP(交易處理資料__3[[#This Row],[人員代號]],團隊分組!$B$1:$C$52,2,FALSE)</f>
        <v>查修團隊B</v>
      </c>
      <c r="N1297">
        <f>IF(交易處理資料__3[[#This Row],[上班時間]]=0,0,交易處理資料__3[[#This Row],[售出工時]]/交易處理資料__3[[#This Row],[上班時間]])</f>
        <v>0.53308519441687341</v>
      </c>
      <c r="O1297" s="31" t="str">
        <f>IF(交易處理資料__3[[#This Row],[上班時間]]=0,"否","是")</f>
        <v>是</v>
      </c>
    </row>
    <row r="1298" spans="1:15" hidden="1">
      <c r="A1298" t="s">
        <v>75</v>
      </c>
      <c r="B1298" t="s">
        <v>27</v>
      </c>
      <c r="C1298">
        <v>6.11</v>
      </c>
      <c r="D1298">
        <v>4.32</v>
      </c>
      <c r="E1298" s="27">
        <v>141.43518520000001</v>
      </c>
      <c r="F1298">
        <v>5.23</v>
      </c>
      <c r="G1298">
        <v>2.83</v>
      </c>
      <c r="H1298">
        <v>8.06</v>
      </c>
      <c r="I1298">
        <v>64.89</v>
      </c>
      <c r="J1298">
        <v>75.81</v>
      </c>
      <c r="K1298" s="9">
        <v>45325</v>
      </c>
      <c r="L1298">
        <f xml:space="preserve"> (交易處理資料__3[[#This Row],[售出工時]] * 60) / 5</f>
        <v>73.320000000000007</v>
      </c>
      <c r="M1298" t="str">
        <f>VLOOKUP(交易處理資料__3[[#This Row],[人員代號]],團隊分組!$B$1:$C$52,2,FALSE)</f>
        <v>快速保養團隊B</v>
      </c>
      <c r="N1298">
        <f>IF(交易處理資料__3[[#This Row],[上班時間]]=0,0,交易處理資料__3[[#This Row],[售出工時]]/交易處理資料__3[[#This Row],[上班時間]])</f>
        <v>0.75806451612903225</v>
      </c>
      <c r="O1298" s="31" t="str">
        <f>IF(交易處理資料__3[[#This Row],[上班時間]]=0,"否","是")</f>
        <v>是</v>
      </c>
    </row>
    <row r="1299" spans="1:15" hidden="1">
      <c r="A1299" t="s">
        <v>75</v>
      </c>
      <c r="B1299" t="s">
        <v>28</v>
      </c>
      <c r="C1299">
        <v>8.5833333330000006</v>
      </c>
      <c r="D1299">
        <v>4.91</v>
      </c>
      <c r="E1299" s="27">
        <v>174.8133062</v>
      </c>
      <c r="F1299">
        <v>5.96</v>
      </c>
      <c r="G1299">
        <v>2.11</v>
      </c>
      <c r="H1299">
        <v>8.07</v>
      </c>
      <c r="I1299">
        <v>73.849999999999994</v>
      </c>
      <c r="J1299">
        <v>106.36</v>
      </c>
      <c r="K1299" s="9">
        <v>45325</v>
      </c>
      <c r="L1299">
        <f xml:space="preserve"> (交易處理資料__3[[#This Row],[售出工時]] * 60) / 5</f>
        <v>102.999999996</v>
      </c>
      <c r="M1299" t="str">
        <f>VLOOKUP(交易處理資料__3[[#This Row],[人員代號]],團隊分組!$B$1:$C$52,2,FALSE)</f>
        <v>快速保養團隊A</v>
      </c>
      <c r="N1299">
        <f>IF(交易處理資料__3[[#This Row],[上班時間]]=0,0,交易處理資料__3[[#This Row],[售出工時]]/交易處理資料__3[[#This Row],[上班時間]])</f>
        <v>1.0636100784386617</v>
      </c>
      <c r="O1299" s="31" t="str">
        <f>IF(交易處理資料__3[[#This Row],[上班時間]]=0,"否","是")</f>
        <v>是</v>
      </c>
    </row>
    <row r="1300" spans="1:15" hidden="1">
      <c r="A1300" t="s">
        <v>75</v>
      </c>
      <c r="B1300" t="s">
        <v>29</v>
      </c>
      <c r="C1300">
        <v>2.5</v>
      </c>
      <c r="D1300">
        <v>3.4</v>
      </c>
      <c r="E1300" s="27">
        <v>73.529411760000002</v>
      </c>
      <c r="F1300">
        <v>8.92</v>
      </c>
      <c r="G1300">
        <v>0.13</v>
      </c>
      <c r="H1300">
        <v>9.0500000000000007</v>
      </c>
      <c r="I1300">
        <v>98.56</v>
      </c>
      <c r="J1300">
        <v>27.62</v>
      </c>
      <c r="K1300" s="9">
        <v>45325</v>
      </c>
      <c r="L1300">
        <f xml:space="preserve"> (交易處理資料__3[[#This Row],[售出工時]] * 60) / 5</f>
        <v>30</v>
      </c>
      <c r="M1300" t="str">
        <f>VLOOKUP(交易處理資料__3[[#This Row],[人員代號]],團隊分組!$B$1:$C$52,2,FALSE)</f>
        <v>查修團隊B</v>
      </c>
      <c r="N1300">
        <f>IF(交易處理資料__3[[#This Row],[上班時間]]=0,0,交易處理資料__3[[#This Row],[售出工時]]/交易處理資料__3[[#This Row],[上班時間]])</f>
        <v>0.27624309392265189</v>
      </c>
      <c r="O1300" s="31" t="str">
        <f>IF(交易處理資料__3[[#This Row],[上班時間]]=0,"否","是")</f>
        <v>是</v>
      </c>
    </row>
    <row r="1301" spans="1:15" hidden="1">
      <c r="A1301" t="s">
        <v>75</v>
      </c>
      <c r="B1301" t="s">
        <v>30</v>
      </c>
      <c r="C1301">
        <v>6.54</v>
      </c>
      <c r="D1301">
        <v>4.13</v>
      </c>
      <c r="E1301" s="27">
        <v>158.3535109</v>
      </c>
      <c r="F1301">
        <v>5.67</v>
      </c>
      <c r="G1301">
        <v>2.4</v>
      </c>
      <c r="H1301">
        <v>8.07</v>
      </c>
      <c r="I1301">
        <v>70.260000000000005</v>
      </c>
      <c r="J1301">
        <v>81.040000000000006</v>
      </c>
      <c r="K1301" s="9">
        <v>45325</v>
      </c>
      <c r="L1301">
        <f xml:space="preserve"> (交易處理資料__3[[#This Row],[售出工時]] * 60) / 5</f>
        <v>78.47999999999999</v>
      </c>
      <c r="M1301" t="str">
        <f>VLOOKUP(交易處理資料__3[[#This Row],[人員代號]],團隊分組!$B$1:$C$52,2,FALSE)</f>
        <v>快速保養團隊B</v>
      </c>
      <c r="N1301">
        <f>IF(交易處理資料__3[[#This Row],[上班時間]]=0,0,交易處理資料__3[[#This Row],[售出工時]]/交易處理資料__3[[#This Row],[上班時間]])</f>
        <v>0.81040892193308545</v>
      </c>
      <c r="O1301" s="31" t="str">
        <f>IF(交易處理資料__3[[#This Row],[上班時間]]=0,"否","是")</f>
        <v>是</v>
      </c>
    </row>
    <row r="1302" spans="1:15">
      <c r="A1302" t="s">
        <v>75</v>
      </c>
      <c r="B1302" t="s">
        <v>33</v>
      </c>
      <c r="C1302">
        <v>0</v>
      </c>
      <c r="D1302">
        <v>0</v>
      </c>
      <c r="E1302" s="27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 s="9">
        <v>45325</v>
      </c>
      <c r="L1302">
        <f xml:space="preserve"> (交易處理資料__3[[#This Row],[售出工時]] * 60) / 5</f>
        <v>0</v>
      </c>
      <c r="M1302" t="str">
        <f>VLOOKUP(交易處理資料__3[[#This Row],[人員代號]],團隊分組!$B$1:$C$52,2,FALSE)</f>
        <v>快速保養團隊B</v>
      </c>
      <c r="N1302">
        <f>IF(交易處理資料__3[[#This Row],[上班時間]]=0,0,交易處理資料__3[[#This Row],[售出工時]]/交易處理資料__3[[#This Row],[上班時間]])</f>
        <v>0</v>
      </c>
      <c r="O1302" s="31" t="str">
        <f>IF(交易處理資料__3[[#This Row],[上班時間]]=0,"否","是")</f>
        <v>否</v>
      </c>
    </row>
    <row r="1303" spans="1:15" hidden="1">
      <c r="A1303" t="s">
        <v>75</v>
      </c>
      <c r="B1303" t="s">
        <v>34</v>
      </c>
      <c r="C1303">
        <v>8.7200000000000006</v>
      </c>
      <c r="D1303">
        <v>6.16</v>
      </c>
      <c r="E1303" s="27">
        <v>141.55844160000001</v>
      </c>
      <c r="F1303">
        <v>6.23</v>
      </c>
      <c r="G1303">
        <v>1.84</v>
      </c>
      <c r="H1303">
        <v>8.07</v>
      </c>
      <c r="I1303">
        <v>77.2</v>
      </c>
      <c r="J1303">
        <v>108.05</v>
      </c>
      <c r="K1303" s="9">
        <v>45325</v>
      </c>
      <c r="L1303">
        <f xml:space="preserve"> (交易處理資料__3[[#This Row],[售出工時]] * 60) / 5</f>
        <v>104.64000000000001</v>
      </c>
      <c r="M1303" t="str">
        <f>VLOOKUP(交易處理資料__3[[#This Row],[人員代號]],團隊分組!$B$1:$C$52,2,FALSE)</f>
        <v>快速保養團隊A</v>
      </c>
      <c r="N1303">
        <f>IF(交易處理資料__3[[#This Row],[上班時間]]=0,0,交易處理資料__3[[#This Row],[售出工時]]/交易處理資料__3[[#This Row],[上班時間]])</f>
        <v>1.080545229244114</v>
      </c>
      <c r="O1303" s="31" t="str">
        <f>IF(交易處理資料__3[[#This Row],[上班時間]]=0,"否","是")</f>
        <v>是</v>
      </c>
    </row>
    <row r="1304" spans="1:15" hidden="1">
      <c r="A1304" t="s">
        <v>75</v>
      </c>
      <c r="B1304" t="s">
        <v>35</v>
      </c>
      <c r="C1304">
        <v>0</v>
      </c>
      <c r="D1304">
        <v>0</v>
      </c>
      <c r="E1304" s="27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 s="9">
        <v>45325</v>
      </c>
      <c r="L1304">
        <f xml:space="preserve"> (交易處理資料__3[[#This Row],[售出工時]] * 60) / 5</f>
        <v>0</v>
      </c>
      <c r="M1304" t="str">
        <f>VLOOKUP(交易處理資料__3[[#This Row],[人員代號]],團隊分組!$B$1:$C$52,2,FALSE)</f>
        <v>查修團隊B</v>
      </c>
      <c r="N1304">
        <f>IF(交易處理資料__3[[#This Row],[上班時間]]=0,0,交易處理資料__3[[#This Row],[售出工時]]/交易處理資料__3[[#This Row],[上班時間]])</f>
        <v>0</v>
      </c>
      <c r="O1304" s="31" t="str">
        <f>IF(交易處理資料__3[[#This Row],[上班時間]]=0,"否","是")</f>
        <v>否</v>
      </c>
    </row>
    <row r="1305" spans="1:15" hidden="1">
      <c r="A1305" t="s">
        <v>75</v>
      </c>
      <c r="B1305" t="s">
        <v>37</v>
      </c>
      <c r="C1305">
        <v>0</v>
      </c>
      <c r="D1305">
        <v>0</v>
      </c>
      <c r="E1305" s="27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 s="9">
        <v>45325</v>
      </c>
      <c r="L1305">
        <f xml:space="preserve"> (交易處理資料__3[[#This Row],[售出工時]] * 60) / 5</f>
        <v>0</v>
      </c>
      <c r="M1305" t="str">
        <f>VLOOKUP(交易處理資料__3[[#This Row],[人員代號]],團隊分組!$B$1:$C$52,2,FALSE)</f>
        <v>查修團隊A</v>
      </c>
      <c r="N1305">
        <f>IF(交易處理資料__3[[#This Row],[上班時間]]=0,0,交易處理資料__3[[#This Row],[售出工時]]/交易處理資料__3[[#This Row],[上班時間]])</f>
        <v>0</v>
      </c>
      <c r="O1305" s="31" t="str">
        <f>IF(交易處理資料__3[[#This Row],[上班時間]]=0,"否","是")</f>
        <v>否</v>
      </c>
    </row>
    <row r="1306" spans="1:15" hidden="1">
      <c r="A1306" t="s">
        <v>75</v>
      </c>
      <c r="B1306" t="s">
        <v>38</v>
      </c>
      <c r="C1306">
        <v>0</v>
      </c>
      <c r="D1306">
        <v>0</v>
      </c>
      <c r="E1306" s="27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 s="9">
        <v>45325</v>
      </c>
      <c r="L1306">
        <f xml:space="preserve"> (交易處理資料__3[[#This Row],[售出工時]] * 60) / 5</f>
        <v>0</v>
      </c>
      <c r="M1306" t="str">
        <f>VLOOKUP(交易處理資料__3[[#This Row],[人員代號]],團隊分組!$B$1:$C$52,2,FALSE)</f>
        <v>快速保養團隊A</v>
      </c>
      <c r="N1306">
        <f>IF(交易處理資料__3[[#This Row],[上班時間]]=0,0,交易處理資料__3[[#This Row],[售出工時]]/交易處理資料__3[[#This Row],[上班時間]])</f>
        <v>0</v>
      </c>
      <c r="O1306" s="31" t="str">
        <f>IF(交易處理資料__3[[#This Row],[上班時間]]=0,"否","是")</f>
        <v>否</v>
      </c>
    </row>
    <row r="1307" spans="1:15" hidden="1">
      <c r="A1307" t="s">
        <v>75</v>
      </c>
      <c r="B1307" t="s">
        <v>39</v>
      </c>
      <c r="C1307">
        <v>0</v>
      </c>
      <c r="D1307">
        <v>0</v>
      </c>
      <c r="E1307" s="27">
        <v>0</v>
      </c>
      <c r="F1307">
        <v>7.06</v>
      </c>
      <c r="G1307">
        <v>1.03</v>
      </c>
      <c r="H1307">
        <v>8.09</v>
      </c>
      <c r="I1307">
        <v>87.27</v>
      </c>
      <c r="J1307">
        <v>0</v>
      </c>
      <c r="K1307" s="9">
        <v>45325</v>
      </c>
      <c r="L1307">
        <f xml:space="preserve"> (交易處理資料__3[[#This Row],[售出工時]] * 60) / 5</f>
        <v>0</v>
      </c>
      <c r="M1307" t="str">
        <f>VLOOKUP(交易處理資料__3[[#This Row],[人員代號]],團隊分組!$B$1:$C$52,2,FALSE)</f>
        <v>查修團隊A</v>
      </c>
      <c r="N1307">
        <f>IF(交易處理資料__3[[#This Row],[上班時間]]=0,0,交易處理資料__3[[#This Row],[售出工時]]/交易處理資料__3[[#This Row],[上班時間]])</f>
        <v>0</v>
      </c>
      <c r="O1307" s="31" t="str">
        <f>IF(交易處理資料__3[[#This Row],[上班時間]]=0,"否","是")</f>
        <v>是</v>
      </c>
    </row>
    <row r="1308" spans="1:15" hidden="1">
      <c r="A1308" t="s">
        <v>75</v>
      </c>
      <c r="B1308" t="s">
        <v>40</v>
      </c>
      <c r="C1308">
        <v>0</v>
      </c>
      <c r="D1308">
        <v>0</v>
      </c>
      <c r="E1308" s="27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 s="9">
        <v>45325</v>
      </c>
      <c r="L1308">
        <f xml:space="preserve"> (交易處理資料__3[[#This Row],[售出工時]] * 60) / 5</f>
        <v>0</v>
      </c>
      <c r="M1308" t="str">
        <f>VLOOKUP(交易處理資料__3[[#This Row],[人員代號]],團隊分組!$B$1:$C$52,2,FALSE)</f>
        <v>查修團隊A</v>
      </c>
      <c r="N1308">
        <f>IF(交易處理資料__3[[#This Row],[上班時間]]=0,0,交易處理資料__3[[#This Row],[售出工時]]/交易處理資料__3[[#This Row],[上班時間]])</f>
        <v>0</v>
      </c>
      <c r="O1308" s="31" t="str">
        <f>IF(交易處理資料__3[[#This Row],[上班時間]]=0,"否","是")</f>
        <v>否</v>
      </c>
    </row>
    <row r="1309" spans="1:15" hidden="1">
      <c r="A1309" t="s">
        <v>75</v>
      </c>
      <c r="B1309" t="s">
        <v>44</v>
      </c>
      <c r="C1309">
        <v>0</v>
      </c>
      <c r="D1309">
        <v>0</v>
      </c>
      <c r="E1309" s="27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 s="9">
        <v>45325</v>
      </c>
      <c r="L1309">
        <f xml:space="preserve"> (交易處理資料__3[[#This Row],[售出工時]] * 60) / 5</f>
        <v>0</v>
      </c>
      <c r="M1309" t="str">
        <f>VLOOKUP(交易處理資料__3[[#This Row],[人員代號]],團隊分組!$B$1:$C$52,2,FALSE)</f>
        <v>快速保養團隊B</v>
      </c>
      <c r="N1309">
        <f>IF(交易處理資料__3[[#This Row],[上班時間]]=0,0,交易處理資料__3[[#This Row],[售出工時]]/交易處理資料__3[[#This Row],[上班時間]])</f>
        <v>0</v>
      </c>
      <c r="O1309" s="31" t="str">
        <f>IF(交易處理資料__3[[#This Row],[上班時間]]=0,"否","是")</f>
        <v>否</v>
      </c>
    </row>
    <row r="1310" spans="1:15" hidden="1">
      <c r="A1310" t="s">
        <v>75</v>
      </c>
      <c r="B1310" t="s">
        <v>46</v>
      </c>
      <c r="C1310">
        <v>5.9166666670000003</v>
      </c>
      <c r="D1310">
        <v>3</v>
      </c>
      <c r="E1310" s="27">
        <v>197.2222222</v>
      </c>
      <c r="F1310">
        <v>5.2</v>
      </c>
      <c r="G1310">
        <v>2.87</v>
      </c>
      <c r="H1310">
        <v>8.07</v>
      </c>
      <c r="I1310">
        <v>64.44</v>
      </c>
      <c r="J1310">
        <v>73.319999999999993</v>
      </c>
      <c r="K1310" s="9">
        <v>45325</v>
      </c>
      <c r="L1310">
        <f xml:space="preserve"> (交易處理資料__3[[#This Row],[售出工時]] * 60) / 5</f>
        <v>71.000000004</v>
      </c>
      <c r="M1310" t="str">
        <f>VLOOKUP(交易處理資料__3[[#This Row],[人員代號]],團隊分組!$B$1:$C$52,2,FALSE)</f>
        <v>查修團隊B</v>
      </c>
      <c r="N1310">
        <f>IF(交易處理資料__3[[#This Row],[上班時間]]=0,0,交易處理資料__3[[#This Row],[售出工時]]/交易處理資料__3[[#This Row],[上班時間]])</f>
        <v>0.73316811239157376</v>
      </c>
      <c r="O1310" s="31" t="str">
        <f>IF(交易處理資料__3[[#This Row],[上班時間]]=0,"否","是")</f>
        <v>是</v>
      </c>
    </row>
    <row r="1311" spans="1:15" hidden="1">
      <c r="A1311" t="s">
        <v>75</v>
      </c>
      <c r="B1311" t="s">
        <v>47</v>
      </c>
      <c r="C1311">
        <v>0</v>
      </c>
      <c r="D1311">
        <v>0</v>
      </c>
      <c r="E1311" s="27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 s="9">
        <v>45325</v>
      </c>
      <c r="L1311">
        <f xml:space="preserve"> (交易處理資料__3[[#This Row],[售出工時]] * 60) / 5</f>
        <v>0</v>
      </c>
      <c r="M1311" t="str">
        <f>VLOOKUP(交易處理資料__3[[#This Row],[人員代號]],團隊分組!$B$1:$C$52,2,FALSE)</f>
        <v>查修團隊B</v>
      </c>
      <c r="N1311">
        <f>IF(交易處理資料__3[[#This Row],[上班時間]]=0,0,交易處理資料__3[[#This Row],[售出工時]]/交易處理資料__3[[#This Row],[上班時間]])</f>
        <v>0</v>
      </c>
      <c r="O1311" s="31" t="str">
        <f>IF(交易處理資料__3[[#This Row],[上班時間]]=0,"否","是")</f>
        <v>否</v>
      </c>
    </row>
    <row r="1312" spans="1:15" hidden="1">
      <c r="A1312" t="s">
        <v>75</v>
      </c>
      <c r="B1312" t="s">
        <v>48</v>
      </c>
      <c r="C1312">
        <v>2.8333333330000001</v>
      </c>
      <c r="D1312">
        <v>3.33</v>
      </c>
      <c r="E1312" s="27">
        <v>85.085085090000007</v>
      </c>
      <c r="F1312">
        <v>3.33</v>
      </c>
      <c r="G1312">
        <v>4.74</v>
      </c>
      <c r="H1312">
        <v>8.07</v>
      </c>
      <c r="I1312">
        <v>41.26</v>
      </c>
      <c r="J1312">
        <v>35.11</v>
      </c>
      <c r="K1312" s="9">
        <v>45325</v>
      </c>
      <c r="L1312">
        <f xml:space="preserve"> (交易處理資料__3[[#This Row],[售出工時]] * 60) / 5</f>
        <v>33.999999996</v>
      </c>
      <c r="M1312" t="str">
        <f>VLOOKUP(交易處理資料__3[[#This Row],[人員代號]],團隊分組!$B$1:$C$52,2,FALSE)</f>
        <v>查修團隊A</v>
      </c>
      <c r="N1312">
        <f>IF(交易處理資料__3[[#This Row],[上班時間]]=0,0,交易處理資料__3[[#This Row],[售出工時]]/交易處理資料__3[[#This Row],[上班時間]])</f>
        <v>0.35109458897149937</v>
      </c>
      <c r="O1312" s="31" t="str">
        <f>IF(交易處理資料__3[[#This Row],[上班時間]]=0,"否","是")</f>
        <v>是</v>
      </c>
    </row>
    <row r="1313" spans="1:15" hidden="1">
      <c r="A1313" t="s">
        <v>75</v>
      </c>
      <c r="B1313" t="s">
        <v>49</v>
      </c>
      <c r="C1313">
        <v>0</v>
      </c>
      <c r="D1313">
        <v>0</v>
      </c>
      <c r="E1313" s="27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 s="9">
        <v>45325</v>
      </c>
      <c r="L1313">
        <f xml:space="preserve"> (交易處理資料__3[[#This Row],[售出工時]] * 60) / 5</f>
        <v>0</v>
      </c>
      <c r="M1313" t="str">
        <f>VLOOKUP(交易處理資料__3[[#This Row],[人員代號]],團隊分組!$B$1:$C$52,2,FALSE)</f>
        <v>查修團隊A</v>
      </c>
      <c r="N1313">
        <f>IF(交易處理資料__3[[#This Row],[上班時間]]=0,0,交易處理資料__3[[#This Row],[售出工時]]/交易處理資料__3[[#This Row],[上班時間]])</f>
        <v>0</v>
      </c>
      <c r="O1313" s="31" t="str">
        <f>IF(交易處理資料__3[[#This Row],[上班時間]]=0,"否","是")</f>
        <v>否</v>
      </c>
    </row>
    <row r="1314" spans="1:15" hidden="1">
      <c r="A1314" t="s">
        <v>75</v>
      </c>
      <c r="B1314" t="s">
        <v>50</v>
      </c>
      <c r="C1314">
        <v>13.41666667</v>
      </c>
      <c r="D1314">
        <v>6.1</v>
      </c>
      <c r="E1314" s="27">
        <v>219.94535519999999</v>
      </c>
      <c r="F1314">
        <v>6.1</v>
      </c>
      <c r="G1314">
        <v>1.98</v>
      </c>
      <c r="H1314">
        <v>8.08</v>
      </c>
      <c r="I1314">
        <v>75.5</v>
      </c>
      <c r="J1314">
        <v>166.05</v>
      </c>
      <c r="K1314" s="9">
        <v>45325</v>
      </c>
      <c r="L1314">
        <f xml:space="preserve"> (交易處理資料__3[[#This Row],[售出工時]] * 60) / 5</f>
        <v>161.00000003999997</v>
      </c>
      <c r="M1314" t="str">
        <f>VLOOKUP(交易處理資料__3[[#This Row],[人員代號]],團隊分組!$B$1:$C$52,2,FALSE)</f>
        <v>快速保養團隊B</v>
      </c>
      <c r="N1314">
        <f>IF(交易處理資料__3[[#This Row],[上班時間]]=0,0,交易處理資料__3[[#This Row],[售出工時]]/交易處理資料__3[[#This Row],[上班時間]])</f>
        <v>1.6604785482673268</v>
      </c>
      <c r="O1314" s="31" t="str">
        <f>IF(交易處理資料__3[[#This Row],[上班時間]]=0,"否","是")</f>
        <v>是</v>
      </c>
    </row>
    <row r="1315" spans="1:15" hidden="1">
      <c r="A1315" t="s">
        <v>75</v>
      </c>
      <c r="B1315" t="s">
        <v>51</v>
      </c>
      <c r="C1315">
        <v>0</v>
      </c>
      <c r="D1315">
        <v>0</v>
      </c>
      <c r="E1315" s="27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 s="9">
        <v>45325</v>
      </c>
      <c r="L1315">
        <f xml:space="preserve"> (交易處理資料__3[[#This Row],[售出工時]] * 60) / 5</f>
        <v>0</v>
      </c>
      <c r="M1315" t="str">
        <f>VLOOKUP(交易處理資料__3[[#This Row],[人員代號]],團隊分組!$B$1:$C$52,2,FALSE)</f>
        <v>無效數據</v>
      </c>
      <c r="N1315">
        <f>IF(交易處理資料__3[[#This Row],[上班時間]]=0,0,交易處理資料__3[[#This Row],[售出工時]]/交易處理資料__3[[#This Row],[上班時間]])</f>
        <v>0</v>
      </c>
      <c r="O1315" s="31" t="str">
        <f>IF(交易處理資料__3[[#This Row],[上班時間]]=0,"否","是")</f>
        <v>否</v>
      </c>
    </row>
    <row r="1316" spans="1:15" hidden="1">
      <c r="A1316" t="s">
        <v>75</v>
      </c>
      <c r="B1316" t="s">
        <v>52</v>
      </c>
      <c r="C1316">
        <v>3.2966666670000002</v>
      </c>
      <c r="D1316">
        <v>2.5</v>
      </c>
      <c r="E1316" s="27">
        <v>131.8666667</v>
      </c>
      <c r="F1316">
        <v>5.71</v>
      </c>
      <c r="G1316">
        <v>2.36</v>
      </c>
      <c r="H1316">
        <v>8.07</v>
      </c>
      <c r="I1316">
        <v>70.760000000000005</v>
      </c>
      <c r="J1316">
        <v>40.85</v>
      </c>
      <c r="K1316" s="9">
        <v>45325</v>
      </c>
      <c r="L1316">
        <f xml:space="preserve"> (交易處理資料__3[[#This Row],[售出工時]] * 60) / 5</f>
        <v>39.560000004000003</v>
      </c>
      <c r="M1316" t="str">
        <f>VLOOKUP(交易處理資料__3[[#This Row],[人員代號]],團隊分組!$B$1:$C$52,2,FALSE)</f>
        <v>查修團隊B</v>
      </c>
      <c r="N1316">
        <f>IF(交易處理資料__3[[#This Row],[上班時間]]=0,0,交易處理資料__3[[#This Row],[售出工時]]/交易處理資料__3[[#This Row],[上班時間]])</f>
        <v>0.40850888066914498</v>
      </c>
      <c r="O1316" s="31" t="str">
        <f>IF(交易處理資料__3[[#This Row],[上班時間]]=0,"否","是")</f>
        <v>是</v>
      </c>
    </row>
    <row r="1317" spans="1:15" hidden="1">
      <c r="A1317" t="s">
        <v>75</v>
      </c>
      <c r="B1317" t="s">
        <v>53</v>
      </c>
      <c r="C1317">
        <v>0</v>
      </c>
      <c r="D1317">
        <v>0</v>
      </c>
      <c r="E1317" s="27">
        <v>0</v>
      </c>
      <c r="F1317">
        <v>7.68</v>
      </c>
      <c r="G1317">
        <v>0.28000000000000003</v>
      </c>
      <c r="H1317">
        <v>7.96</v>
      </c>
      <c r="I1317">
        <v>96.48</v>
      </c>
      <c r="J1317">
        <v>0</v>
      </c>
      <c r="K1317" s="9">
        <v>45325</v>
      </c>
      <c r="L1317">
        <f xml:space="preserve"> (交易處理資料__3[[#This Row],[售出工時]] * 60) / 5</f>
        <v>0</v>
      </c>
      <c r="M1317" t="str">
        <f>VLOOKUP(交易處理資料__3[[#This Row],[人員代號]],團隊分組!$B$1:$C$52,2,FALSE)</f>
        <v>查修團隊A</v>
      </c>
      <c r="N1317">
        <f>IF(交易處理資料__3[[#This Row],[上班時間]]=0,0,交易處理資料__3[[#This Row],[售出工時]]/交易處理資料__3[[#This Row],[上班時間]])</f>
        <v>0</v>
      </c>
      <c r="O1317" s="31" t="str">
        <f>IF(交易處理資料__3[[#This Row],[上班時間]]=0,"否","是")</f>
        <v>是</v>
      </c>
    </row>
    <row r="1318" spans="1:15" hidden="1">
      <c r="A1318" s="10" t="s">
        <v>73</v>
      </c>
      <c r="B1318" t="s">
        <v>1</v>
      </c>
      <c r="C1318">
        <v>0</v>
      </c>
      <c r="D1318">
        <v>0</v>
      </c>
      <c r="E1318" s="27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 s="9">
        <v>45326</v>
      </c>
      <c r="L1318">
        <f xml:space="preserve"> (交易處理資料__3[[#This Row],[售出工時]] * 60) / 5</f>
        <v>0</v>
      </c>
      <c r="M1318" t="str">
        <f>VLOOKUP(交易處理資料__3[[#This Row],[人員代號]],團隊分組!$B$1:$C$52,2,FALSE)</f>
        <v>噴漆維修組</v>
      </c>
      <c r="N1318">
        <f>IF(交易處理資料__3[[#This Row],[上班時間]]=0,0,交易處理資料__3[[#This Row],[售出工時]]/交易處理資料__3[[#This Row],[上班時間]])</f>
        <v>0</v>
      </c>
      <c r="O1318" s="31" t="str">
        <f>IF(交易處理資料__3[[#This Row],[上班時間]]=0,"否","是")</f>
        <v>否</v>
      </c>
    </row>
    <row r="1319" spans="1:15" hidden="1">
      <c r="A1319" s="10" t="s">
        <v>73</v>
      </c>
      <c r="B1319" t="s">
        <v>2</v>
      </c>
      <c r="C1319">
        <v>0</v>
      </c>
      <c r="D1319">
        <v>0</v>
      </c>
      <c r="E1319" s="27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 s="9">
        <v>45326</v>
      </c>
      <c r="L1319">
        <f xml:space="preserve"> (交易處理資料__3[[#This Row],[售出工時]] * 60) / 5</f>
        <v>0</v>
      </c>
      <c r="M1319" t="str">
        <f>VLOOKUP(交易處理資料__3[[#This Row],[人員代號]],團隊分組!$B$1:$C$52,2,FALSE)</f>
        <v>噴漆維修組</v>
      </c>
      <c r="N1319">
        <f>IF(交易處理資料__3[[#This Row],[上班時間]]=0,0,交易處理資料__3[[#This Row],[售出工時]]/交易處理資料__3[[#This Row],[上班時間]])</f>
        <v>0</v>
      </c>
      <c r="O1319" s="31" t="str">
        <f>IF(交易處理資料__3[[#This Row],[上班時間]]=0,"否","是")</f>
        <v>否</v>
      </c>
    </row>
    <row r="1320" spans="1:15" hidden="1">
      <c r="A1320" s="10" t="s">
        <v>73</v>
      </c>
      <c r="B1320" t="s">
        <v>3</v>
      </c>
      <c r="C1320">
        <v>0</v>
      </c>
      <c r="D1320">
        <v>0</v>
      </c>
      <c r="E1320" s="27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 s="9">
        <v>45326</v>
      </c>
      <c r="L1320">
        <f xml:space="preserve"> (交易處理資料__3[[#This Row],[售出工時]] * 60) / 5</f>
        <v>0</v>
      </c>
      <c r="M1320" t="str">
        <f>VLOOKUP(交易處理資料__3[[#This Row],[人員代號]],團隊分組!$B$1:$C$52,2,FALSE)</f>
        <v>噴漆維修組</v>
      </c>
      <c r="N1320">
        <f>IF(交易處理資料__3[[#This Row],[上班時間]]=0,0,交易處理資料__3[[#This Row],[售出工時]]/交易處理資料__3[[#This Row],[上班時間]])</f>
        <v>0</v>
      </c>
      <c r="O1320" s="31" t="str">
        <f>IF(交易處理資料__3[[#This Row],[上班時間]]=0,"否","是")</f>
        <v>否</v>
      </c>
    </row>
    <row r="1321" spans="1:15" hidden="1">
      <c r="A1321" s="10" t="s">
        <v>73</v>
      </c>
      <c r="B1321" t="s">
        <v>4</v>
      </c>
      <c r="C1321">
        <v>0</v>
      </c>
      <c r="D1321">
        <v>0</v>
      </c>
      <c r="E1321" s="27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 s="9">
        <v>45326</v>
      </c>
      <c r="L1321">
        <f xml:space="preserve"> (交易處理資料__3[[#This Row],[售出工時]] * 60) / 5</f>
        <v>0</v>
      </c>
      <c r="M1321" t="str">
        <f>VLOOKUP(交易處理資料__3[[#This Row],[人員代號]],團隊分組!$B$1:$C$52,2,FALSE)</f>
        <v>噴漆維修組</v>
      </c>
      <c r="N1321">
        <f>IF(交易處理資料__3[[#This Row],[上班時間]]=0,0,交易處理資料__3[[#This Row],[售出工時]]/交易處理資料__3[[#This Row],[上班時間]])</f>
        <v>0</v>
      </c>
      <c r="O1321" s="31" t="str">
        <f>IF(交易處理資料__3[[#This Row],[上班時間]]=0,"否","是")</f>
        <v>否</v>
      </c>
    </row>
    <row r="1322" spans="1:15" hidden="1">
      <c r="A1322" s="10" t="s">
        <v>73</v>
      </c>
      <c r="B1322" t="s">
        <v>5</v>
      </c>
      <c r="C1322">
        <v>0</v>
      </c>
      <c r="D1322">
        <v>0</v>
      </c>
      <c r="E1322" s="27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 s="9">
        <v>45326</v>
      </c>
      <c r="L1322">
        <f xml:space="preserve"> (交易處理資料__3[[#This Row],[售出工時]] * 60) / 5</f>
        <v>0</v>
      </c>
      <c r="M1322" t="str">
        <f>VLOOKUP(交易處理資料__3[[#This Row],[人員代號]],團隊分組!$B$1:$C$52,2,FALSE)</f>
        <v>噴漆維修組</v>
      </c>
      <c r="N1322">
        <f>IF(交易處理資料__3[[#This Row],[上班時間]]=0,0,交易處理資料__3[[#This Row],[售出工時]]/交易處理資料__3[[#This Row],[上班時間]])</f>
        <v>0</v>
      </c>
      <c r="O1322" s="31" t="str">
        <f>IF(交易處理資料__3[[#This Row],[上班時間]]=0,"否","是")</f>
        <v>否</v>
      </c>
    </row>
    <row r="1323" spans="1:15" hidden="1">
      <c r="A1323" s="10" t="s">
        <v>73</v>
      </c>
      <c r="B1323" t="s">
        <v>6</v>
      </c>
      <c r="C1323">
        <v>0</v>
      </c>
      <c r="D1323">
        <v>0</v>
      </c>
      <c r="E1323" s="27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 s="9">
        <v>45326</v>
      </c>
      <c r="L1323">
        <f xml:space="preserve"> (交易處理資料__3[[#This Row],[售出工時]] * 60) / 5</f>
        <v>0</v>
      </c>
      <c r="M1323" t="str">
        <f>VLOOKUP(交易處理資料__3[[#This Row],[人員代號]],團隊分組!$B$1:$C$52,2,FALSE)</f>
        <v>噴漆維修組</v>
      </c>
      <c r="N1323">
        <f>IF(交易處理資料__3[[#This Row],[上班時間]]=0,0,交易處理資料__3[[#This Row],[售出工時]]/交易處理資料__3[[#This Row],[上班時間]])</f>
        <v>0</v>
      </c>
      <c r="O1323" s="31" t="str">
        <f>IF(交易處理資料__3[[#This Row],[上班時間]]=0,"否","是")</f>
        <v>否</v>
      </c>
    </row>
    <row r="1324" spans="1:15" hidden="1">
      <c r="A1324" s="10" t="s">
        <v>73</v>
      </c>
      <c r="B1324" t="s">
        <v>7</v>
      </c>
      <c r="C1324">
        <v>0</v>
      </c>
      <c r="D1324">
        <v>0</v>
      </c>
      <c r="E1324" s="27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 s="9">
        <v>45326</v>
      </c>
      <c r="L1324">
        <f xml:space="preserve"> (交易處理資料__3[[#This Row],[售出工時]] * 60) / 5</f>
        <v>0</v>
      </c>
      <c r="M1324" t="str">
        <f>VLOOKUP(交易處理資料__3[[#This Row],[人員代號]],團隊分組!$B$1:$C$52,2,FALSE)</f>
        <v>噴漆維修組</v>
      </c>
      <c r="N1324">
        <f>IF(交易處理資料__3[[#This Row],[上班時間]]=0,0,交易處理資料__3[[#This Row],[售出工時]]/交易處理資料__3[[#This Row],[上班時間]])</f>
        <v>0</v>
      </c>
      <c r="O1324" s="31" t="str">
        <f>IF(交易處理資料__3[[#This Row],[上班時間]]=0,"否","是")</f>
        <v>否</v>
      </c>
    </row>
    <row r="1325" spans="1:15" hidden="1">
      <c r="A1325" s="10" t="s">
        <v>73</v>
      </c>
      <c r="B1325" t="s">
        <v>8</v>
      </c>
      <c r="C1325">
        <v>0</v>
      </c>
      <c r="D1325">
        <v>0</v>
      </c>
      <c r="E1325" s="27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 s="9">
        <v>45326</v>
      </c>
      <c r="L1325">
        <f xml:space="preserve"> (交易處理資料__3[[#This Row],[售出工時]] * 60) / 5</f>
        <v>0</v>
      </c>
      <c r="M1325" t="str">
        <f>VLOOKUP(交易處理資料__3[[#This Row],[人員代號]],團隊分組!$B$1:$C$52,2,FALSE)</f>
        <v>噴漆維修組</v>
      </c>
      <c r="N1325">
        <f>IF(交易處理資料__3[[#This Row],[上班時間]]=0,0,交易處理資料__3[[#This Row],[售出工時]]/交易處理資料__3[[#This Row],[上班時間]])</f>
        <v>0</v>
      </c>
      <c r="O1325" s="31" t="str">
        <f>IF(交易處理資料__3[[#This Row],[上班時間]]=0,"否","是")</f>
        <v>否</v>
      </c>
    </row>
    <row r="1326" spans="1:15" hidden="1">
      <c r="A1326" s="10" t="s">
        <v>73</v>
      </c>
      <c r="B1326" t="s">
        <v>9</v>
      </c>
      <c r="C1326">
        <v>0</v>
      </c>
      <c r="D1326">
        <v>0</v>
      </c>
      <c r="E1326" s="27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 s="9">
        <v>45326</v>
      </c>
      <c r="L1326">
        <f xml:space="preserve"> (交易處理資料__3[[#This Row],[售出工時]] * 60) / 5</f>
        <v>0</v>
      </c>
      <c r="M1326" t="str">
        <f>VLOOKUP(交易處理資料__3[[#This Row],[人員代號]],團隊分組!$B$1:$C$52,2,FALSE)</f>
        <v>噴漆維修組</v>
      </c>
      <c r="N1326">
        <f>IF(交易處理資料__3[[#This Row],[上班時間]]=0,0,交易處理資料__3[[#This Row],[售出工時]]/交易處理資料__3[[#This Row],[上班時間]])</f>
        <v>0</v>
      </c>
      <c r="O1326" s="31" t="str">
        <f>IF(交易處理資料__3[[#This Row],[上班時間]]=0,"否","是")</f>
        <v>否</v>
      </c>
    </row>
    <row r="1327" spans="1:15" hidden="1">
      <c r="A1327" t="s">
        <v>74</v>
      </c>
      <c r="B1327" t="s">
        <v>11</v>
      </c>
      <c r="C1327">
        <v>0</v>
      </c>
      <c r="D1327">
        <v>0</v>
      </c>
      <c r="E1327" s="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 s="9">
        <v>45326</v>
      </c>
      <c r="L1327">
        <f xml:space="preserve"> (交易處理資料__3[[#This Row],[售出工時]] * 60) / 5</f>
        <v>0</v>
      </c>
      <c r="M1327" t="str">
        <f>VLOOKUP(交易處理資料__3[[#This Row],[人員代號]],團隊分組!$B$1:$C$52,2,FALSE)</f>
        <v>鈑金維修組</v>
      </c>
      <c r="N1327">
        <f>IF(交易處理資料__3[[#This Row],[上班時間]]=0,0,交易處理資料__3[[#This Row],[售出工時]]/交易處理資料__3[[#This Row],[上班時間]])</f>
        <v>0</v>
      </c>
      <c r="O1327" s="31" t="str">
        <f>IF(交易處理資料__3[[#This Row],[上班時間]]=0,"否","是")</f>
        <v>否</v>
      </c>
    </row>
    <row r="1328" spans="1:15" hidden="1">
      <c r="A1328" t="s">
        <v>74</v>
      </c>
      <c r="B1328" t="s">
        <v>12</v>
      </c>
      <c r="C1328">
        <v>0</v>
      </c>
      <c r="D1328">
        <v>0</v>
      </c>
      <c r="E1328" s="27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 s="9">
        <v>45326</v>
      </c>
      <c r="L1328">
        <f xml:space="preserve"> (交易處理資料__3[[#This Row],[售出工時]] * 60) / 5</f>
        <v>0</v>
      </c>
      <c r="M1328" t="str">
        <f>VLOOKUP(交易處理資料__3[[#This Row],[人員代號]],團隊分組!$B$1:$C$52,2,FALSE)</f>
        <v>鈑金維修組</v>
      </c>
      <c r="N1328">
        <f>IF(交易處理資料__3[[#This Row],[上班時間]]=0,0,交易處理資料__3[[#This Row],[售出工時]]/交易處理資料__3[[#This Row],[上班時間]])</f>
        <v>0</v>
      </c>
      <c r="O1328" s="31" t="str">
        <f>IF(交易處理資料__3[[#This Row],[上班時間]]=0,"否","是")</f>
        <v>否</v>
      </c>
    </row>
    <row r="1329" spans="1:15" hidden="1">
      <c r="A1329" t="s">
        <v>74</v>
      </c>
      <c r="B1329" t="s">
        <v>13</v>
      </c>
      <c r="C1329">
        <v>0</v>
      </c>
      <c r="D1329">
        <v>0</v>
      </c>
      <c r="E1329" s="27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 s="9">
        <v>45326</v>
      </c>
      <c r="L1329">
        <f xml:space="preserve"> (交易處理資料__3[[#This Row],[售出工時]] * 60) / 5</f>
        <v>0</v>
      </c>
      <c r="M1329" t="str">
        <f>VLOOKUP(交易處理資料__3[[#This Row],[人員代號]],團隊分組!$B$1:$C$52,2,FALSE)</f>
        <v>鈑金維修組</v>
      </c>
      <c r="N1329">
        <f>IF(交易處理資料__3[[#This Row],[上班時間]]=0,0,交易處理資料__3[[#This Row],[售出工時]]/交易處理資料__3[[#This Row],[上班時間]])</f>
        <v>0</v>
      </c>
      <c r="O1329" s="31" t="str">
        <f>IF(交易處理資料__3[[#This Row],[上班時間]]=0,"否","是")</f>
        <v>否</v>
      </c>
    </row>
    <row r="1330" spans="1:15" hidden="1">
      <c r="A1330" t="s">
        <v>74</v>
      </c>
      <c r="B1330" t="s">
        <v>14</v>
      </c>
      <c r="C1330">
        <v>0</v>
      </c>
      <c r="D1330">
        <v>0</v>
      </c>
      <c r="E1330" s="27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 s="9">
        <v>45326</v>
      </c>
      <c r="L1330">
        <f xml:space="preserve"> (交易處理資料__3[[#This Row],[售出工時]] * 60) / 5</f>
        <v>0</v>
      </c>
      <c r="M1330" t="str">
        <f>VLOOKUP(交易處理資料__3[[#This Row],[人員代號]],團隊分組!$B$1:$C$52,2,FALSE)</f>
        <v>鈑金維修組</v>
      </c>
      <c r="N1330">
        <f>IF(交易處理資料__3[[#This Row],[上班時間]]=0,0,交易處理資料__3[[#This Row],[售出工時]]/交易處理資料__3[[#This Row],[上班時間]])</f>
        <v>0</v>
      </c>
      <c r="O1330" s="31" t="str">
        <f>IF(交易處理資料__3[[#This Row],[上班時間]]=0,"否","是")</f>
        <v>否</v>
      </c>
    </row>
    <row r="1331" spans="1:15" hidden="1">
      <c r="A1331" t="s">
        <v>74</v>
      </c>
      <c r="B1331" t="s">
        <v>15</v>
      </c>
      <c r="C1331">
        <v>0</v>
      </c>
      <c r="D1331">
        <v>0</v>
      </c>
      <c r="E1331" s="27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 s="9">
        <v>45326</v>
      </c>
      <c r="L1331">
        <f xml:space="preserve"> (交易處理資料__3[[#This Row],[售出工時]] * 60) / 5</f>
        <v>0</v>
      </c>
      <c r="M1331" t="str">
        <f>VLOOKUP(交易處理資料__3[[#This Row],[人員代號]],團隊分組!$B$1:$C$52,2,FALSE)</f>
        <v>鈑金維修組</v>
      </c>
      <c r="N1331">
        <f>IF(交易處理資料__3[[#This Row],[上班時間]]=0,0,交易處理資料__3[[#This Row],[售出工時]]/交易處理資料__3[[#This Row],[上班時間]])</f>
        <v>0</v>
      </c>
      <c r="O1331" s="31" t="str">
        <f>IF(交易處理資料__3[[#This Row],[上班時間]]=0,"否","是")</f>
        <v>否</v>
      </c>
    </row>
    <row r="1332" spans="1:15" hidden="1">
      <c r="A1332" t="s">
        <v>75</v>
      </c>
      <c r="B1332" t="s">
        <v>17</v>
      </c>
      <c r="C1332">
        <v>0</v>
      </c>
      <c r="D1332">
        <v>0</v>
      </c>
      <c r="E1332" s="27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 s="9">
        <v>45326</v>
      </c>
      <c r="L1332">
        <f xml:space="preserve"> (交易處理資料__3[[#This Row],[售出工時]] * 60) / 5</f>
        <v>0</v>
      </c>
      <c r="M1332" t="str">
        <f>VLOOKUP(交易處理資料__3[[#This Row],[人員代號]],團隊分組!$B$1:$C$52,2,FALSE)</f>
        <v>快速保養團隊A</v>
      </c>
      <c r="N1332">
        <f>IF(交易處理資料__3[[#This Row],[上班時間]]=0,0,交易處理資料__3[[#This Row],[售出工時]]/交易處理資料__3[[#This Row],[上班時間]])</f>
        <v>0</v>
      </c>
      <c r="O1332" s="31" t="str">
        <f>IF(交易處理資料__3[[#This Row],[上班時間]]=0,"否","是")</f>
        <v>否</v>
      </c>
    </row>
    <row r="1333" spans="1:15" hidden="1">
      <c r="A1333" t="s">
        <v>75</v>
      </c>
      <c r="B1333" t="s">
        <v>18</v>
      </c>
      <c r="C1333">
        <v>0</v>
      </c>
      <c r="D1333">
        <v>0</v>
      </c>
      <c r="E1333" s="27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 s="9">
        <v>45326</v>
      </c>
      <c r="L1333">
        <f xml:space="preserve"> (交易處理資料__3[[#This Row],[售出工時]] * 60) / 5</f>
        <v>0</v>
      </c>
      <c r="M1333" t="str">
        <f>VLOOKUP(交易處理資料__3[[#This Row],[人員代號]],團隊分組!$B$1:$C$52,2,FALSE)</f>
        <v>查修團隊B</v>
      </c>
      <c r="N1333">
        <f>IF(交易處理資料__3[[#This Row],[上班時間]]=0,0,交易處理資料__3[[#This Row],[售出工時]]/交易處理資料__3[[#This Row],[上班時間]])</f>
        <v>0</v>
      </c>
      <c r="O1333" s="31" t="str">
        <f>IF(交易處理資料__3[[#This Row],[上班時間]]=0,"否","是")</f>
        <v>否</v>
      </c>
    </row>
    <row r="1334" spans="1:15" hidden="1">
      <c r="A1334" t="s">
        <v>75</v>
      </c>
      <c r="B1334" t="s">
        <v>19</v>
      </c>
      <c r="C1334">
        <v>0</v>
      </c>
      <c r="D1334">
        <v>0</v>
      </c>
      <c r="E1334" s="27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 s="9">
        <v>45326</v>
      </c>
      <c r="L1334">
        <f xml:space="preserve"> (交易處理資料__3[[#This Row],[售出工時]] * 60) / 5</f>
        <v>0</v>
      </c>
      <c r="M1334" t="str">
        <f>VLOOKUP(交易處理資料__3[[#This Row],[人員代號]],團隊分組!$B$1:$C$52,2,FALSE)</f>
        <v>查修團隊A</v>
      </c>
      <c r="N1334">
        <f>IF(交易處理資料__3[[#This Row],[上班時間]]=0,0,交易處理資料__3[[#This Row],[售出工時]]/交易處理資料__3[[#This Row],[上班時間]])</f>
        <v>0</v>
      </c>
      <c r="O1334" s="31" t="str">
        <f>IF(交易處理資料__3[[#This Row],[上班時間]]=0,"否","是")</f>
        <v>否</v>
      </c>
    </row>
    <row r="1335" spans="1:15" hidden="1">
      <c r="A1335" t="s">
        <v>75</v>
      </c>
      <c r="B1335" t="s">
        <v>20</v>
      </c>
      <c r="C1335">
        <v>0</v>
      </c>
      <c r="D1335">
        <v>0</v>
      </c>
      <c r="E1335" s="27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 s="9">
        <v>45326</v>
      </c>
      <c r="L1335">
        <f xml:space="preserve"> (交易處理資料__3[[#This Row],[售出工時]] * 60) / 5</f>
        <v>0</v>
      </c>
      <c r="M1335" t="str">
        <f>VLOOKUP(交易處理資料__3[[#This Row],[人員代號]],團隊分組!$B$1:$C$52,2,FALSE)</f>
        <v>查修團隊B</v>
      </c>
      <c r="N1335">
        <f>IF(交易處理資料__3[[#This Row],[上班時間]]=0,0,交易處理資料__3[[#This Row],[售出工時]]/交易處理資料__3[[#This Row],[上班時間]])</f>
        <v>0</v>
      </c>
      <c r="O1335" s="31" t="str">
        <f>IF(交易處理資料__3[[#This Row],[上班時間]]=0,"否","是")</f>
        <v>否</v>
      </c>
    </row>
    <row r="1336" spans="1:15" hidden="1">
      <c r="A1336" t="s">
        <v>75</v>
      </c>
      <c r="B1336" t="s">
        <v>21</v>
      </c>
      <c r="C1336">
        <v>0</v>
      </c>
      <c r="D1336">
        <v>0</v>
      </c>
      <c r="E1336" s="27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 s="9">
        <v>45326</v>
      </c>
      <c r="L1336">
        <f xml:space="preserve"> (交易處理資料__3[[#This Row],[售出工時]] * 60) / 5</f>
        <v>0</v>
      </c>
      <c r="M1336" t="str">
        <f>VLOOKUP(交易處理資料__3[[#This Row],[人員代號]],團隊分組!$B$1:$C$52,2,FALSE)</f>
        <v>查修團隊B</v>
      </c>
      <c r="N1336">
        <f>IF(交易處理資料__3[[#This Row],[上班時間]]=0,0,交易處理資料__3[[#This Row],[售出工時]]/交易處理資料__3[[#This Row],[上班時間]])</f>
        <v>0</v>
      </c>
      <c r="O1336" s="31" t="str">
        <f>IF(交易處理資料__3[[#This Row],[上班時間]]=0,"否","是")</f>
        <v>否</v>
      </c>
    </row>
    <row r="1337" spans="1:15" hidden="1">
      <c r="A1337" t="s">
        <v>75</v>
      </c>
      <c r="B1337" t="s">
        <v>22</v>
      </c>
      <c r="C1337">
        <v>0</v>
      </c>
      <c r="D1337">
        <v>0</v>
      </c>
      <c r="E1337" s="2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 s="9">
        <v>45326</v>
      </c>
      <c r="L1337">
        <f xml:space="preserve"> (交易處理資料__3[[#This Row],[售出工時]] * 60) / 5</f>
        <v>0</v>
      </c>
      <c r="M1337" t="str">
        <f>VLOOKUP(交易處理資料__3[[#This Row],[人員代號]],團隊分組!$B$1:$C$52,2,FALSE)</f>
        <v>快速保養團隊A</v>
      </c>
      <c r="N1337">
        <f>IF(交易處理資料__3[[#This Row],[上班時間]]=0,0,交易處理資料__3[[#This Row],[售出工時]]/交易處理資料__3[[#This Row],[上班時間]])</f>
        <v>0</v>
      </c>
      <c r="O1337" s="31" t="str">
        <f>IF(交易處理資料__3[[#This Row],[上班時間]]=0,"否","是")</f>
        <v>否</v>
      </c>
    </row>
    <row r="1338" spans="1:15" hidden="1">
      <c r="A1338" t="s">
        <v>75</v>
      </c>
      <c r="B1338" t="s">
        <v>23</v>
      </c>
      <c r="C1338">
        <v>0</v>
      </c>
      <c r="D1338">
        <v>0</v>
      </c>
      <c r="E1338" s="27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 s="9">
        <v>45326</v>
      </c>
      <c r="L1338">
        <f xml:space="preserve"> (交易處理資料__3[[#This Row],[售出工時]] * 60) / 5</f>
        <v>0</v>
      </c>
      <c r="M1338" t="str">
        <f>VLOOKUP(交易處理資料__3[[#This Row],[人員代號]],團隊分組!$B$1:$C$52,2,FALSE)</f>
        <v>快速保養團隊B</v>
      </c>
      <c r="N1338">
        <f>IF(交易處理資料__3[[#This Row],[上班時間]]=0,0,交易處理資料__3[[#This Row],[售出工時]]/交易處理資料__3[[#This Row],[上班時間]])</f>
        <v>0</v>
      </c>
      <c r="O1338" s="31" t="str">
        <f>IF(交易處理資料__3[[#This Row],[上班時間]]=0,"否","是")</f>
        <v>否</v>
      </c>
    </row>
    <row r="1339" spans="1:15" hidden="1">
      <c r="A1339" t="s">
        <v>75</v>
      </c>
      <c r="B1339" t="s">
        <v>24</v>
      </c>
      <c r="C1339">
        <v>0</v>
      </c>
      <c r="D1339">
        <v>0</v>
      </c>
      <c r="E1339" s="27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 s="9">
        <v>45326</v>
      </c>
      <c r="L1339">
        <f xml:space="preserve"> (交易處理資料__3[[#This Row],[售出工時]] * 60) / 5</f>
        <v>0</v>
      </c>
      <c r="M1339" t="str">
        <f>VLOOKUP(交易處理資料__3[[#This Row],[人員代號]],團隊分組!$B$1:$C$52,2,FALSE)</f>
        <v>快速保養團隊A</v>
      </c>
      <c r="N1339">
        <f>IF(交易處理資料__3[[#This Row],[上班時間]]=0,0,交易處理資料__3[[#This Row],[售出工時]]/交易處理資料__3[[#This Row],[上班時間]])</f>
        <v>0</v>
      </c>
      <c r="O1339" s="31" t="str">
        <f>IF(交易處理資料__3[[#This Row],[上班時間]]=0,"否","是")</f>
        <v>否</v>
      </c>
    </row>
    <row r="1340" spans="1:15" hidden="1">
      <c r="A1340" t="s">
        <v>75</v>
      </c>
      <c r="B1340" t="s">
        <v>25</v>
      </c>
      <c r="C1340">
        <v>0</v>
      </c>
      <c r="D1340">
        <v>0</v>
      </c>
      <c r="E1340" s="27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 s="9">
        <v>45326</v>
      </c>
      <c r="L1340">
        <f xml:space="preserve"> (交易處理資料__3[[#This Row],[售出工時]] * 60) / 5</f>
        <v>0</v>
      </c>
      <c r="M1340" t="str">
        <f>VLOOKUP(交易處理資料__3[[#This Row],[人員代號]],團隊分組!$B$1:$C$52,2,FALSE)</f>
        <v>查修團隊A</v>
      </c>
      <c r="N1340">
        <f>IF(交易處理資料__3[[#This Row],[上班時間]]=0,0,交易處理資料__3[[#This Row],[售出工時]]/交易處理資料__3[[#This Row],[上班時間]])</f>
        <v>0</v>
      </c>
      <c r="O1340" s="31" t="str">
        <f>IF(交易處理資料__3[[#This Row],[上班時間]]=0,"否","是")</f>
        <v>否</v>
      </c>
    </row>
    <row r="1341" spans="1:15" hidden="1">
      <c r="A1341" t="s">
        <v>75</v>
      </c>
      <c r="B1341" t="s">
        <v>26</v>
      </c>
      <c r="C1341">
        <v>0</v>
      </c>
      <c r="D1341">
        <v>0</v>
      </c>
      <c r="E1341" s="27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 s="9">
        <v>45326</v>
      </c>
      <c r="L1341">
        <f xml:space="preserve"> (交易處理資料__3[[#This Row],[售出工時]] * 60) / 5</f>
        <v>0</v>
      </c>
      <c r="M1341" t="str">
        <f>VLOOKUP(交易處理資料__3[[#This Row],[人員代號]],團隊分組!$B$1:$C$52,2,FALSE)</f>
        <v>查修團隊B</v>
      </c>
      <c r="N1341">
        <f>IF(交易處理資料__3[[#This Row],[上班時間]]=0,0,交易處理資料__3[[#This Row],[售出工時]]/交易處理資料__3[[#This Row],[上班時間]])</f>
        <v>0</v>
      </c>
      <c r="O1341" s="31" t="str">
        <f>IF(交易處理資料__3[[#This Row],[上班時間]]=0,"否","是")</f>
        <v>否</v>
      </c>
    </row>
    <row r="1342" spans="1:15" hidden="1">
      <c r="A1342" t="s">
        <v>75</v>
      </c>
      <c r="B1342" t="s">
        <v>27</v>
      </c>
      <c r="C1342">
        <v>0</v>
      </c>
      <c r="D1342">
        <v>0</v>
      </c>
      <c r="E1342" s="27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 s="9">
        <v>45326</v>
      </c>
      <c r="L1342">
        <f xml:space="preserve"> (交易處理資料__3[[#This Row],[售出工時]] * 60) / 5</f>
        <v>0</v>
      </c>
      <c r="M1342" t="str">
        <f>VLOOKUP(交易處理資料__3[[#This Row],[人員代號]],團隊分組!$B$1:$C$52,2,FALSE)</f>
        <v>快速保養團隊B</v>
      </c>
      <c r="N1342">
        <f>IF(交易處理資料__3[[#This Row],[上班時間]]=0,0,交易處理資料__3[[#This Row],[售出工時]]/交易處理資料__3[[#This Row],[上班時間]])</f>
        <v>0</v>
      </c>
      <c r="O1342" s="31" t="str">
        <f>IF(交易處理資料__3[[#This Row],[上班時間]]=0,"否","是")</f>
        <v>否</v>
      </c>
    </row>
    <row r="1343" spans="1:15" hidden="1">
      <c r="A1343" t="s">
        <v>75</v>
      </c>
      <c r="B1343" t="s">
        <v>28</v>
      </c>
      <c r="C1343">
        <v>0</v>
      </c>
      <c r="D1343">
        <v>0</v>
      </c>
      <c r="E1343" s="27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 s="9">
        <v>45326</v>
      </c>
      <c r="L1343">
        <f xml:space="preserve"> (交易處理資料__3[[#This Row],[售出工時]] * 60) / 5</f>
        <v>0</v>
      </c>
      <c r="M1343" t="str">
        <f>VLOOKUP(交易處理資料__3[[#This Row],[人員代號]],團隊分組!$B$1:$C$52,2,FALSE)</f>
        <v>快速保養團隊A</v>
      </c>
      <c r="N1343">
        <f>IF(交易處理資料__3[[#This Row],[上班時間]]=0,0,交易處理資料__3[[#This Row],[售出工時]]/交易處理資料__3[[#This Row],[上班時間]])</f>
        <v>0</v>
      </c>
      <c r="O1343" s="31" t="str">
        <f>IF(交易處理資料__3[[#This Row],[上班時間]]=0,"否","是")</f>
        <v>否</v>
      </c>
    </row>
    <row r="1344" spans="1:15" hidden="1">
      <c r="A1344" t="s">
        <v>75</v>
      </c>
      <c r="B1344" t="s">
        <v>29</v>
      </c>
      <c r="C1344">
        <v>0</v>
      </c>
      <c r="D1344">
        <v>0</v>
      </c>
      <c r="E1344" s="27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 s="9">
        <v>45326</v>
      </c>
      <c r="L1344">
        <f xml:space="preserve"> (交易處理資料__3[[#This Row],[售出工時]] * 60) / 5</f>
        <v>0</v>
      </c>
      <c r="M1344" t="str">
        <f>VLOOKUP(交易處理資料__3[[#This Row],[人員代號]],團隊分組!$B$1:$C$52,2,FALSE)</f>
        <v>查修團隊B</v>
      </c>
      <c r="N1344">
        <f>IF(交易處理資料__3[[#This Row],[上班時間]]=0,0,交易處理資料__3[[#This Row],[售出工時]]/交易處理資料__3[[#This Row],[上班時間]])</f>
        <v>0</v>
      </c>
      <c r="O1344" s="31" t="str">
        <f>IF(交易處理資料__3[[#This Row],[上班時間]]=0,"否","是")</f>
        <v>否</v>
      </c>
    </row>
    <row r="1345" spans="1:15" hidden="1">
      <c r="A1345" t="s">
        <v>75</v>
      </c>
      <c r="B1345" t="s">
        <v>30</v>
      </c>
      <c r="C1345">
        <v>0</v>
      </c>
      <c r="D1345">
        <v>0</v>
      </c>
      <c r="E1345" s="27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 s="9">
        <v>45326</v>
      </c>
      <c r="L1345">
        <f xml:space="preserve"> (交易處理資料__3[[#This Row],[售出工時]] * 60) / 5</f>
        <v>0</v>
      </c>
      <c r="M1345" t="str">
        <f>VLOOKUP(交易處理資料__3[[#This Row],[人員代號]],團隊分組!$B$1:$C$52,2,FALSE)</f>
        <v>快速保養團隊B</v>
      </c>
      <c r="N1345">
        <f>IF(交易處理資料__3[[#This Row],[上班時間]]=0,0,交易處理資料__3[[#This Row],[售出工時]]/交易處理資料__3[[#This Row],[上班時間]])</f>
        <v>0</v>
      </c>
      <c r="O1345" s="31" t="str">
        <f>IF(交易處理資料__3[[#This Row],[上班時間]]=0,"否","是")</f>
        <v>否</v>
      </c>
    </row>
    <row r="1346" spans="1:15" hidden="1">
      <c r="A1346" t="s">
        <v>75</v>
      </c>
      <c r="B1346" t="s">
        <v>32</v>
      </c>
      <c r="C1346">
        <v>0</v>
      </c>
      <c r="D1346">
        <v>0</v>
      </c>
      <c r="E1346" s="27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 s="9">
        <v>45326</v>
      </c>
      <c r="L1346">
        <f xml:space="preserve"> (交易處理資料__3[[#This Row],[售出工時]] * 60) / 5</f>
        <v>0</v>
      </c>
      <c r="M1346" t="str">
        <f>VLOOKUP(交易處理資料__3[[#This Row],[人員代號]],團隊分組!$B$1:$C$52,2,FALSE)</f>
        <v>快速保養團隊B</v>
      </c>
      <c r="N1346">
        <f>IF(交易處理資料__3[[#This Row],[上班時間]]=0,0,交易處理資料__3[[#This Row],[售出工時]]/交易處理資料__3[[#This Row],[上班時間]])</f>
        <v>0</v>
      </c>
      <c r="O1346" s="31" t="str">
        <f>IF(交易處理資料__3[[#This Row],[上班時間]]=0,"否","是")</f>
        <v>否</v>
      </c>
    </row>
    <row r="1347" spans="1:15">
      <c r="A1347" t="s">
        <v>75</v>
      </c>
      <c r="B1347" t="s">
        <v>33</v>
      </c>
      <c r="C1347">
        <v>0</v>
      </c>
      <c r="D1347">
        <v>0</v>
      </c>
      <c r="E1347" s="2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 s="9">
        <v>45326</v>
      </c>
      <c r="L1347">
        <f xml:space="preserve"> (交易處理資料__3[[#This Row],[售出工時]] * 60) / 5</f>
        <v>0</v>
      </c>
      <c r="M1347" t="str">
        <f>VLOOKUP(交易處理資料__3[[#This Row],[人員代號]],團隊分組!$B$1:$C$52,2,FALSE)</f>
        <v>快速保養團隊B</v>
      </c>
      <c r="N1347">
        <f>IF(交易處理資料__3[[#This Row],[上班時間]]=0,0,交易處理資料__3[[#This Row],[售出工時]]/交易處理資料__3[[#This Row],[上班時間]])</f>
        <v>0</v>
      </c>
      <c r="O1347" s="31" t="str">
        <f>IF(交易處理資料__3[[#This Row],[上班時間]]=0,"否","是")</f>
        <v>否</v>
      </c>
    </row>
    <row r="1348" spans="1:15" hidden="1">
      <c r="A1348" t="s">
        <v>75</v>
      </c>
      <c r="B1348" t="s">
        <v>34</v>
      </c>
      <c r="C1348">
        <v>0</v>
      </c>
      <c r="D1348">
        <v>0</v>
      </c>
      <c r="E1348" s="27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 s="9">
        <v>45326</v>
      </c>
      <c r="L1348">
        <f xml:space="preserve"> (交易處理資料__3[[#This Row],[售出工時]] * 60) / 5</f>
        <v>0</v>
      </c>
      <c r="M1348" t="str">
        <f>VLOOKUP(交易處理資料__3[[#This Row],[人員代號]],團隊分組!$B$1:$C$52,2,FALSE)</f>
        <v>快速保養團隊A</v>
      </c>
      <c r="N1348">
        <f>IF(交易處理資料__3[[#This Row],[上班時間]]=0,0,交易處理資料__3[[#This Row],[售出工時]]/交易處理資料__3[[#This Row],[上班時間]])</f>
        <v>0</v>
      </c>
      <c r="O1348" s="31" t="str">
        <f>IF(交易處理資料__3[[#This Row],[上班時間]]=0,"否","是")</f>
        <v>否</v>
      </c>
    </row>
    <row r="1349" spans="1:15" hidden="1">
      <c r="A1349" t="s">
        <v>75</v>
      </c>
      <c r="B1349" t="s">
        <v>35</v>
      </c>
      <c r="C1349">
        <v>0</v>
      </c>
      <c r="D1349">
        <v>0</v>
      </c>
      <c r="E1349" s="27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 s="9">
        <v>45326</v>
      </c>
      <c r="L1349">
        <f xml:space="preserve"> (交易處理資料__3[[#This Row],[售出工時]] * 60) / 5</f>
        <v>0</v>
      </c>
      <c r="M1349" t="str">
        <f>VLOOKUP(交易處理資料__3[[#This Row],[人員代號]],團隊分組!$B$1:$C$52,2,FALSE)</f>
        <v>查修團隊B</v>
      </c>
      <c r="N1349">
        <f>IF(交易處理資料__3[[#This Row],[上班時間]]=0,0,交易處理資料__3[[#This Row],[售出工時]]/交易處理資料__3[[#This Row],[上班時間]])</f>
        <v>0</v>
      </c>
      <c r="O1349" s="31" t="str">
        <f>IF(交易處理資料__3[[#This Row],[上班時間]]=0,"否","是")</f>
        <v>否</v>
      </c>
    </row>
    <row r="1350" spans="1:15" hidden="1">
      <c r="A1350" t="s">
        <v>75</v>
      </c>
      <c r="B1350" t="s">
        <v>36</v>
      </c>
      <c r="C1350">
        <v>0</v>
      </c>
      <c r="D1350">
        <v>0</v>
      </c>
      <c r="E1350" s="27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 s="9">
        <v>45326</v>
      </c>
      <c r="L1350">
        <f xml:space="preserve"> (交易處理資料__3[[#This Row],[售出工時]] * 60) / 5</f>
        <v>0</v>
      </c>
      <c r="M1350" t="str">
        <f>VLOOKUP(交易處理資料__3[[#This Row],[人員代號]],團隊分組!$B$1:$C$52,2,FALSE)</f>
        <v>查修團隊B</v>
      </c>
      <c r="N1350">
        <f>IF(交易處理資料__3[[#This Row],[上班時間]]=0,0,交易處理資料__3[[#This Row],[售出工時]]/交易處理資料__3[[#This Row],[上班時間]])</f>
        <v>0</v>
      </c>
      <c r="O1350" s="31" t="str">
        <f>IF(交易處理資料__3[[#This Row],[上班時間]]=0,"否","是")</f>
        <v>否</v>
      </c>
    </row>
    <row r="1351" spans="1:15" hidden="1">
      <c r="A1351" t="s">
        <v>75</v>
      </c>
      <c r="B1351" t="s">
        <v>37</v>
      </c>
      <c r="C1351">
        <v>0</v>
      </c>
      <c r="D1351">
        <v>0</v>
      </c>
      <c r="E1351" s="27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 s="9">
        <v>45326</v>
      </c>
      <c r="L1351">
        <f xml:space="preserve"> (交易處理資料__3[[#This Row],[售出工時]] * 60) / 5</f>
        <v>0</v>
      </c>
      <c r="M1351" t="str">
        <f>VLOOKUP(交易處理資料__3[[#This Row],[人員代號]],團隊分組!$B$1:$C$52,2,FALSE)</f>
        <v>查修團隊A</v>
      </c>
      <c r="N1351">
        <f>IF(交易處理資料__3[[#This Row],[上班時間]]=0,0,交易處理資料__3[[#This Row],[售出工時]]/交易處理資料__3[[#This Row],[上班時間]])</f>
        <v>0</v>
      </c>
      <c r="O1351" s="31" t="str">
        <f>IF(交易處理資料__3[[#This Row],[上班時間]]=0,"否","是")</f>
        <v>否</v>
      </c>
    </row>
    <row r="1352" spans="1:15" hidden="1">
      <c r="A1352" t="s">
        <v>75</v>
      </c>
      <c r="B1352" t="s">
        <v>38</v>
      </c>
      <c r="C1352">
        <v>0</v>
      </c>
      <c r="D1352">
        <v>0</v>
      </c>
      <c r="E1352" s="27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 s="9">
        <v>45326</v>
      </c>
      <c r="L1352">
        <f xml:space="preserve"> (交易處理資料__3[[#This Row],[售出工時]] * 60) / 5</f>
        <v>0</v>
      </c>
      <c r="M1352" t="str">
        <f>VLOOKUP(交易處理資料__3[[#This Row],[人員代號]],團隊分組!$B$1:$C$52,2,FALSE)</f>
        <v>快速保養團隊A</v>
      </c>
      <c r="N1352">
        <f>IF(交易處理資料__3[[#This Row],[上班時間]]=0,0,交易處理資料__3[[#This Row],[售出工時]]/交易處理資料__3[[#This Row],[上班時間]])</f>
        <v>0</v>
      </c>
      <c r="O1352" s="31" t="str">
        <f>IF(交易處理資料__3[[#This Row],[上班時間]]=0,"否","是")</f>
        <v>否</v>
      </c>
    </row>
    <row r="1353" spans="1:15" hidden="1">
      <c r="A1353" t="s">
        <v>75</v>
      </c>
      <c r="B1353" t="s">
        <v>39</v>
      </c>
      <c r="C1353">
        <v>0</v>
      </c>
      <c r="D1353">
        <v>0</v>
      </c>
      <c r="E1353" s="27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 s="9">
        <v>45326</v>
      </c>
      <c r="L1353">
        <f xml:space="preserve"> (交易處理資料__3[[#This Row],[售出工時]] * 60) / 5</f>
        <v>0</v>
      </c>
      <c r="M1353" t="str">
        <f>VLOOKUP(交易處理資料__3[[#This Row],[人員代號]],團隊分組!$B$1:$C$52,2,FALSE)</f>
        <v>查修團隊A</v>
      </c>
      <c r="N1353">
        <f>IF(交易處理資料__3[[#This Row],[上班時間]]=0,0,交易處理資料__3[[#This Row],[售出工時]]/交易處理資料__3[[#This Row],[上班時間]])</f>
        <v>0</v>
      </c>
      <c r="O1353" s="31" t="str">
        <f>IF(交易處理資料__3[[#This Row],[上班時間]]=0,"否","是")</f>
        <v>否</v>
      </c>
    </row>
    <row r="1354" spans="1:15" hidden="1">
      <c r="A1354" t="s">
        <v>75</v>
      </c>
      <c r="B1354" t="s">
        <v>40</v>
      </c>
      <c r="C1354">
        <v>0</v>
      </c>
      <c r="D1354">
        <v>0</v>
      </c>
      <c r="E1354" s="27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 s="9">
        <v>45326</v>
      </c>
      <c r="L1354">
        <f xml:space="preserve"> (交易處理資料__3[[#This Row],[售出工時]] * 60) / 5</f>
        <v>0</v>
      </c>
      <c r="M1354" t="str">
        <f>VLOOKUP(交易處理資料__3[[#This Row],[人員代號]],團隊分組!$B$1:$C$52,2,FALSE)</f>
        <v>查修團隊A</v>
      </c>
      <c r="N1354">
        <f>IF(交易處理資料__3[[#This Row],[上班時間]]=0,0,交易處理資料__3[[#This Row],[售出工時]]/交易處理資料__3[[#This Row],[上班時間]])</f>
        <v>0</v>
      </c>
      <c r="O1354" s="31" t="str">
        <f>IF(交易處理資料__3[[#This Row],[上班時間]]=0,"否","是")</f>
        <v>否</v>
      </c>
    </row>
    <row r="1355" spans="1:15" hidden="1">
      <c r="A1355" t="s">
        <v>75</v>
      </c>
      <c r="B1355" t="s">
        <v>41</v>
      </c>
      <c r="C1355">
        <v>0</v>
      </c>
      <c r="D1355">
        <v>0</v>
      </c>
      <c r="E1355" s="27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 s="9">
        <v>45326</v>
      </c>
      <c r="L1355">
        <f xml:space="preserve"> (交易處理資料__3[[#This Row],[售出工時]] * 60) / 5</f>
        <v>0</v>
      </c>
      <c r="M1355" t="str">
        <f>VLOOKUP(交易處理資料__3[[#This Row],[人員代號]],團隊分組!$B$1:$C$52,2,FALSE)</f>
        <v>快速保養團隊A</v>
      </c>
      <c r="N1355">
        <f>IF(交易處理資料__3[[#This Row],[上班時間]]=0,0,交易處理資料__3[[#This Row],[售出工時]]/交易處理資料__3[[#This Row],[上班時間]])</f>
        <v>0</v>
      </c>
      <c r="O1355" s="31" t="str">
        <f>IF(交易處理資料__3[[#This Row],[上班時間]]=0,"否","是")</f>
        <v>否</v>
      </c>
    </row>
    <row r="1356" spans="1:15" hidden="1">
      <c r="A1356" t="s">
        <v>75</v>
      </c>
      <c r="B1356" t="s">
        <v>42</v>
      </c>
      <c r="C1356">
        <v>0</v>
      </c>
      <c r="D1356">
        <v>0</v>
      </c>
      <c r="E1356" s="27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 s="9">
        <v>45326</v>
      </c>
      <c r="L1356">
        <f xml:space="preserve"> (交易處理資料__3[[#This Row],[售出工時]] * 60) / 5</f>
        <v>0</v>
      </c>
      <c r="M1356" t="str">
        <f>VLOOKUP(交易處理資料__3[[#This Row],[人員代號]],團隊分組!$B$1:$C$52,2,FALSE)</f>
        <v>快速保養團隊A</v>
      </c>
      <c r="N1356">
        <f>IF(交易處理資料__3[[#This Row],[上班時間]]=0,0,交易處理資料__3[[#This Row],[售出工時]]/交易處理資料__3[[#This Row],[上班時間]])</f>
        <v>0</v>
      </c>
      <c r="O1356" s="31" t="str">
        <f>IF(交易處理資料__3[[#This Row],[上班時間]]=0,"否","是")</f>
        <v>否</v>
      </c>
    </row>
    <row r="1357" spans="1:15" hidden="1">
      <c r="A1357" t="s">
        <v>75</v>
      </c>
      <c r="B1357" t="s">
        <v>43</v>
      </c>
      <c r="C1357">
        <v>0</v>
      </c>
      <c r="D1357">
        <v>0</v>
      </c>
      <c r="E1357" s="2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 s="9">
        <v>45326</v>
      </c>
      <c r="L1357">
        <f xml:space="preserve"> (交易處理資料__3[[#This Row],[售出工時]] * 60) / 5</f>
        <v>0</v>
      </c>
      <c r="M1357" t="str">
        <f>VLOOKUP(交易處理資料__3[[#This Row],[人員代號]],團隊分組!$B$1:$C$52,2,FALSE)</f>
        <v>查修團隊B</v>
      </c>
      <c r="N1357">
        <f>IF(交易處理資料__3[[#This Row],[上班時間]]=0,0,交易處理資料__3[[#This Row],[售出工時]]/交易處理資料__3[[#This Row],[上班時間]])</f>
        <v>0</v>
      </c>
      <c r="O1357" s="31" t="str">
        <f>IF(交易處理資料__3[[#This Row],[上班時間]]=0,"否","是")</f>
        <v>否</v>
      </c>
    </row>
    <row r="1358" spans="1:15" hidden="1">
      <c r="A1358" t="s">
        <v>75</v>
      </c>
      <c r="B1358" t="s">
        <v>44</v>
      </c>
      <c r="C1358">
        <v>0</v>
      </c>
      <c r="D1358">
        <v>0</v>
      </c>
      <c r="E1358" s="27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 s="9">
        <v>45326</v>
      </c>
      <c r="L1358">
        <f xml:space="preserve"> (交易處理資料__3[[#This Row],[售出工時]] * 60) / 5</f>
        <v>0</v>
      </c>
      <c r="M1358" t="str">
        <f>VLOOKUP(交易處理資料__3[[#This Row],[人員代號]],團隊分組!$B$1:$C$52,2,FALSE)</f>
        <v>快速保養團隊B</v>
      </c>
      <c r="N1358">
        <f>IF(交易處理資料__3[[#This Row],[上班時間]]=0,0,交易處理資料__3[[#This Row],[售出工時]]/交易處理資料__3[[#This Row],[上班時間]])</f>
        <v>0</v>
      </c>
      <c r="O1358" s="31" t="str">
        <f>IF(交易處理資料__3[[#This Row],[上班時間]]=0,"否","是")</f>
        <v>否</v>
      </c>
    </row>
    <row r="1359" spans="1:15" hidden="1">
      <c r="A1359" t="s">
        <v>75</v>
      </c>
      <c r="B1359" t="s">
        <v>45</v>
      </c>
      <c r="C1359">
        <v>0</v>
      </c>
      <c r="D1359">
        <v>0</v>
      </c>
      <c r="E1359" s="27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 s="9">
        <v>45326</v>
      </c>
      <c r="L1359">
        <f xml:space="preserve"> (交易處理資料__3[[#This Row],[售出工時]] * 60) / 5</f>
        <v>0</v>
      </c>
      <c r="M1359" t="str">
        <f>VLOOKUP(交易處理資料__3[[#This Row],[人員代號]],團隊分組!$B$1:$C$52,2,FALSE)</f>
        <v>快速保養團隊A</v>
      </c>
      <c r="N1359">
        <f>IF(交易處理資料__3[[#This Row],[上班時間]]=0,0,交易處理資料__3[[#This Row],[售出工時]]/交易處理資料__3[[#This Row],[上班時間]])</f>
        <v>0</v>
      </c>
      <c r="O1359" s="31" t="str">
        <f>IF(交易處理資料__3[[#This Row],[上班時間]]=0,"否","是")</f>
        <v>否</v>
      </c>
    </row>
    <row r="1360" spans="1:15" hidden="1">
      <c r="A1360" t="s">
        <v>75</v>
      </c>
      <c r="B1360" t="s">
        <v>46</v>
      </c>
      <c r="C1360">
        <v>0</v>
      </c>
      <c r="D1360">
        <v>0</v>
      </c>
      <c r="E1360" s="27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 s="9">
        <v>45326</v>
      </c>
      <c r="L1360">
        <f xml:space="preserve"> (交易處理資料__3[[#This Row],[售出工時]] * 60) / 5</f>
        <v>0</v>
      </c>
      <c r="M1360" t="str">
        <f>VLOOKUP(交易處理資料__3[[#This Row],[人員代號]],團隊分組!$B$1:$C$52,2,FALSE)</f>
        <v>查修團隊B</v>
      </c>
      <c r="N1360">
        <f>IF(交易處理資料__3[[#This Row],[上班時間]]=0,0,交易處理資料__3[[#This Row],[售出工時]]/交易處理資料__3[[#This Row],[上班時間]])</f>
        <v>0</v>
      </c>
      <c r="O1360" s="31" t="str">
        <f>IF(交易處理資料__3[[#This Row],[上班時間]]=0,"否","是")</f>
        <v>否</v>
      </c>
    </row>
    <row r="1361" spans="1:15" hidden="1">
      <c r="A1361" t="s">
        <v>75</v>
      </c>
      <c r="B1361" t="s">
        <v>47</v>
      </c>
      <c r="C1361">
        <v>0</v>
      </c>
      <c r="D1361">
        <v>0</v>
      </c>
      <c r="E1361" s="27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 s="9">
        <v>45326</v>
      </c>
      <c r="L1361">
        <f xml:space="preserve"> (交易處理資料__3[[#This Row],[售出工時]] * 60) / 5</f>
        <v>0</v>
      </c>
      <c r="M1361" t="str">
        <f>VLOOKUP(交易處理資料__3[[#This Row],[人員代號]],團隊分組!$B$1:$C$52,2,FALSE)</f>
        <v>查修團隊B</v>
      </c>
      <c r="N1361">
        <f>IF(交易處理資料__3[[#This Row],[上班時間]]=0,0,交易處理資料__3[[#This Row],[售出工時]]/交易處理資料__3[[#This Row],[上班時間]])</f>
        <v>0</v>
      </c>
      <c r="O1361" s="31" t="str">
        <f>IF(交易處理資料__3[[#This Row],[上班時間]]=0,"否","是")</f>
        <v>否</v>
      </c>
    </row>
    <row r="1362" spans="1:15" hidden="1">
      <c r="A1362" t="s">
        <v>75</v>
      </c>
      <c r="B1362" t="s">
        <v>48</v>
      </c>
      <c r="C1362">
        <v>0</v>
      </c>
      <c r="D1362">
        <v>0</v>
      </c>
      <c r="E1362" s="27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 s="9">
        <v>45326</v>
      </c>
      <c r="L1362">
        <f xml:space="preserve"> (交易處理資料__3[[#This Row],[售出工時]] * 60) / 5</f>
        <v>0</v>
      </c>
      <c r="M1362" t="str">
        <f>VLOOKUP(交易處理資料__3[[#This Row],[人員代號]],團隊分組!$B$1:$C$52,2,FALSE)</f>
        <v>查修團隊A</v>
      </c>
      <c r="N1362">
        <f>IF(交易處理資料__3[[#This Row],[上班時間]]=0,0,交易處理資料__3[[#This Row],[售出工時]]/交易處理資料__3[[#This Row],[上班時間]])</f>
        <v>0</v>
      </c>
      <c r="O1362" s="31" t="str">
        <f>IF(交易處理資料__3[[#This Row],[上班時間]]=0,"否","是")</f>
        <v>否</v>
      </c>
    </row>
    <row r="1363" spans="1:15" hidden="1">
      <c r="A1363" t="s">
        <v>75</v>
      </c>
      <c r="B1363" t="s">
        <v>49</v>
      </c>
      <c r="C1363">
        <v>0</v>
      </c>
      <c r="D1363">
        <v>0</v>
      </c>
      <c r="E1363" s="27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 s="9">
        <v>45326</v>
      </c>
      <c r="L1363">
        <f xml:space="preserve"> (交易處理資料__3[[#This Row],[售出工時]] * 60) / 5</f>
        <v>0</v>
      </c>
      <c r="M1363" t="str">
        <f>VLOOKUP(交易處理資料__3[[#This Row],[人員代號]],團隊分組!$B$1:$C$52,2,FALSE)</f>
        <v>查修團隊A</v>
      </c>
      <c r="N1363">
        <f>IF(交易處理資料__3[[#This Row],[上班時間]]=0,0,交易處理資料__3[[#This Row],[售出工時]]/交易處理資料__3[[#This Row],[上班時間]])</f>
        <v>0</v>
      </c>
      <c r="O1363" s="31" t="str">
        <f>IF(交易處理資料__3[[#This Row],[上班時間]]=0,"否","是")</f>
        <v>否</v>
      </c>
    </row>
    <row r="1364" spans="1:15" hidden="1">
      <c r="A1364" t="s">
        <v>75</v>
      </c>
      <c r="B1364" t="s">
        <v>50</v>
      </c>
      <c r="C1364">
        <v>0</v>
      </c>
      <c r="D1364">
        <v>0</v>
      </c>
      <c r="E1364" s="27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 s="9">
        <v>45326</v>
      </c>
      <c r="L1364">
        <f xml:space="preserve"> (交易處理資料__3[[#This Row],[售出工時]] * 60) / 5</f>
        <v>0</v>
      </c>
      <c r="M1364" t="str">
        <f>VLOOKUP(交易處理資料__3[[#This Row],[人員代號]],團隊分組!$B$1:$C$52,2,FALSE)</f>
        <v>快速保養團隊B</v>
      </c>
      <c r="N1364">
        <f>IF(交易處理資料__3[[#This Row],[上班時間]]=0,0,交易處理資料__3[[#This Row],[售出工時]]/交易處理資料__3[[#This Row],[上班時間]])</f>
        <v>0</v>
      </c>
      <c r="O1364" s="31" t="str">
        <f>IF(交易處理資料__3[[#This Row],[上班時間]]=0,"否","是")</f>
        <v>否</v>
      </c>
    </row>
    <row r="1365" spans="1:15" hidden="1">
      <c r="A1365" t="s">
        <v>75</v>
      </c>
      <c r="B1365" t="s">
        <v>51</v>
      </c>
      <c r="C1365">
        <v>0</v>
      </c>
      <c r="D1365">
        <v>0</v>
      </c>
      <c r="E1365" s="27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 s="9">
        <v>45326</v>
      </c>
      <c r="L1365">
        <f xml:space="preserve"> (交易處理資料__3[[#This Row],[售出工時]] * 60) / 5</f>
        <v>0</v>
      </c>
      <c r="M1365" t="str">
        <f>VLOOKUP(交易處理資料__3[[#This Row],[人員代號]],團隊分組!$B$1:$C$52,2,FALSE)</f>
        <v>無效數據</v>
      </c>
      <c r="N1365">
        <f>IF(交易處理資料__3[[#This Row],[上班時間]]=0,0,交易處理資料__3[[#This Row],[售出工時]]/交易處理資料__3[[#This Row],[上班時間]])</f>
        <v>0</v>
      </c>
      <c r="O1365" s="31" t="str">
        <f>IF(交易處理資料__3[[#This Row],[上班時間]]=0,"否","是")</f>
        <v>否</v>
      </c>
    </row>
    <row r="1366" spans="1:15" hidden="1">
      <c r="A1366" t="s">
        <v>75</v>
      </c>
      <c r="B1366" t="s">
        <v>52</v>
      </c>
      <c r="C1366">
        <v>0</v>
      </c>
      <c r="D1366">
        <v>0</v>
      </c>
      <c r="E1366" s="27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 s="9">
        <v>45326</v>
      </c>
      <c r="L1366">
        <f xml:space="preserve"> (交易處理資料__3[[#This Row],[售出工時]] * 60) / 5</f>
        <v>0</v>
      </c>
      <c r="M1366" t="str">
        <f>VLOOKUP(交易處理資料__3[[#This Row],[人員代號]],團隊分組!$B$1:$C$52,2,FALSE)</f>
        <v>查修團隊B</v>
      </c>
      <c r="N1366">
        <f>IF(交易處理資料__3[[#This Row],[上班時間]]=0,0,交易處理資料__3[[#This Row],[售出工時]]/交易處理資料__3[[#This Row],[上班時間]])</f>
        <v>0</v>
      </c>
      <c r="O1366" s="31" t="str">
        <f>IF(交易處理資料__3[[#This Row],[上班時間]]=0,"否","是")</f>
        <v>否</v>
      </c>
    </row>
    <row r="1367" spans="1:15" hidden="1">
      <c r="A1367" t="s">
        <v>75</v>
      </c>
      <c r="B1367" t="s">
        <v>53</v>
      </c>
      <c r="C1367">
        <v>0</v>
      </c>
      <c r="D1367">
        <v>0</v>
      </c>
      <c r="E1367" s="2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 s="9">
        <v>45326</v>
      </c>
      <c r="L1367">
        <f xml:space="preserve"> (交易處理資料__3[[#This Row],[售出工時]] * 60) / 5</f>
        <v>0</v>
      </c>
      <c r="M1367" t="str">
        <f>VLOOKUP(交易處理資料__3[[#This Row],[人員代號]],團隊分組!$B$1:$C$52,2,FALSE)</f>
        <v>查修團隊A</v>
      </c>
      <c r="N1367">
        <f>IF(交易處理資料__3[[#This Row],[上班時間]]=0,0,交易處理資料__3[[#This Row],[售出工時]]/交易處理資料__3[[#This Row],[上班時間]])</f>
        <v>0</v>
      </c>
      <c r="O1367" s="31" t="str">
        <f>IF(交易處理資料__3[[#This Row],[上班時間]]=0,"否","是")</f>
        <v>否</v>
      </c>
    </row>
    <row r="1368" spans="1:15" hidden="1">
      <c r="A1368" s="10" t="s">
        <v>73</v>
      </c>
      <c r="B1368" t="s">
        <v>4</v>
      </c>
      <c r="C1368">
        <v>1.25</v>
      </c>
      <c r="D1368">
        <v>7.1</v>
      </c>
      <c r="E1368" s="27">
        <v>17.6056338</v>
      </c>
      <c r="F1368">
        <v>4.96</v>
      </c>
      <c r="G1368">
        <v>2.89</v>
      </c>
      <c r="H1368">
        <v>7.85</v>
      </c>
      <c r="I1368">
        <v>63.18</v>
      </c>
      <c r="J1368">
        <v>15.92</v>
      </c>
      <c r="K1368" s="9">
        <v>45327</v>
      </c>
      <c r="L1368">
        <f xml:space="preserve"> (交易處理資料__3[[#This Row],[售出工時]] * 60) / 5</f>
        <v>15</v>
      </c>
      <c r="M1368" t="str">
        <f>VLOOKUP(交易處理資料__3[[#This Row],[人員代號]],團隊分組!$B$1:$C$52,2,FALSE)</f>
        <v>噴漆維修組</v>
      </c>
      <c r="N1368">
        <f>IF(交易處理資料__3[[#This Row],[上班時間]]=0,0,交易處理資料__3[[#This Row],[售出工時]]/交易處理資料__3[[#This Row],[上班時間]])</f>
        <v>0.15923566878980894</v>
      </c>
      <c r="O1368" s="31" t="str">
        <f>IF(交易處理資料__3[[#This Row],[上班時間]]=0,"否","是")</f>
        <v>是</v>
      </c>
    </row>
    <row r="1369" spans="1:15" hidden="1">
      <c r="A1369" s="10" t="s">
        <v>73</v>
      </c>
      <c r="B1369" t="s">
        <v>5</v>
      </c>
      <c r="C1369">
        <v>5.596666667</v>
      </c>
      <c r="D1369">
        <v>5.22</v>
      </c>
      <c r="E1369" s="27">
        <v>107.21583649999999</v>
      </c>
      <c r="F1369">
        <v>7.75</v>
      </c>
      <c r="G1369">
        <v>0.2</v>
      </c>
      <c r="H1369">
        <v>7.95</v>
      </c>
      <c r="I1369">
        <v>97.48</v>
      </c>
      <c r="J1369">
        <v>70.400000000000006</v>
      </c>
      <c r="K1369" s="9">
        <v>45327</v>
      </c>
      <c r="L1369">
        <f xml:space="preserve"> (交易處理資料__3[[#This Row],[售出工時]] * 60) / 5</f>
        <v>67.160000004000011</v>
      </c>
      <c r="M1369" t="str">
        <f>VLOOKUP(交易處理資料__3[[#This Row],[人員代號]],團隊分組!$B$1:$C$52,2,FALSE)</f>
        <v>噴漆維修組</v>
      </c>
      <c r="N1369">
        <f>IF(交易處理資料__3[[#This Row],[上班時間]]=0,0,交易處理資料__3[[#This Row],[售出工時]]/交易處理資料__3[[#This Row],[上班時間]])</f>
        <v>0.70398322855345907</v>
      </c>
      <c r="O1369" s="31" t="str">
        <f>IF(交易處理資料__3[[#This Row],[上班時間]]=0,"否","是")</f>
        <v>是</v>
      </c>
    </row>
    <row r="1370" spans="1:15" hidden="1">
      <c r="A1370" s="10" t="s">
        <v>73</v>
      </c>
      <c r="B1370" t="s">
        <v>7</v>
      </c>
      <c r="C1370">
        <v>4.16</v>
      </c>
      <c r="D1370">
        <v>3.68</v>
      </c>
      <c r="E1370" s="27">
        <v>113.0434783</v>
      </c>
      <c r="F1370">
        <v>7.75</v>
      </c>
      <c r="G1370">
        <v>0.2</v>
      </c>
      <c r="H1370">
        <v>7.95</v>
      </c>
      <c r="I1370">
        <v>97.48</v>
      </c>
      <c r="J1370">
        <v>52.33</v>
      </c>
      <c r="K1370" s="9">
        <v>45327</v>
      </c>
      <c r="L1370">
        <f xml:space="preserve"> (交易處理資料__3[[#This Row],[售出工時]] * 60) / 5</f>
        <v>49.92</v>
      </c>
      <c r="M1370" t="str">
        <f>VLOOKUP(交易處理資料__3[[#This Row],[人員代號]],團隊分組!$B$1:$C$52,2,FALSE)</f>
        <v>噴漆維修組</v>
      </c>
      <c r="N1370">
        <f>IF(交易處理資料__3[[#This Row],[上班時間]]=0,0,交易處理資料__3[[#This Row],[售出工時]]/交易處理資料__3[[#This Row],[上班時間]])</f>
        <v>0.52327044025157232</v>
      </c>
      <c r="O1370" s="31" t="str">
        <f>IF(交易處理資料__3[[#This Row],[上班時間]]=0,"否","是")</f>
        <v>是</v>
      </c>
    </row>
    <row r="1371" spans="1:15" hidden="1">
      <c r="A1371" s="10" t="s">
        <v>73</v>
      </c>
      <c r="B1371" t="s">
        <v>8</v>
      </c>
      <c r="C1371">
        <v>1.26</v>
      </c>
      <c r="D1371">
        <v>7.09</v>
      </c>
      <c r="E1371" s="27">
        <v>17.771509170000002</v>
      </c>
      <c r="F1371">
        <v>4.96</v>
      </c>
      <c r="G1371">
        <v>2.91</v>
      </c>
      <c r="H1371">
        <v>7.87</v>
      </c>
      <c r="I1371">
        <v>63.02</v>
      </c>
      <c r="J1371">
        <v>16.010000000000002</v>
      </c>
      <c r="K1371" s="9">
        <v>45327</v>
      </c>
      <c r="L1371">
        <f xml:space="preserve"> (交易處理資料__3[[#This Row],[售出工時]] * 60) / 5</f>
        <v>15.12</v>
      </c>
      <c r="M1371" t="str">
        <f>VLOOKUP(交易處理資料__3[[#This Row],[人員代號]],團隊分組!$B$1:$C$52,2,FALSE)</f>
        <v>噴漆維修組</v>
      </c>
      <c r="N1371">
        <f>IF(交易處理資料__3[[#This Row],[上班時間]]=0,0,交易處理資料__3[[#This Row],[售出工時]]/交易處理資料__3[[#This Row],[上班時間]])</f>
        <v>0.16010165184243963</v>
      </c>
      <c r="O1371" s="31" t="str">
        <f>IF(交易處理資料__3[[#This Row],[上班時間]]=0,"否","是")</f>
        <v>是</v>
      </c>
    </row>
    <row r="1372" spans="1:15" hidden="1">
      <c r="A1372" t="s">
        <v>74</v>
      </c>
      <c r="B1372" t="s">
        <v>13</v>
      </c>
      <c r="C1372">
        <v>11.54</v>
      </c>
      <c r="D1372">
        <v>5.7</v>
      </c>
      <c r="E1372" s="27">
        <v>202.45614040000001</v>
      </c>
      <c r="F1372">
        <v>3.86</v>
      </c>
      <c r="G1372">
        <v>4.13</v>
      </c>
      <c r="H1372">
        <v>7.99</v>
      </c>
      <c r="I1372">
        <v>48.31</v>
      </c>
      <c r="J1372">
        <v>144.43</v>
      </c>
      <c r="K1372" s="9">
        <v>45327</v>
      </c>
      <c r="L1372">
        <f xml:space="preserve"> (交易處理資料__3[[#This Row],[售出工時]] * 60) / 5</f>
        <v>138.47999999999999</v>
      </c>
      <c r="M1372" t="str">
        <f>VLOOKUP(交易處理資料__3[[#This Row],[人員代號]],團隊分組!$B$1:$C$52,2,FALSE)</f>
        <v>鈑金維修組</v>
      </c>
      <c r="N1372">
        <f>IF(交易處理資料__3[[#This Row],[上班時間]]=0,0,交易處理資料__3[[#This Row],[售出工時]]/交易處理資料__3[[#This Row],[上班時間]])</f>
        <v>1.4443053817271587</v>
      </c>
      <c r="O1372" s="31" t="str">
        <f>IF(交易處理資料__3[[#This Row],[上班時間]]=0,"否","是")</f>
        <v>是</v>
      </c>
    </row>
    <row r="1373" spans="1:15" hidden="1">
      <c r="A1373" t="s">
        <v>74</v>
      </c>
      <c r="B1373" t="s">
        <v>14</v>
      </c>
      <c r="C1373">
        <v>6.6366666670000001</v>
      </c>
      <c r="D1373">
        <v>3.85</v>
      </c>
      <c r="E1373" s="27">
        <v>172.38095240000001</v>
      </c>
      <c r="F1373">
        <v>3.63</v>
      </c>
      <c r="G1373">
        <v>4.3600000000000003</v>
      </c>
      <c r="H1373">
        <v>7.99</v>
      </c>
      <c r="I1373">
        <v>45.43</v>
      </c>
      <c r="J1373">
        <v>83.06</v>
      </c>
      <c r="K1373" s="9">
        <v>45327</v>
      </c>
      <c r="L1373">
        <f xml:space="preserve"> (交易處理資料__3[[#This Row],[售出工時]] * 60) / 5</f>
        <v>79.640000004000001</v>
      </c>
      <c r="M1373" t="str">
        <f>VLOOKUP(交易處理資料__3[[#This Row],[人員代號]],團隊分組!$B$1:$C$52,2,FALSE)</f>
        <v>鈑金維修組</v>
      </c>
      <c r="N1373">
        <f>IF(交易處理資料__3[[#This Row],[上班時間]]=0,0,交易處理資料__3[[#This Row],[售出工時]]/交易處理資料__3[[#This Row],[上班時間]])</f>
        <v>0.83062161038798499</v>
      </c>
      <c r="O1373" s="31" t="str">
        <f>IF(交易處理資料__3[[#This Row],[上班時間]]=0,"否","是")</f>
        <v>是</v>
      </c>
    </row>
    <row r="1374" spans="1:15" hidden="1">
      <c r="A1374" t="s">
        <v>74</v>
      </c>
      <c r="B1374" t="s">
        <v>15</v>
      </c>
      <c r="C1374">
        <v>1.95</v>
      </c>
      <c r="D1374">
        <v>3.08</v>
      </c>
      <c r="E1374" s="27">
        <v>63.311688310000001</v>
      </c>
      <c r="F1374">
        <v>3.63</v>
      </c>
      <c r="G1374">
        <v>4.3600000000000003</v>
      </c>
      <c r="H1374">
        <v>7.99</v>
      </c>
      <c r="I1374">
        <v>45.43</v>
      </c>
      <c r="J1374">
        <v>24.41</v>
      </c>
      <c r="K1374" s="9">
        <v>45327</v>
      </c>
      <c r="L1374">
        <f xml:space="preserve"> (交易處理資料__3[[#This Row],[售出工時]] * 60) / 5</f>
        <v>23.4</v>
      </c>
      <c r="M1374" t="str">
        <f>VLOOKUP(交易處理資料__3[[#This Row],[人員代號]],團隊分組!$B$1:$C$52,2,FALSE)</f>
        <v>鈑金維修組</v>
      </c>
      <c r="N1374">
        <f>IF(交易處理資料__3[[#This Row],[上班時間]]=0,0,交易處理資料__3[[#This Row],[售出工時]]/交易處理資料__3[[#This Row],[上班時間]])</f>
        <v>0.24405506883604505</v>
      </c>
      <c r="O1374" s="31" t="str">
        <f>IF(交易處理資料__3[[#This Row],[上班時間]]=0,"否","是")</f>
        <v>是</v>
      </c>
    </row>
    <row r="1375" spans="1:15" hidden="1">
      <c r="A1375" t="s">
        <v>75</v>
      </c>
      <c r="B1375" t="s">
        <v>17</v>
      </c>
      <c r="C1375">
        <v>9.6333333329999995</v>
      </c>
      <c r="D1375">
        <v>6.68</v>
      </c>
      <c r="E1375" s="27">
        <v>144.21157679999999</v>
      </c>
      <c r="F1375">
        <v>7.73</v>
      </c>
      <c r="G1375">
        <v>0.33</v>
      </c>
      <c r="H1375">
        <v>8.06</v>
      </c>
      <c r="I1375">
        <v>95.91</v>
      </c>
      <c r="J1375">
        <v>119.52</v>
      </c>
      <c r="K1375" s="9">
        <v>45327</v>
      </c>
      <c r="L1375">
        <f xml:space="preserve"> (交易處理資料__3[[#This Row],[售出工時]] * 60) / 5</f>
        <v>115.59999999599999</v>
      </c>
      <c r="M1375" t="str">
        <f>VLOOKUP(交易處理資料__3[[#This Row],[人員代號]],團隊分組!$B$1:$C$52,2,FALSE)</f>
        <v>快速保養團隊A</v>
      </c>
      <c r="N1375">
        <f>IF(交易處理資料__3[[#This Row],[上班時間]]=0,0,交易處理資料__3[[#This Row],[售出工時]]/交易處理資料__3[[#This Row],[上班時間]])</f>
        <v>1.1952026467741934</v>
      </c>
      <c r="O1375" s="31" t="str">
        <f>IF(交易處理資料__3[[#This Row],[上班時間]]=0,"否","是")</f>
        <v>是</v>
      </c>
    </row>
    <row r="1376" spans="1:15" hidden="1">
      <c r="A1376" t="s">
        <v>75</v>
      </c>
      <c r="B1376" t="s">
        <v>18</v>
      </c>
      <c r="C1376">
        <v>0</v>
      </c>
      <c r="D1376">
        <v>0</v>
      </c>
      <c r="E1376" s="27">
        <v>0</v>
      </c>
      <c r="F1376">
        <v>6.88</v>
      </c>
      <c r="G1376">
        <v>1.19</v>
      </c>
      <c r="H1376">
        <v>8.07</v>
      </c>
      <c r="I1376">
        <v>85.25</v>
      </c>
      <c r="J1376">
        <v>0</v>
      </c>
      <c r="K1376" s="9">
        <v>45327</v>
      </c>
      <c r="L1376">
        <f xml:space="preserve"> (交易處理資料__3[[#This Row],[售出工時]] * 60) / 5</f>
        <v>0</v>
      </c>
      <c r="M1376" t="str">
        <f>VLOOKUP(交易處理資料__3[[#This Row],[人員代號]],團隊分組!$B$1:$C$52,2,FALSE)</f>
        <v>查修團隊B</v>
      </c>
      <c r="N1376">
        <f>IF(交易處理資料__3[[#This Row],[上班時間]]=0,0,交易處理資料__3[[#This Row],[售出工時]]/交易處理資料__3[[#This Row],[上班時間]])</f>
        <v>0</v>
      </c>
      <c r="O1376" s="31" t="str">
        <f>IF(交易處理資料__3[[#This Row],[上班時間]]=0,"否","是")</f>
        <v>是</v>
      </c>
    </row>
    <row r="1377" spans="1:15" hidden="1">
      <c r="A1377" t="s">
        <v>75</v>
      </c>
      <c r="B1377" t="s">
        <v>19</v>
      </c>
      <c r="C1377">
        <v>3.03</v>
      </c>
      <c r="D1377">
        <v>4.6100000000000003</v>
      </c>
      <c r="E1377" s="27">
        <v>65.726681130000003</v>
      </c>
      <c r="F1377">
        <v>7.68</v>
      </c>
      <c r="G1377">
        <v>0.41</v>
      </c>
      <c r="H1377">
        <v>8.09</v>
      </c>
      <c r="I1377">
        <v>94.93</v>
      </c>
      <c r="J1377">
        <v>37.450000000000003</v>
      </c>
      <c r="K1377" s="9">
        <v>45327</v>
      </c>
      <c r="L1377">
        <f xml:space="preserve"> (交易處理資料__3[[#This Row],[售出工時]] * 60) / 5</f>
        <v>36.36</v>
      </c>
      <c r="M1377" t="str">
        <f>VLOOKUP(交易處理資料__3[[#This Row],[人員代號]],團隊分組!$B$1:$C$52,2,FALSE)</f>
        <v>查修團隊A</v>
      </c>
      <c r="N1377">
        <f>IF(交易處理資料__3[[#This Row],[上班時間]]=0,0,交易處理資料__3[[#This Row],[售出工時]]/交易處理資料__3[[#This Row],[上班時間]])</f>
        <v>0.37453646477132263</v>
      </c>
      <c r="O1377" s="31" t="str">
        <f>IF(交易處理資料__3[[#This Row],[上班時間]]=0,"否","是")</f>
        <v>是</v>
      </c>
    </row>
    <row r="1378" spans="1:15" hidden="1">
      <c r="A1378" t="s">
        <v>75</v>
      </c>
      <c r="B1378" t="s">
        <v>21</v>
      </c>
      <c r="C1378">
        <v>6.4366666669999999</v>
      </c>
      <c r="D1378">
        <v>3.61</v>
      </c>
      <c r="E1378" s="27">
        <v>178.30101569999999</v>
      </c>
      <c r="F1378">
        <v>5.9</v>
      </c>
      <c r="G1378">
        <v>2.11</v>
      </c>
      <c r="H1378">
        <v>8.01</v>
      </c>
      <c r="I1378">
        <v>73.66</v>
      </c>
      <c r="J1378">
        <v>80.36</v>
      </c>
      <c r="K1378" s="9">
        <v>45327</v>
      </c>
      <c r="L1378">
        <f xml:space="preserve"> (交易處理資料__3[[#This Row],[售出工時]] * 60) / 5</f>
        <v>77.240000003999995</v>
      </c>
      <c r="M1378" t="str">
        <f>VLOOKUP(交易處理資料__3[[#This Row],[人員代號]],團隊分組!$B$1:$C$52,2,FALSE)</f>
        <v>查修團隊B</v>
      </c>
      <c r="N1378">
        <f>IF(交易處理資料__3[[#This Row],[上班時間]]=0,0,交易處理資料__3[[#This Row],[售出工時]]/交易處理資料__3[[#This Row],[上班時間]])</f>
        <v>0.80357885980024968</v>
      </c>
      <c r="O1378" s="31" t="str">
        <f>IF(交易處理資料__3[[#This Row],[上班時間]]=0,"否","是")</f>
        <v>是</v>
      </c>
    </row>
    <row r="1379" spans="1:15" hidden="1">
      <c r="A1379" t="s">
        <v>75</v>
      </c>
      <c r="B1379" t="s">
        <v>22</v>
      </c>
      <c r="C1379">
        <v>0</v>
      </c>
      <c r="D1379">
        <v>0</v>
      </c>
      <c r="E1379" s="27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 s="9">
        <v>45327</v>
      </c>
      <c r="L1379">
        <f xml:space="preserve"> (交易處理資料__3[[#This Row],[售出工時]] * 60) / 5</f>
        <v>0</v>
      </c>
      <c r="M1379" t="str">
        <f>VLOOKUP(交易處理資料__3[[#This Row],[人員代號]],團隊分組!$B$1:$C$52,2,FALSE)</f>
        <v>快速保養團隊A</v>
      </c>
      <c r="N1379">
        <f>IF(交易處理資料__3[[#This Row],[上班時間]]=0,0,交易處理資料__3[[#This Row],[售出工時]]/交易處理資料__3[[#This Row],[上班時間]])</f>
        <v>0</v>
      </c>
      <c r="O1379" s="31" t="str">
        <f>IF(交易處理資料__3[[#This Row],[上班時間]]=0,"否","是")</f>
        <v>否</v>
      </c>
    </row>
    <row r="1380" spans="1:15" hidden="1">
      <c r="A1380" t="s">
        <v>75</v>
      </c>
      <c r="B1380" t="s">
        <v>26</v>
      </c>
      <c r="C1380">
        <v>3.1666666669999999</v>
      </c>
      <c r="D1380">
        <v>3.48</v>
      </c>
      <c r="E1380" s="27">
        <v>90.996168580000003</v>
      </c>
      <c r="F1380">
        <v>8.23</v>
      </c>
      <c r="G1380">
        <v>3.27</v>
      </c>
      <c r="H1380">
        <v>11.5</v>
      </c>
      <c r="I1380">
        <v>71.569999999999993</v>
      </c>
      <c r="J1380">
        <v>27.54</v>
      </c>
      <c r="K1380" s="9">
        <v>45327</v>
      </c>
      <c r="L1380">
        <f xml:space="preserve"> (交易處理資料__3[[#This Row],[售出工時]] * 60) / 5</f>
        <v>38.000000004</v>
      </c>
      <c r="M1380" t="str">
        <f>VLOOKUP(交易處理資料__3[[#This Row],[人員代號]],團隊分組!$B$1:$C$52,2,FALSE)</f>
        <v>查修團隊B</v>
      </c>
      <c r="N1380">
        <f>IF(交易處理資料__3[[#This Row],[上班時間]]=0,0,交易處理資料__3[[#This Row],[售出工時]]/交易處理資料__3[[#This Row],[上班時間]])</f>
        <v>0.27536231886956519</v>
      </c>
      <c r="O1380" s="31" t="str">
        <f>IF(交易處理資料__3[[#This Row],[上班時間]]=0,"否","是")</f>
        <v>是</v>
      </c>
    </row>
    <row r="1381" spans="1:15" hidden="1">
      <c r="A1381" t="s">
        <v>75</v>
      </c>
      <c r="B1381" t="s">
        <v>27</v>
      </c>
      <c r="C1381">
        <v>8.98</v>
      </c>
      <c r="D1381">
        <v>5.99</v>
      </c>
      <c r="E1381" s="27">
        <v>149.9165275</v>
      </c>
      <c r="F1381">
        <v>6.58</v>
      </c>
      <c r="G1381">
        <v>1.49</v>
      </c>
      <c r="H1381">
        <v>8.07</v>
      </c>
      <c r="I1381">
        <v>81.540000000000006</v>
      </c>
      <c r="J1381">
        <v>111.28</v>
      </c>
      <c r="K1381" s="9">
        <v>45327</v>
      </c>
      <c r="L1381">
        <f xml:space="preserve"> (交易處理資料__3[[#This Row],[售出工時]] * 60) / 5</f>
        <v>107.76000000000002</v>
      </c>
      <c r="M1381" t="str">
        <f>VLOOKUP(交易處理資料__3[[#This Row],[人員代號]],團隊分組!$B$1:$C$52,2,FALSE)</f>
        <v>快速保養團隊B</v>
      </c>
      <c r="N1381">
        <f>IF(交易處理資料__3[[#This Row],[上班時間]]=0,0,交易處理資料__3[[#This Row],[售出工時]]/交易處理資料__3[[#This Row],[上班時間]])</f>
        <v>1.1127633209417596</v>
      </c>
      <c r="O1381" s="31" t="str">
        <f>IF(交易處理資料__3[[#This Row],[上班時間]]=0,"否","是")</f>
        <v>是</v>
      </c>
    </row>
    <row r="1382" spans="1:15" hidden="1">
      <c r="A1382" t="s">
        <v>75</v>
      </c>
      <c r="B1382" t="s">
        <v>32</v>
      </c>
      <c r="C1382">
        <v>5</v>
      </c>
      <c r="D1382">
        <v>3.25</v>
      </c>
      <c r="E1382" s="27">
        <v>153.8461538</v>
      </c>
      <c r="F1382">
        <v>3.25</v>
      </c>
      <c r="G1382">
        <v>0.73</v>
      </c>
      <c r="H1382">
        <v>3.98</v>
      </c>
      <c r="I1382">
        <v>81.66</v>
      </c>
      <c r="J1382">
        <v>125.63</v>
      </c>
      <c r="K1382" s="9">
        <v>45327</v>
      </c>
      <c r="L1382">
        <f xml:space="preserve"> (交易處理資料__3[[#This Row],[售出工時]] * 60) / 5</f>
        <v>60</v>
      </c>
      <c r="M1382" t="str">
        <f>VLOOKUP(交易處理資料__3[[#This Row],[人員代號]],團隊分組!$B$1:$C$52,2,FALSE)</f>
        <v>快速保養團隊B</v>
      </c>
      <c r="N1382">
        <f>IF(交易處理資料__3[[#This Row],[上班時間]]=0,0,交易處理資料__3[[#This Row],[售出工時]]/交易處理資料__3[[#This Row],[上班時間]])</f>
        <v>1.256281407035176</v>
      </c>
      <c r="O1382" s="31" t="str">
        <f>IF(交易處理資料__3[[#This Row],[上班時間]]=0,"否","是")</f>
        <v>是</v>
      </c>
    </row>
    <row r="1383" spans="1:15">
      <c r="A1383" t="s">
        <v>75</v>
      </c>
      <c r="B1383" t="s">
        <v>33</v>
      </c>
      <c r="C1383">
        <v>0</v>
      </c>
      <c r="D1383">
        <v>0</v>
      </c>
      <c r="E1383" s="27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 s="9">
        <v>45327</v>
      </c>
      <c r="L1383">
        <f xml:space="preserve"> (交易處理資料__3[[#This Row],[售出工時]] * 60) / 5</f>
        <v>0</v>
      </c>
      <c r="M1383" t="str">
        <f>VLOOKUP(交易處理資料__3[[#This Row],[人員代號]],團隊分組!$B$1:$C$52,2,FALSE)</f>
        <v>快速保養團隊B</v>
      </c>
      <c r="N1383">
        <f>IF(交易處理資料__3[[#This Row],[上班時間]]=0,0,交易處理資料__3[[#This Row],[售出工時]]/交易處理資料__3[[#This Row],[上班時間]])</f>
        <v>0</v>
      </c>
      <c r="O1383" s="31" t="str">
        <f>IF(交易處理資料__3[[#This Row],[上班時間]]=0,"否","是")</f>
        <v>否</v>
      </c>
    </row>
    <row r="1384" spans="1:15" hidden="1">
      <c r="A1384" t="s">
        <v>75</v>
      </c>
      <c r="B1384" t="s">
        <v>34</v>
      </c>
      <c r="C1384">
        <v>6.6666666670000003</v>
      </c>
      <c r="D1384">
        <v>7.29</v>
      </c>
      <c r="E1384" s="27">
        <v>91.449474170000002</v>
      </c>
      <c r="F1384">
        <v>6.82</v>
      </c>
      <c r="G1384">
        <v>1.25</v>
      </c>
      <c r="H1384">
        <v>8.07</v>
      </c>
      <c r="I1384">
        <v>84.51</v>
      </c>
      <c r="J1384">
        <v>82.61</v>
      </c>
      <c r="K1384" s="9">
        <v>45327</v>
      </c>
      <c r="L1384">
        <f xml:space="preserve"> (交易處理資料__3[[#This Row],[售出工時]] * 60) / 5</f>
        <v>80.000000004</v>
      </c>
      <c r="M1384" t="str">
        <f>VLOOKUP(交易處理資料__3[[#This Row],[人員代號]],團隊分組!$B$1:$C$52,2,FALSE)</f>
        <v>快速保養團隊A</v>
      </c>
      <c r="N1384">
        <f>IF(交易處理資料__3[[#This Row],[上班時間]]=0,0,交易處理資料__3[[#This Row],[售出工時]]/交易處理資料__3[[#This Row],[上班時間]])</f>
        <v>0.82610491536555142</v>
      </c>
      <c r="O1384" s="31" t="str">
        <f>IF(交易處理資料__3[[#This Row],[上班時間]]=0,"否","是")</f>
        <v>是</v>
      </c>
    </row>
    <row r="1385" spans="1:15" hidden="1">
      <c r="A1385" t="s">
        <v>75</v>
      </c>
      <c r="B1385" t="s">
        <v>36</v>
      </c>
      <c r="C1385">
        <v>3.88</v>
      </c>
      <c r="D1385">
        <v>5.55</v>
      </c>
      <c r="E1385" s="27">
        <v>69.909909909999996</v>
      </c>
      <c r="F1385">
        <v>7.57</v>
      </c>
      <c r="G1385">
        <v>0.55000000000000004</v>
      </c>
      <c r="H1385">
        <v>8.1199999999999992</v>
      </c>
      <c r="I1385">
        <v>93.23</v>
      </c>
      <c r="J1385">
        <v>47.78</v>
      </c>
      <c r="K1385" s="9">
        <v>45327</v>
      </c>
      <c r="L1385">
        <f xml:space="preserve"> (交易處理資料__3[[#This Row],[售出工時]] * 60) / 5</f>
        <v>46.559999999999995</v>
      </c>
      <c r="M1385" t="str">
        <f>VLOOKUP(交易處理資料__3[[#This Row],[人員代號]],團隊分組!$B$1:$C$52,2,FALSE)</f>
        <v>查修團隊B</v>
      </c>
      <c r="N1385">
        <f>IF(交易處理資料__3[[#This Row],[上班時間]]=0,0,交易處理資料__3[[#This Row],[售出工時]]/交易處理資料__3[[#This Row],[上班時間]])</f>
        <v>0.47783251231527096</v>
      </c>
      <c r="O1385" s="31" t="str">
        <f>IF(交易處理資料__3[[#This Row],[上班時間]]=0,"否","是")</f>
        <v>是</v>
      </c>
    </row>
    <row r="1386" spans="1:15" hidden="1">
      <c r="A1386" t="s">
        <v>75</v>
      </c>
      <c r="B1386" t="s">
        <v>37</v>
      </c>
      <c r="C1386">
        <v>1.5</v>
      </c>
      <c r="D1386">
        <v>3.48</v>
      </c>
      <c r="E1386" s="27">
        <v>43.103448280000002</v>
      </c>
      <c r="F1386">
        <v>8.18</v>
      </c>
      <c r="G1386">
        <v>1.93</v>
      </c>
      <c r="H1386">
        <v>10.11</v>
      </c>
      <c r="I1386">
        <v>80.91</v>
      </c>
      <c r="J1386">
        <v>14.84</v>
      </c>
      <c r="K1386" s="9">
        <v>45327</v>
      </c>
      <c r="L1386">
        <f xml:space="preserve"> (交易處理資料__3[[#This Row],[售出工時]] * 60) / 5</f>
        <v>18</v>
      </c>
      <c r="M1386" t="str">
        <f>VLOOKUP(交易處理資料__3[[#This Row],[人員代號]],團隊分組!$B$1:$C$52,2,FALSE)</f>
        <v>查修團隊A</v>
      </c>
      <c r="N1386">
        <f>IF(交易處理資料__3[[#This Row],[上班時間]]=0,0,交易處理資料__3[[#This Row],[售出工時]]/交易處理資料__3[[#This Row],[上班時間]])</f>
        <v>0.14836795252225521</v>
      </c>
      <c r="O1386" s="31" t="str">
        <f>IF(交易處理資料__3[[#This Row],[上班時間]]=0,"否","是")</f>
        <v>是</v>
      </c>
    </row>
    <row r="1387" spans="1:15" hidden="1">
      <c r="A1387" t="s">
        <v>75</v>
      </c>
      <c r="B1387" t="s">
        <v>38</v>
      </c>
      <c r="C1387">
        <v>6.6666666670000003</v>
      </c>
      <c r="D1387">
        <v>2.46</v>
      </c>
      <c r="E1387" s="27">
        <v>271.00270999999998</v>
      </c>
      <c r="F1387">
        <v>7.53</v>
      </c>
      <c r="G1387">
        <v>1.1200000000000001</v>
      </c>
      <c r="H1387">
        <v>8.65</v>
      </c>
      <c r="I1387">
        <v>87.05</v>
      </c>
      <c r="J1387">
        <v>77.069999999999993</v>
      </c>
      <c r="K1387" s="9">
        <v>45327</v>
      </c>
      <c r="L1387">
        <f xml:space="preserve"> (交易處理資料__3[[#This Row],[售出工時]] * 60) / 5</f>
        <v>80.000000004</v>
      </c>
      <c r="M1387" t="str">
        <f>VLOOKUP(交易處理資料__3[[#This Row],[人員代號]],團隊分組!$B$1:$C$52,2,FALSE)</f>
        <v>快速保養團隊A</v>
      </c>
      <c r="N1387">
        <f>IF(交易處理資料__3[[#This Row],[上班時間]]=0,0,交易處理資料__3[[#This Row],[售出工時]]/交易處理資料__3[[#This Row],[上班時間]])</f>
        <v>0.77071290947976878</v>
      </c>
      <c r="O1387" s="31" t="str">
        <f>IF(交易處理資料__3[[#This Row],[上班時間]]=0,"否","是")</f>
        <v>是</v>
      </c>
    </row>
    <row r="1388" spans="1:15" hidden="1">
      <c r="A1388" t="s">
        <v>75</v>
      </c>
      <c r="B1388" t="s">
        <v>40</v>
      </c>
      <c r="C1388">
        <v>1</v>
      </c>
      <c r="D1388">
        <v>0.62</v>
      </c>
      <c r="E1388" s="27">
        <v>161.2903226</v>
      </c>
      <c r="F1388">
        <v>7.62</v>
      </c>
      <c r="G1388">
        <v>0.64</v>
      </c>
      <c r="H1388">
        <v>8.26</v>
      </c>
      <c r="I1388">
        <v>92.25</v>
      </c>
      <c r="J1388">
        <v>12.11</v>
      </c>
      <c r="K1388" s="9">
        <v>45327</v>
      </c>
      <c r="L1388">
        <f xml:space="preserve"> (交易處理資料__3[[#This Row],[售出工時]] * 60) / 5</f>
        <v>12</v>
      </c>
      <c r="M1388" t="str">
        <f>VLOOKUP(交易處理資料__3[[#This Row],[人員代號]],團隊分組!$B$1:$C$52,2,FALSE)</f>
        <v>查修團隊A</v>
      </c>
      <c r="N1388">
        <f>IF(交易處理資料__3[[#This Row],[上班時間]]=0,0,交易處理資料__3[[#This Row],[售出工時]]/交易處理資料__3[[#This Row],[上班時間]])</f>
        <v>0.12106537530266344</v>
      </c>
      <c r="O1388" s="31" t="str">
        <f>IF(交易處理資料__3[[#This Row],[上班時間]]=0,"否","是")</f>
        <v>是</v>
      </c>
    </row>
    <row r="1389" spans="1:15" hidden="1">
      <c r="A1389" t="s">
        <v>75</v>
      </c>
      <c r="B1389" t="s">
        <v>41</v>
      </c>
      <c r="C1389">
        <v>12.08333333</v>
      </c>
      <c r="D1389">
        <v>6.93</v>
      </c>
      <c r="E1389" s="27">
        <v>174.3626744</v>
      </c>
      <c r="F1389">
        <v>6.52</v>
      </c>
      <c r="G1389">
        <v>1.43</v>
      </c>
      <c r="H1389">
        <v>7.95</v>
      </c>
      <c r="I1389">
        <v>82.01</v>
      </c>
      <c r="J1389">
        <v>151.99</v>
      </c>
      <c r="K1389" s="9">
        <v>45327</v>
      </c>
      <c r="L1389">
        <f xml:space="preserve"> (交易處理資料__3[[#This Row],[售出工時]] * 60) / 5</f>
        <v>144.99999996000003</v>
      </c>
      <c r="M1389" t="str">
        <f>VLOOKUP(交易處理資料__3[[#This Row],[人員代號]],團隊分組!$B$1:$C$52,2,FALSE)</f>
        <v>快速保養團隊A</v>
      </c>
      <c r="N1389">
        <f>IF(交易處理資料__3[[#This Row],[上班時間]]=0,0,交易處理資料__3[[#This Row],[售出工時]]/交易處理資料__3[[#This Row],[上班時間]])</f>
        <v>1.5199161421383647</v>
      </c>
      <c r="O1389" s="31" t="str">
        <f>IF(交易處理資料__3[[#This Row],[上班時間]]=0,"否","是")</f>
        <v>是</v>
      </c>
    </row>
    <row r="1390" spans="1:15" hidden="1">
      <c r="A1390" t="s">
        <v>75</v>
      </c>
      <c r="B1390" t="s">
        <v>42</v>
      </c>
      <c r="C1390">
        <v>6.3333333329999997</v>
      </c>
      <c r="D1390">
        <v>4.5199999999999996</v>
      </c>
      <c r="E1390" s="27">
        <v>140.1179941</v>
      </c>
      <c r="F1390">
        <v>4.8899999999999997</v>
      </c>
      <c r="G1390">
        <v>3.18</v>
      </c>
      <c r="H1390">
        <v>8.07</v>
      </c>
      <c r="I1390">
        <v>60.59</v>
      </c>
      <c r="J1390">
        <v>78.48</v>
      </c>
      <c r="K1390" s="9">
        <v>45327</v>
      </c>
      <c r="L1390">
        <f xml:space="preserve"> (交易處理資料__3[[#This Row],[售出工時]] * 60) / 5</f>
        <v>75.999999996</v>
      </c>
      <c r="M1390" t="str">
        <f>VLOOKUP(交易處理資料__3[[#This Row],[人員代號]],團隊分組!$B$1:$C$52,2,FALSE)</f>
        <v>快速保養團隊A</v>
      </c>
      <c r="N1390">
        <f>IF(交易處理資料__3[[#This Row],[上班時間]]=0,0,交易處理資料__3[[#This Row],[售出工時]]/交易處理資料__3[[#This Row],[上班時間]])</f>
        <v>0.78479966951672853</v>
      </c>
      <c r="O1390" s="31" t="str">
        <f>IF(交易處理資料__3[[#This Row],[上班時間]]=0,"否","是")</f>
        <v>是</v>
      </c>
    </row>
    <row r="1391" spans="1:15" hidden="1">
      <c r="A1391" t="s">
        <v>75</v>
      </c>
      <c r="B1391" t="s">
        <v>44</v>
      </c>
      <c r="C1391">
        <v>3.996666667</v>
      </c>
      <c r="D1391">
        <v>4.25</v>
      </c>
      <c r="E1391" s="27">
        <v>94.039215690000006</v>
      </c>
      <c r="F1391">
        <v>8.36</v>
      </c>
      <c r="G1391">
        <v>0.37</v>
      </c>
      <c r="H1391">
        <v>8.73</v>
      </c>
      <c r="I1391">
        <v>95.76</v>
      </c>
      <c r="J1391">
        <v>45.78</v>
      </c>
      <c r="K1391" s="9">
        <v>45327</v>
      </c>
      <c r="L1391">
        <f xml:space="preserve"> (交易處理資料__3[[#This Row],[售出工時]] * 60) / 5</f>
        <v>47.960000004000001</v>
      </c>
      <c r="M1391" t="str">
        <f>VLOOKUP(交易處理資料__3[[#This Row],[人員代號]],團隊分組!$B$1:$C$52,2,FALSE)</f>
        <v>快速保養團隊B</v>
      </c>
      <c r="N1391">
        <f>IF(交易處理資料__3[[#This Row],[上班時間]]=0,0,交易處理資料__3[[#This Row],[售出工時]]/交易處理資料__3[[#This Row],[上班時間]])</f>
        <v>0.45780832382588771</v>
      </c>
      <c r="O1391" s="31" t="str">
        <f>IF(交易處理資料__3[[#This Row],[上班時間]]=0,"否","是")</f>
        <v>是</v>
      </c>
    </row>
    <row r="1392" spans="1:15" hidden="1">
      <c r="A1392" t="s">
        <v>75</v>
      </c>
      <c r="B1392" t="s">
        <v>45</v>
      </c>
      <c r="C1392">
        <v>5.75</v>
      </c>
      <c r="D1392">
        <v>4.58</v>
      </c>
      <c r="E1392" s="27">
        <v>125.5458515</v>
      </c>
      <c r="F1392">
        <v>7.51</v>
      </c>
      <c r="G1392">
        <v>0.65</v>
      </c>
      <c r="H1392">
        <v>8.16</v>
      </c>
      <c r="I1392">
        <v>92.03</v>
      </c>
      <c r="J1392">
        <v>70.47</v>
      </c>
      <c r="K1392" s="9">
        <v>45327</v>
      </c>
      <c r="L1392">
        <f xml:space="preserve"> (交易處理資料__3[[#This Row],[售出工時]] * 60) / 5</f>
        <v>69</v>
      </c>
      <c r="M1392" t="str">
        <f>VLOOKUP(交易處理資料__3[[#This Row],[人員代號]],團隊分組!$B$1:$C$52,2,FALSE)</f>
        <v>快速保養團隊A</v>
      </c>
      <c r="N1392">
        <f>IF(交易處理資料__3[[#This Row],[上班時間]]=0,0,交易處理資料__3[[#This Row],[售出工時]]/交易處理資料__3[[#This Row],[上班時間]])</f>
        <v>0.70465686274509798</v>
      </c>
      <c r="O1392" s="31" t="str">
        <f>IF(交易處理資料__3[[#This Row],[上班時間]]=0,"否","是")</f>
        <v>是</v>
      </c>
    </row>
    <row r="1393" spans="1:15" hidden="1">
      <c r="A1393" t="s">
        <v>75</v>
      </c>
      <c r="B1393" t="s">
        <v>46</v>
      </c>
      <c r="C1393">
        <v>5.8333333329999997</v>
      </c>
      <c r="D1393">
        <v>4.03</v>
      </c>
      <c r="E1393" s="27">
        <v>144.74772540000001</v>
      </c>
      <c r="F1393">
        <v>5.04</v>
      </c>
      <c r="G1393">
        <v>2.98</v>
      </c>
      <c r="H1393">
        <v>8.02</v>
      </c>
      <c r="I1393">
        <v>62.84</v>
      </c>
      <c r="J1393">
        <v>72.73</v>
      </c>
      <c r="K1393" s="9">
        <v>45327</v>
      </c>
      <c r="L1393">
        <f xml:space="preserve"> (交易處理資料__3[[#This Row],[售出工時]] * 60) / 5</f>
        <v>69.999999996</v>
      </c>
      <c r="M1393" t="str">
        <f>VLOOKUP(交易處理資料__3[[#This Row],[人員代號]],團隊分組!$B$1:$C$52,2,FALSE)</f>
        <v>查修團隊B</v>
      </c>
      <c r="N1393">
        <f>IF(交易處理資料__3[[#This Row],[上班時間]]=0,0,交易處理資料__3[[#This Row],[售出工時]]/交易處理資料__3[[#This Row],[上班時間]])</f>
        <v>0.72734829588528682</v>
      </c>
      <c r="O1393" s="31" t="str">
        <f>IF(交易處理資料__3[[#This Row],[上班時間]]=0,"否","是")</f>
        <v>是</v>
      </c>
    </row>
    <row r="1394" spans="1:15" hidden="1">
      <c r="A1394" t="s">
        <v>75</v>
      </c>
      <c r="B1394" t="s">
        <v>47</v>
      </c>
      <c r="C1394">
        <v>0</v>
      </c>
      <c r="D1394">
        <v>0</v>
      </c>
      <c r="E1394" s="27">
        <v>0</v>
      </c>
      <c r="F1394">
        <v>6.64</v>
      </c>
      <c r="G1394">
        <v>1.55</v>
      </c>
      <c r="H1394">
        <v>8.19</v>
      </c>
      <c r="I1394">
        <v>81.069999999999993</v>
      </c>
      <c r="J1394">
        <v>0</v>
      </c>
      <c r="K1394" s="9">
        <v>45327</v>
      </c>
      <c r="L1394">
        <f xml:space="preserve"> (交易處理資料__3[[#This Row],[售出工時]] * 60) / 5</f>
        <v>0</v>
      </c>
      <c r="M1394" t="str">
        <f>VLOOKUP(交易處理資料__3[[#This Row],[人員代號]],團隊分組!$B$1:$C$52,2,FALSE)</f>
        <v>查修團隊B</v>
      </c>
      <c r="N1394">
        <f>IF(交易處理資料__3[[#This Row],[上班時間]]=0,0,交易處理資料__3[[#This Row],[售出工時]]/交易處理資料__3[[#This Row],[上班時間]])</f>
        <v>0</v>
      </c>
      <c r="O1394" s="31" t="str">
        <f>IF(交易處理資料__3[[#This Row],[上班時間]]=0,"否","是")</f>
        <v>是</v>
      </c>
    </row>
    <row r="1395" spans="1:15" hidden="1">
      <c r="A1395" t="s">
        <v>75</v>
      </c>
      <c r="B1395" t="s">
        <v>49</v>
      </c>
      <c r="C1395">
        <v>4.1399999999999997</v>
      </c>
      <c r="D1395">
        <v>7.58</v>
      </c>
      <c r="E1395" s="27">
        <v>54.617414250000003</v>
      </c>
      <c r="F1395">
        <v>7.71</v>
      </c>
      <c r="G1395">
        <v>0.4</v>
      </c>
      <c r="H1395">
        <v>8.11</v>
      </c>
      <c r="I1395">
        <v>95.07</v>
      </c>
      <c r="J1395">
        <v>51.05</v>
      </c>
      <c r="K1395" s="9">
        <v>45327</v>
      </c>
      <c r="L1395">
        <f xml:space="preserve"> (交易處理資料__3[[#This Row],[售出工時]] * 60) / 5</f>
        <v>49.679999999999993</v>
      </c>
      <c r="M1395" t="str">
        <f>VLOOKUP(交易處理資料__3[[#This Row],[人員代號]],團隊分組!$B$1:$C$52,2,FALSE)</f>
        <v>查修團隊A</v>
      </c>
      <c r="N1395">
        <f>IF(交易處理資料__3[[#This Row],[上班時間]]=0,0,交易處理資料__3[[#This Row],[售出工時]]/交易處理資料__3[[#This Row],[上班時間]])</f>
        <v>0.51048088779284828</v>
      </c>
      <c r="O1395" s="31" t="str">
        <f>IF(交易處理資料__3[[#This Row],[上班時間]]=0,"否","是")</f>
        <v>是</v>
      </c>
    </row>
    <row r="1396" spans="1:15" hidden="1">
      <c r="A1396" t="s">
        <v>75</v>
      </c>
      <c r="B1396" t="s">
        <v>50</v>
      </c>
      <c r="C1396">
        <v>6.0833333329999997</v>
      </c>
      <c r="D1396">
        <v>4.1900000000000004</v>
      </c>
      <c r="E1396" s="27">
        <v>145.18695310000001</v>
      </c>
      <c r="F1396">
        <v>7.63</v>
      </c>
      <c r="G1396">
        <v>0.38</v>
      </c>
      <c r="H1396">
        <v>8.01</v>
      </c>
      <c r="I1396">
        <v>95.26</v>
      </c>
      <c r="J1396">
        <v>75.95</v>
      </c>
      <c r="K1396" s="9">
        <v>45327</v>
      </c>
      <c r="L1396">
        <f xml:space="preserve"> (交易處理資料__3[[#This Row],[售出工時]] * 60) / 5</f>
        <v>72.999999996</v>
      </c>
      <c r="M1396" t="str">
        <f>VLOOKUP(交易處理資料__3[[#This Row],[人員代號]],團隊分組!$B$1:$C$52,2,FALSE)</f>
        <v>快速保養團隊B</v>
      </c>
      <c r="N1396">
        <f>IF(交易處理資料__3[[#This Row],[上班時間]]=0,0,交易處理資料__3[[#This Row],[售出工時]]/交易處理資料__3[[#This Row],[上班時間]])</f>
        <v>0.75946733245942566</v>
      </c>
      <c r="O1396" s="31" t="str">
        <f>IF(交易處理資料__3[[#This Row],[上班時間]]=0,"否","是")</f>
        <v>是</v>
      </c>
    </row>
    <row r="1397" spans="1:15" hidden="1">
      <c r="A1397" t="s">
        <v>75</v>
      </c>
      <c r="B1397" t="s">
        <v>51</v>
      </c>
      <c r="C1397">
        <v>0</v>
      </c>
      <c r="D1397">
        <v>0</v>
      </c>
      <c r="E1397" s="2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 s="9">
        <v>45327</v>
      </c>
      <c r="L1397">
        <f xml:space="preserve"> (交易處理資料__3[[#This Row],[售出工時]] * 60) / 5</f>
        <v>0</v>
      </c>
      <c r="M1397" t="str">
        <f>VLOOKUP(交易處理資料__3[[#This Row],[人員代號]],團隊分組!$B$1:$C$52,2,FALSE)</f>
        <v>無效數據</v>
      </c>
      <c r="N1397">
        <f>IF(交易處理資料__3[[#This Row],[上班時間]]=0,0,交易處理資料__3[[#This Row],[售出工時]]/交易處理資料__3[[#This Row],[上班時間]])</f>
        <v>0</v>
      </c>
      <c r="O1397" s="31" t="str">
        <f>IF(交易處理資料__3[[#This Row],[上班時間]]=0,"否","是")</f>
        <v>否</v>
      </c>
    </row>
    <row r="1398" spans="1:15" hidden="1">
      <c r="A1398" t="s">
        <v>75</v>
      </c>
      <c r="B1398" t="s">
        <v>53</v>
      </c>
      <c r="C1398">
        <v>5.5833333329999997</v>
      </c>
      <c r="D1398">
        <v>4.41</v>
      </c>
      <c r="E1398" s="27">
        <v>126.60619800000001</v>
      </c>
      <c r="F1398">
        <v>8.33</v>
      </c>
      <c r="G1398">
        <v>1.19</v>
      </c>
      <c r="H1398">
        <v>9.52</v>
      </c>
      <c r="I1398">
        <v>87.5</v>
      </c>
      <c r="J1398">
        <v>58.65</v>
      </c>
      <c r="K1398" s="9">
        <v>45327</v>
      </c>
      <c r="L1398">
        <f xml:space="preserve"> (交易處理資料__3[[#This Row],[售出工時]] * 60) / 5</f>
        <v>66.999999996</v>
      </c>
      <c r="M1398" t="str">
        <f>VLOOKUP(交易處理資料__3[[#This Row],[人員代號]],團隊分組!$B$1:$C$52,2,FALSE)</f>
        <v>查修團隊A</v>
      </c>
      <c r="N1398">
        <f>IF(交易處理資料__3[[#This Row],[上班時間]]=0,0,交易處理資料__3[[#This Row],[售出工時]]/交易處理資料__3[[#This Row],[上班時間]])</f>
        <v>0.58648459380252105</v>
      </c>
      <c r="O1398" s="31" t="str">
        <f>IF(交易處理資料__3[[#This Row],[上班時間]]=0,"否","是")</f>
        <v>是</v>
      </c>
    </row>
    <row r="1399" spans="1:15" hidden="1">
      <c r="A1399" s="10" t="s">
        <v>73</v>
      </c>
      <c r="B1399" t="s">
        <v>1</v>
      </c>
      <c r="C1399">
        <v>0</v>
      </c>
      <c r="D1399">
        <v>0</v>
      </c>
      <c r="E1399" s="27">
        <v>0</v>
      </c>
      <c r="F1399">
        <v>3.4</v>
      </c>
      <c r="G1399">
        <v>4.6500000000000004</v>
      </c>
      <c r="H1399">
        <v>8.0500000000000007</v>
      </c>
      <c r="I1399">
        <v>42.24</v>
      </c>
      <c r="J1399">
        <v>0</v>
      </c>
      <c r="K1399" s="9">
        <v>45328</v>
      </c>
      <c r="L1399">
        <f xml:space="preserve"> (交易處理資料__3[[#This Row],[售出工時]] * 60) / 5</f>
        <v>0</v>
      </c>
      <c r="M1399" t="str">
        <f>VLOOKUP(交易處理資料__3[[#This Row],[人員代號]],團隊分組!$B$1:$C$52,2,FALSE)</f>
        <v>噴漆維修組</v>
      </c>
      <c r="N1399">
        <f>IF(交易處理資料__3[[#This Row],[上班時間]]=0,0,交易處理資料__3[[#This Row],[售出工時]]/交易處理資料__3[[#This Row],[上班時間]])</f>
        <v>0</v>
      </c>
      <c r="O1399" s="31" t="str">
        <f>IF(交易處理資料__3[[#This Row],[上班時間]]=0,"否","是")</f>
        <v>是</v>
      </c>
    </row>
    <row r="1400" spans="1:15" hidden="1">
      <c r="A1400" s="10" t="s">
        <v>73</v>
      </c>
      <c r="B1400" t="s">
        <v>4</v>
      </c>
      <c r="C1400">
        <v>0</v>
      </c>
      <c r="D1400">
        <v>0</v>
      </c>
      <c r="E1400" s="27">
        <v>0</v>
      </c>
      <c r="F1400">
        <v>0</v>
      </c>
      <c r="G1400">
        <v>8.1</v>
      </c>
      <c r="H1400">
        <v>8.1</v>
      </c>
      <c r="I1400">
        <v>0</v>
      </c>
      <c r="J1400">
        <v>0</v>
      </c>
      <c r="K1400" s="9">
        <v>45328</v>
      </c>
      <c r="L1400">
        <f xml:space="preserve"> (交易處理資料__3[[#This Row],[售出工時]] * 60) / 5</f>
        <v>0</v>
      </c>
      <c r="M1400" t="str">
        <f>VLOOKUP(交易處理資料__3[[#This Row],[人員代號]],團隊分組!$B$1:$C$52,2,FALSE)</f>
        <v>噴漆維修組</v>
      </c>
      <c r="N1400">
        <f>IF(交易處理資料__3[[#This Row],[上班時間]]=0,0,交易處理資料__3[[#This Row],[售出工時]]/交易處理資料__3[[#This Row],[上班時間]])</f>
        <v>0</v>
      </c>
      <c r="O1400" s="31" t="str">
        <f>IF(交易處理資料__3[[#This Row],[上班時間]]=0,"否","是")</f>
        <v>是</v>
      </c>
    </row>
    <row r="1401" spans="1:15" hidden="1">
      <c r="A1401" s="10" t="s">
        <v>73</v>
      </c>
      <c r="B1401" t="s">
        <v>6</v>
      </c>
      <c r="C1401">
        <v>1.53</v>
      </c>
      <c r="D1401">
        <v>7.68</v>
      </c>
      <c r="E1401" s="27">
        <v>19.921875</v>
      </c>
      <c r="F1401">
        <v>7.74</v>
      </c>
      <c r="G1401">
        <v>0.26</v>
      </c>
      <c r="H1401">
        <v>8</v>
      </c>
      <c r="I1401">
        <v>96.75</v>
      </c>
      <c r="J1401">
        <v>19.13</v>
      </c>
      <c r="K1401" s="9">
        <v>45328</v>
      </c>
      <c r="L1401">
        <f xml:space="preserve"> (交易處理資料__3[[#This Row],[售出工時]] * 60) / 5</f>
        <v>18.36</v>
      </c>
      <c r="M1401" t="str">
        <f>VLOOKUP(交易處理資料__3[[#This Row],[人員代號]],團隊分組!$B$1:$C$52,2,FALSE)</f>
        <v>噴漆維修組</v>
      </c>
      <c r="N1401">
        <f>IF(交易處理資料__3[[#This Row],[上班時間]]=0,0,交易處理資料__3[[#This Row],[售出工時]]/交易處理資料__3[[#This Row],[上班時間]])</f>
        <v>0.19125</v>
      </c>
      <c r="O1401" s="31" t="str">
        <f>IF(交易處理資料__3[[#This Row],[上班時間]]=0,"否","是")</f>
        <v>是</v>
      </c>
    </row>
    <row r="1402" spans="1:15" hidden="1">
      <c r="A1402" s="10" t="s">
        <v>73</v>
      </c>
      <c r="B1402" t="s">
        <v>8</v>
      </c>
      <c r="C1402">
        <v>0</v>
      </c>
      <c r="D1402">
        <v>0</v>
      </c>
      <c r="E1402" s="27">
        <v>0</v>
      </c>
      <c r="F1402">
        <v>0</v>
      </c>
      <c r="G1402">
        <v>8.1</v>
      </c>
      <c r="H1402">
        <v>8.1</v>
      </c>
      <c r="I1402">
        <v>0</v>
      </c>
      <c r="J1402">
        <v>0</v>
      </c>
      <c r="K1402" s="9">
        <v>45328</v>
      </c>
      <c r="L1402">
        <f xml:space="preserve"> (交易處理資料__3[[#This Row],[售出工時]] * 60) / 5</f>
        <v>0</v>
      </c>
      <c r="M1402" t="str">
        <f>VLOOKUP(交易處理資料__3[[#This Row],[人員代號]],團隊分組!$B$1:$C$52,2,FALSE)</f>
        <v>噴漆維修組</v>
      </c>
      <c r="N1402">
        <f>IF(交易處理資料__3[[#This Row],[上班時間]]=0,0,交易處理資料__3[[#This Row],[售出工時]]/交易處理資料__3[[#This Row],[上班時間]])</f>
        <v>0</v>
      </c>
      <c r="O1402" s="31" t="str">
        <f>IF(交易處理資料__3[[#This Row],[上班時間]]=0,"否","是")</f>
        <v>是</v>
      </c>
    </row>
    <row r="1403" spans="1:15" hidden="1">
      <c r="A1403" s="10" t="s">
        <v>73</v>
      </c>
      <c r="B1403" t="s">
        <v>9</v>
      </c>
      <c r="C1403">
        <v>4.4166666670000003</v>
      </c>
      <c r="D1403">
        <v>3.73</v>
      </c>
      <c r="E1403" s="27">
        <v>118.409294</v>
      </c>
      <c r="F1403">
        <v>3.47</v>
      </c>
      <c r="G1403">
        <v>4.58</v>
      </c>
      <c r="H1403">
        <v>8.0500000000000007</v>
      </c>
      <c r="I1403">
        <v>43.11</v>
      </c>
      <c r="J1403">
        <v>54.87</v>
      </c>
      <c r="K1403" s="9">
        <v>45328</v>
      </c>
      <c r="L1403">
        <f xml:space="preserve"> (交易處理資料__3[[#This Row],[售出工時]] * 60) / 5</f>
        <v>53.000000004</v>
      </c>
      <c r="M1403" t="str">
        <f>VLOOKUP(交易處理資料__3[[#This Row],[人員代號]],團隊分組!$B$1:$C$52,2,FALSE)</f>
        <v>噴漆維修組</v>
      </c>
      <c r="N1403">
        <f>IF(交易處理資料__3[[#This Row],[上班時間]]=0,0,交易處理資料__3[[#This Row],[售出工時]]/交易處理資料__3[[#This Row],[上班時間]])</f>
        <v>0.54865424434782606</v>
      </c>
      <c r="O1403" s="31" t="str">
        <f>IF(交易處理資料__3[[#This Row],[上班時間]]=0,"否","是")</f>
        <v>是</v>
      </c>
    </row>
    <row r="1404" spans="1:15" hidden="1">
      <c r="A1404" t="s">
        <v>74</v>
      </c>
      <c r="B1404" t="s">
        <v>11</v>
      </c>
      <c r="C1404">
        <v>0</v>
      </c>
      <c r="D1404">
        <v>0</v>
      </c>
      <c r="E1404" s="27">
        <v>0</v>
      </c>
      <c r="F1404">
        <v>2.97</v>
      </c>
      <c r="G1404">
        <v>5.1100000000000003</v>
      </c>
      <c r="H1404">
        <v>8.08</v>
      </c>
      <c r="I1404">
        <v>36.76</v>
      </c>
      <c r="J1404">
        <v>0</v>
      </c>
      <c r="K1404" s="9">
        <v>45328</v>
      </c>
      <c r="L1404">
        <f xml:space="preserve"> (交易處理資料__3[[#This Row],[售出工時]] * 60) / 5</f>
        <v>0</v>
      </c>
      <c r="M1404" t="str">
        <f>VLOOKUP(交易處理資料__3[[#This Row],[人員代號]],團隊分組!$B$1:$C$52,2,FALSE)</f>
        <v>鈑金維修組</v>
      </c>
      <c r="N1404">
        <f>IF(交易處理資料__3[[#This Row],[上班時間]]=0,0,交易處理資料__3[[#This Row],[售出工時]]/交易處理資料__3[[#This Row],[上班時間]])</f>
        <v>0</v>
      </c>
      <c r="O1404" s="31" t="str">
        <f>IF(交易處理資料__3[[#This Row],[上班時間]]=0,"否","是")</f>
        <v>是</v>
      </c>
    </row>
    <row r="1405" spans="1:15" hidden="1">
      <c r="A1405" t="s">
        <v>74</v>
      </c>
      <c r="B1405" t="s">
        <v>13</v>
      </c>
      <c r="C1405">
        <v>14.66666667</v>
      </c>
      <c r="D1405">
        <v>7.06</v>
      </c>
      <c r="E1405" s="27">
        <v>207.74315390000001</v>
      </c>
      <c r="F1405">
        <v>2.97</v>
      </c>
      <c r="G1405">
        <v>5.13</v>
      </c>
      <c r="H1405">
        <v>8.1</v>
      </c>
      <c r="I1405">
        <v>36.67</v>
      </c>
      <c r="J1405">
        <v>181.07</v>
      </c>
      <c r="K1405" s="9">
        <v>45328</v>
      </c>
      <c r="L1405">
        <f xml:space="preserve"> (交易處理資料__3[[#This Row],[售出工時]] * 60) / 5</f>
        <v>176.00000003999997</v>
      </c>
      <c r="M1405" t="str">
        <f>VLOOKUP(交易處理資料__3[[#This Row],[人員代號]],團隊分組!$B$1:$C$52,2,FALSE)</f>
        <v>鈑金維修組</v>
      </c>
      <c r="N1405">
        <f>IF(交易處理資料__3[[#This Row],[上班時間]]=0,0,交易處理資料__3[[#This Row],[售出工時]]/交易處理資料__3[[#This Row],[上班時間]])</f>
        <v>1.8106995888888888</v>
      </c>
      <c r="O1405" s="31" t="str">
        <f>IF(交易處理資料__3[[#This Row],[上班時間]]=0,"否","是")</f>
        <v>是</v>
      </c>
    </row>
    <row r="1406" spans="1:15" hidden="1">
      <c r="A1406" t="s">
        <v>74</v>
      </c>
      <c r="B1406" t="s">
        <v>14</v>
      </c>
      <c r="C1406">
        <v>0</v>
      </c>
      <c r="D1406">
        <v>0</v>
      </c>
      <c r="E1406" s="27">
        <v>0</v>
      </c>
      <c r="F1406">
        <v>2.15</v>
      </c>
      <c r="G1406">
        <v>6.01</v>
      </c>
      <c r="H1406">
        <v>8.16</v>
      </c>
      <c r="I1406">
        <v>26.35</v>
      </c>
      <c r="J1406">
        <v>0</v>
      </c>
      <c r="K1406" s="9">
        <v>45328</v>
      </c>
      <c r="L1406">
        <f xml:space="preserve"> (交易處理資料__3[[#This Row],[售出工時]] * 60) / 5</f>
        <v>0</v>
      </c>
      <c r="M1406" t="str">
        <f>VLOOKUP(交易處理資料__3[[#This Row],[人員代號]],團隊分組!$B$1:$C$52,2,FALSE)</f>
        <v>鈑金維修組</v>
      </c>
      <c r="N1406">
        <f>IF(交易處理資料__3[[#This Row],[上班時間]]=0,0,交易處理資料__3[[#This Row],[售出工時]]/交易處理資料__3[[#This Row],[上班時間]])</f>
        <v>0</v>
      </c>
      <c r="O1406" s="31" t="str">
        <f>IF(交易處理資料__3[[#This Row],[上班時間]]=0,"否","是")</f>
        <v>是</v>
      </c>
    </row>
    <row r="1407" spans="1:15" hidden="1">
      <c r="A1407" t="s">
        <v>74</v>
      </c>
      <c r="B1407" t="s">
        <v>15</v>
      </c>
      <c r="C1407">
        <v>0</v>
      </c>
      <c r="D1407">
        <v>0</v>
      </c>
      <c r="E1407" s="27">
        <v>0</v>
      </c>
      <c r="F1407">
        <v>3.17</v>
      </c>
      <c r="G1407">
        <v>4.9400000000000004</v>
      </c>
      <c r="H1407">
        <v>8.11</v>
      </c>
      <c r="I1407">
        <v>39.090000000000003</v>
      </c>
      <c r="J1407">
        <v>0</v>
      </c>
      <c r="K1407" s="9">
        <v>45328</v>
      </c>
      <c r="L1407">
        <f xml:space="preserve"> (交易處理資料__3[[#This Row],[售出工時]] * 60) / 5</f>
        <v>0</v>
      </c>
      <c r="M1407" t="str">
        <f>VLOOKUP(交易處理資料__3[[#This Row],[人員代號]],團隊分組!$B$1:$C$52,2,FALSE)</f>
        <v>鈑金維修組</v>
      </c>
      <c r="N1407">
        <f>IF(交易處理資料__3[[#This Row],[上班時間]]=0,0,交易處理資料__3[[#This Row],[售出工時]]/交易處理資料__3[[#This Row],[上班時間]])</f>
        <v>0</v>
      </c>
      <c r="O1407" s="31" t="str">
        <f>IF(交易處理資料__3[[#This Row],[上班時間]]=0,"否","是")</f>
        <v>是</v>
      </c>
    </row>
    <row r="1408" spans="1:15" hidden="1">
      <c r="A1408" t="s">
        <v>75</v>
      </c>
      <c r="B1408" t="s">
        <v>18</v>
      </c>
      <c r="C1408">
        <v>2</v>
      </c>
      <c r="D1408">
        <v>2.2400000000000002</v>
      </c>
      <c r="E1408" s="27">
        <v>89.285714290000001</v>
      </c>
      <c r="F1408">
        <v>7.58</v>
      </c>
      <c r="G1408">
        <v>0.45</v>
      </c>
      <c r="H1408">
        <v>8.0299999999999994</v>
      </c>
      <c r="I1408">
        <v>94.4</v>
      </c>
      <c r="J1408">
        <v>24.91</v>
      </c>
      <c r="K1408" s="9">
        <v>45328</v>
      </c>
      <c r="L1408">
        <f xml:space="preserve"> (交易處理資料__3[[#This Row],[售出工時]] * 60) / 5</f>
        <v>24</v>
      </c>
      <c r="M1408" t="str">
        <f>VLOOKUP(交易處理資料__3[[#This Row],[人員代號]],團隊分組!$B$1:$C$52,2,FALSE)</f>
        <v>查修團隊B</v>
      </c>
      <c r="N1408">
        <f>IF(交易處理資料__3[[#This Row],[上班時間]]=0,0,交易處理資料__3[[#This Row],[售出工時]]/交易處理資料__3[[#This Row],[上班時間]])</f>
        <v>0.24906600249066005</v>
      </c>
      <c r="O1408" s="31" t="str">
        <f>IF(交易處理資料__3[[#This Row],[上班時間]]=0,"否","是")</f>
        <v>是</v>
      </c>
    </row>
    <row r="1409" spans="1:15" hidden="1">
      <c r="A1409" t="s">
        <v>75</v>
      </c>
      <c r="B1409" t="s">
        <v>19</v>
      </c>
      <c r="C1409">
        <v>1.0833333329999999</v>
      </c>
      <c r="D1409">
        <v>3.66</v>
      </c>
      <c r="E1409" s="27">
        <v>29.599271399999999</v>
      </c>
      <c r="F1409">
        <v>7.71</v>
      </c>
      <c r="G1409">
        <v>0.33</v>
      </c>
      <c r="H1409">
        <v>8.0399999999999991</v>
      </c>
      <c r="I1409">
        <v>95.9</v>
      </c>
      <c r="J1409">
        <v>13.47</v>
      </c>
      <c r="K1409" s="9">
        <v>45328</v>
      </c>
      <c r="L1409">
        <f xml:space="preserve"> (交易處理資料__3[[#This Row],[售出工時]] * 60) / 5</f>
        <v>12.999999996</v>
      </c>
      <c r="M1409" t="str">
        <f>VLOOKUP(交易處理資料__3[[#This Row],[人員代號]],團隊分組!$B$1:$C$52,2,FALSE)</f>
        <v>查修團隊A</v>
      </c>
      <c r="N1409">
        <f>IF(交易處理資料__3[[#This Row],[上班時間]]=0,0,交易處理資料__3[[#This Row],[售出工時]]/交易處理資料__3[[#This Row],[上班時間]])</f>
        <v>0.13474295186567165</v>
      </c>
      <c r="O1409" s="31" t="str">
        <f>IF(交易處理資料__3[[#This Row],[上班時間]]=0,"否","是")</f>
        <v>是</v>
      </c>
    </row>
    <row r="1410" spans="1:15" hidden="1">
      <c r="A1410" t="s">
        <v>75</v>
      </c>
      <c r="B1410" t="s">
        <v>20</v>
      </c>
      <c r="C1410">
        <v>0</v>
      </c>
      <c r="D1410">
        <v>0</v>
      </c>
      <c r="E1410" s="27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 s="9">
        <v>45328</v>
      </c>
      <c r="L1410">
        <f xml:space="preserve"> (交易處理資料__3[[#This Row],[售出工時]] * 60) / 5</f>
        <v>0</v>
      </c>
      <c r="M1410" t="str">
        <f>VLOOKUP(交易處理資料__3[[#This Row],[人員代號]],團隊分組!$B$1:$C$52,2,FALSE)</f>
        <v>查修團隊B</v>
      </c>
      <c r="N1410">
        <f>IF(交易處理資料__3[[#This Row],[上班時間]]=0,0,交易處理資料__3[[#This Row],[售出工時]]/交易處理資料__3[[#This Row],[上班時間]])</f>
        <v>0</v>
      </c>
      <c r="O1410" s="31" t="str">
        <f>IF(交易處理資料__3[[#This Row],[上班時間]]=0,"否","是")</f>
        <v>否</v>
      </c>
    </row>
    <row r="1411" spans="1:15" hidden="1">
      <c r="A1411" t="s">
        <v>75</v>
      </c>
      <c r="B1411" t="s">
        <v>22</v>
      </c>
      <c r="C1411">
        <v>0</v>
      </c>
      <c r="D1411">
        <v>0</v>
      </c>
      <c r="E1411" s="27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 s="9">
        <v>45328</v>
      </c>
      <c r="L1411">
        <f xml:space="preserve"> (交易處理資料__3[[#This Row],[售出工時]] * 60) / 5</f>
        <v>0</v>
      </c>
      <c r="M1411" t="str">
        <f>VLOOKUP(交易處理資料__3[[#This Row],[人員代號]],團隊分組!$B$1:$C$52,2,FALSE)</f>
        <v>快速保養團隊A</v>
      </c>
      <c r="N1411">
        <f>IF(交易處理資料__3[[#This Row],[上班時間]]=0,0,交易處理資料__3[[#This Row],[售出工時]]/交易處理資料__3[[#This Row],[上班時間]])</f>
        <v>0</v>
      </c>
      <c r="O1411" s="31" t="str">
        <f>IF(交易處理資料__3[[#This Row],[上班時間]]=0,"否","是")</f>
        <v>否</v>
      </c>
    </row>
    <row r="1412" spans="1:15" hidden="1">
      <c r="A1412" t="s">
        <v>75</v>
      </c>
      <c r="B1412" t="s">
        <v>24</v>
      </c>
      <c r="C1412">
        <v>9.1266666670000003</v>
      </c>
      <c r="D1412">
        <v>7.59</v>
      </c>
      <c r="E1412" s="27">
        <v>120.2459376</v>
      </c>
      <c r="F1412">
        <v>7.52</v>
      </c>
      <c r="G1412">
        <v>0.65</v>
      </c>
      <c r="H1412">
        <v>8.17</v>
      </c>
      <c r="I1412">
        <v>92.04</v>
      </c>
      <c r="J1412">
        <v>111.71</v>
      </c>
      <c r="K1412" s="9">
        <v>45328</v>
      </c>
      <c r="L1412">
        <f xml:space="preserve"> (交易處理資料__3[[#This Row],[售出工時]] * 60) / 5</f>
        <v>109.52000000400001</v>
      </c>
      <c r="M1412" t="str">
        <f>VLOOKUP(交易處理資料__3[[#This Row],[人員代號]],團隊分組!$B$1:$C$52,2,FALSE)</f>
        <v>快速保養團隊A</v>
      </c>
      <c r="N1412">
        <f>IF(交易處理資料__3[[#This Row],[上班時間]]=0,0,交易處理資料__3[[#This Row],[售出工時]]/交易處理資料__3[[#This Row],[上班時間]])</f>
        <v>1.1170950632802938</v>
      </c>
      <c r="O1412" s="31" t="str">
        <f>IF(交易處理資料__3[[#This Row],[上班時間]]=0,"否","是")</f>
        <v>是</v>
      </c>
    </row>
    <row r="1413" spans="1:15" hidden="1">
      <c r="A1413" t="s">
        <v>75</v>
      </c>
      <c r="B1413" t="s">
        <v>25</v>
      </c>
      <c r="C1413">
        <v>4.4166666670000003</v>
      </c>
      <c r="D1413">
        <v>4.1100000000000003</v>
      </c>
      <c r="E1413" s="27">
        <v>107.4614761</v>
      </c>
      <c r="F1413">
        <v>8.0399999999999991</v>
      </c>
      <c r="G1413">
        <v>0.2</v>
      </c>
      <c r="H1413">
        <v>8.24</v>
      </c>
      <c r="I1413">
        <v>97.57</v>
      </c>
      <c r="J1413">
        <v>53.6</v>
      </c>
      <c r="K1413" s="9">
        <v>45328</v>
      </c>
      <c r="L1413">
        <f xml:space="preserve"> (交易處理資料__3[[#This Row],[售出工時]] * 60) / 5</f>
        <v>53.000000004</v>
      </c>
      <c r="M1413" t="str">
        <f>VLOOKUP(交易處理資料__3[[#This Row],[人員代號]],團隊分組!$B$1:$C$52,2,FALSE)</f>
        <v>查修團隊A</v>
      </c>
      <c r="N1413">
        <f>IF(交易處理資料__3[[#This Row],[上班時間]]=0,0,交易處理資料__3[[#This Row],[售出工時]]/交易處理資料__3[[#This Row],[上班時間]])</f>
        <v>0.53600323628640778</v>
      </c>
      <c r="O1413" s="31" t="str">
        <f>IF(交易處理資料__3[[#This Row],[上班時間]]=0,"否","是")</f>
        <v>是</v>
      </c>
    </row>
    <row r="1414" spans="1:15" hidden="1">
      <c r="A1414" t="s">
        <v>75</v>
      </c>
      <c r="B1414" t="s">
        <v>26</v>
      </c>
      <c r="C1414">
        <v>4</v>
      </c>
      <c r="D1414">
        <v>5.85</v>
      </c>
      <c r="E1414" s="27">
        <v>68.376068380000007</v>
      </c>
      <c r="F1414">
        <v>0.88</v>
      </c>
      <c r="G1414">
        <v>9.1199999999999992</v>
      </c>
      <c r="H1414">
        <v>10</v>
      </c>
      <c r="I1414">
        <v>8.8000000000000007</v>
      </c>
      <c r="J1414">
        <v>40</v>
      </c>
      <c r="K1414" s="9">
        <v>45328</v>
      </c>
      <c r="L1414">
        <f xml:space="preserve"> (交易處理資料__3[[#This Row],[售出工時]] * 60) / 5</f>
        <v>48</v>
      </c>
      <c r="M1414" t="str">
        <f>VLOOKUP(交易處理資料__3[[#This Row],[人員代號]],團隊分組!$B$1:$C$52,2,FALSE)</f>
        <v>查修團隊B</v>
      </c>
      <c r="N1414">
        <f>IF(交易處理資料__3[[#This Row],[上班時間]]=0,0,交易處理資料__3[[#This Row],[售出工時]]/交易處理資料__3[[#This Row],[上班時間]])</f>
        <v>0.4</v>
      </c>
      <c r="O1414" s="31" t="str">
        <f>IF(交易處理資料__3[[#This Row],[上班時間]]=0,"否","是")</f>
        <v>是</v>
      </c>
    </row>
    <row r="1415" spans="1:15" hidden="1">
      <c r="A1415" t="s">
        <v>75</v>
      </c>
      <c r="B1415" t="s">
        <v>27</v>
      </c>
      <c r="C1415">
        <v>8.61</v>
      </c>
      <c r="D1415">
        <v>7.75</v>
      </c>
      <c r="E1415" s="27">
        <v>111.0967742</v>
      </c>
      <c r="F1415">
        <v>6.97</v>
      </c>
      <c r="G1415">
        <v>2.5299999999999998</v>
      </c>
      <c r="H1415">
        <v>9.5</v>
      </c>
      <c r="I1415">
        <v>73.37</v>
      </c>
      <c r="J1415">
        <v>90.63</v>
      </c>
      <c r="K1415" s="9">
        <v>45328</v>
      </c>
      <c r="L1415">
        <f xml:space="preserve"> (交易處理資料__3[[#This Row],[售出工時]] * 60) / 5</f>
        <v>103.31999999999998</v>
      </c>
      <c r="M1415" t="str">
        <f>VLOOKUP(交易處理資料__3[[#This Row],[人員代號]],團隊分組!$B$1:$C$52,2,FALSE)</f>
        <v>快速保養團隊B</v>
      </c>
      <c r="N1415">
        <f>IF(交易處理資料__3[[#This Row],[上班時間]]=0,0,交易處理資料__3[[#This Row],[售出工時]]/交易處理資料__3[[#This Row],[上班時間]])</f>
        <v>0.90631578947368419</v>
      </c>
      <c r="O1415" s="31" t="str">
        <f>IF(交易處理資料__3[[#This Row],[上班時間]]=0,"否","是")</f>
        <v>是</v>
      </c>
    </row>
    <row r="1416" spans="1:15" hidden="1">
      <c r="A1416" t="s">
        <v>75</v>
      </c>
      <c r="B1416" t="s">
        <v>28</v>
      </c>
      <c r="C1416">
        <v>7.75</v>
      </c>
      <c r="D1416">
        <v>3.65</v>
      </c>
      <c r="E1416" s="27">
        <v>212.32876709999999</v>
      </c>
      <c r="F1416">
        <v>7.37</v>
      </c>
      <c r="G1416">
        <v>0.62</v>
      </c>
      <c r="H1416">
        <v>7.99</v>
      </c>
      <c r="I1416">
        <v>92.24</v>
      </c>
      <c r="J1416">
        <v>97</v>
      </c>
      <c r="K1416" s="9">
        <v>45328</v>
      </c>
      <c r="L1416">
        <f xml:space="preserve"> (交易處理資料__3[[#This Row],[售出工時]] * 60) / 5</f>
        <v>93</v>
      </c>
      <c r="M1416" t="str">
        <f>VLOOKUP(交易處理資料__3[[#This Row],[人員代號]],團隊分組!$B$1:$C$52,2,FALSE)</f>
        <v>快速保養團隊A</v>
      </c>
      <c r="N1416">
        <f>IF(交易處理資料__3[[#This Row],[上班時間]]=0,0,交易處理資料__3[[#This Row],[售出工時]]/交易處理資料__3[[#This Row],[上班時間]])</f>
        <v>0.96996245306633289</v>
      </c>
      <c r="O1416" s="31" t="str">
        <f>IF(交易處理資料__3[[#This Row],[上班時間]]=0,"否","是")</f>
        <v>是</v>
      </c>
    </row>
    <row r="1417" spans="1:15" hidden="1">
      <c r="A1417" t="s">
        <v>75</v>
      </c>
      <c r="B1417" t="s">
        <v>29</v>
      </c>
      <c r="C1417">
        <v>7.06</v>
      </c>
      <c r="D1417">
        <v>6.74</v>
      </c>
      <c r="E1417" s="27">
        <v>104.74777450000001</v>
      </c>
      <c r="F1417">
        <v>6.7</v>
      </c>
      <c r="G1417">
        <v>1.28</v>
      </c>
      <c r="H1417">
        <v>7.98</v>
      </c>
      <c r="I1417">
        <v>83.96</v>
      </c>
      <c r="J1417">
        <v>88.47</v>
      </c>
      <c r="K1417" s="9">
        <v>45328</v>
      </c>
      <c r="L1417">
        <f xml:space="preserve"> (交易處理資料__3[[#This Row],[售出工時]] * 60) / 5</f>
        <v>84.72</v>
      </c>
      <c r="M1417" t="str">
        <f>VLOOKUP(交易處理資料__3[[#This Row],[人員代號]],團隊分組!$B$1:$C$52,2,FALSE)</f>
        <v>查修團隊B</v>
      </c>
      <c r="N1417">
        <f>IF(交易處理資料__3[[#This Row],[上班時間]]=0,0,交易處理資料__3[[#This Row],[售出工時]]/交易處理資料__3[[#This Row],[上班時間]])</f>
        <v>0.88471177944862145</v>
      </c>
      <c r="O1417" s="31" t="str">
        <f>IF(交易處理資料__3[[#This Row],[上班時間]]=0,"否","是")</f>
        <v>是</v>
      </c>
    </row>
    <row r="1418" spans="1:15" hidden="1">
      <c r="A1418" t="s">
        <v>75</v>
      </c>
      <c r="B1418" t="s">
        <v>30</v>
      </c>
      <c r="C1418">
        <v>10.573333330000001</v>
      </c>
      <c r="D1418">
        <v>8.57</v>
      </c>
      <c r="E1418" s="27">
        <v>123.37611819999999</v>
      </c>
      <c r="F1418">
        <v>6.94</v>
      </c>
      <c r="G1418">
        <v>2.57</v>
      </c>
      <c r="H1418">
        <v>9.51</v>
      </c>
      <c r="I1418">
        <v>72.98</v>
      </c>
      <c r="J1418">
        <v>111.18</v>
      </c>
      <c r="K1418" s="9">
        <v>45328</v>
      </c>
      <c r="L1418">
        <f xml:space="preserve"> (交易處理資料__3[[#This Row],[售出工時]] * 60) / 5</f>
        <v>126.87999996000001</v>
      </c>
      <c r="M1418" t="str">
        <f>VLOOKUP(交易處理資料__3[[#This Row],[人員代號]],團隊分組!$B$1:$C$52,2,FALSE)</f>
        <v>快速保養團隊B</v>
      </c>
      <c r="N1418">
        <f>IF(交易處理資料__3[[#This Row],[上班時間]]=0,0,交易處理資料__3[[#This Row],[售出工時]]/交易處理資料__3[[#This Row],[上班時間]])</f>
        <v>1.1118121272344901</v>
      </c>
      <c r="O1418" s="31" t="str">
        <f>IF(交易處理資料__3[[#This Row],[上班時間]]=0,"否","是")</f>
        <v>是</v>
      </c>
    </row>
    <row r="1419" spans="1:15" hidden="1">
      <c r="A1419" t="s">
        <v>75</v>
      </c>
      <c r="B1419" t="s">
        <v>32</v>
      </c>
      <c r="C1419">
        <v>7.3166666669999998</v>
      </c>
      <c r="D1419">
        <v>4.54</v>
      </c>
      <c r="E1419" s="27">
        <v>161.16005870000001</v>
      </c>
      <c r="F1419">
        <v>6.35</v>
      </c>
      <c r="G1419">
        <v>1.62</v>
      </c>
      <c r="H1419">
        <v>7.97</v>
      </c>
      <c r="I1419">
        <v>79.67</v>
      </c>
      <c r="J1419">
        <v>91.8</v>
      </c>
      <c r="K1419" s="9">
        <v>45328</v>
      </c>
      <c r="L1419">
        <f xml:space="preserve"> (交易處理資料__3[[#This Row],[售出工時]] * 60) / 5</f>
        <v>87.800000003999997</v>
      </c>
      <c r="M1419" t="str">
        <f>VLOOKUP(交易處理資料__3[[#This Row],[人員代號]],團隊分組!$B$1:$C$52,2,FALSE)</f>
        <v>快速保養團隊B</v>
      </c>
      <c r="N1419">
        <f>IF(交易處理資料__3[[#This Row],[上班時間]]=0,0,交易處理資料__3[[#This Row],[售出工時]]/交易處理資料__3[[#This Row],[上班時間]])</f>
        <v>0.91802593061480553</v>
      </c>
      <c r="O1419" s="31" t="str">
        <f>IF(交易處理資料__3[[#This Row],[上班時間]]=0,"否","是")</f>
        <v>是</v>
      </c>
    </row>
    <row r="1420" spans="1:15">
      <c r="A1420" t="s">
        <v>75</v>
      </c>
      <c r="B1420" t="s">
        <v>33</v>
      </c>
      <c r="C1420">
        <v>0</v>
      </c>
      <c r="D1420">
        <v>0</v>
      </c>
      <c r="E1420" s="27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 s="9">
        <v>45328</v>
      </c>
      <c r="L1420">
        <f xml:space="preserve"> (交易處理資料__3[[#This Row],[售出工時]] * 60) / 5</f>
        <v>0</v>
      </c>
      <c r="M1420" t="str">
        <f>VLOOKUP(交易處理資料__3[[#This Row],[人員代號]],團隊分組!$B$1:$C$52,2,FALSE)</f>
        <v>快速保養團隊B</v>
      </c>
      <c r="N1420">
        <f>IF(交易處理資料__3[[#This Row],[上班時間]]=0,0,交易處理資料__3[[#This Row],[售出工時]]/交易處理資料__3[[#This Row],[上班時間]])</f>
        <v>0</v>
      </c>
      <c r="O1420" s="31" t="str">
        <f>IF(交易處理資料__3[[#This Row],[上班時間]]=0,"否","是")</f>
        <v>否</v>
      </c>
    </row>
    <row r="1421" spans="1:15" hidden="1">
      <c r="A1421" t="s">
        <v>75</v>
      </c>
      <c r="B1421" t="s">
        <v>36</v>
      </c>
      <c r="C1421">
        <v>4.9933333329999998</v>
      </c>
      <c r="D1421">
        <v>3.67</v>
      </c>
      <c r="E1421" s="27">
        <v>136.05812900000001</v>
      </c>
      <c r="F1421">
        <v>4.55</v>
      </c>
      <c r="G1421">
        <v>3.42</v>
      </c>
      <c r="H1421">
        <v>7.97</v>
      </c>
      <c r="I1421">
        <v>57.09</v>
      </c>
      <c r="J1421">
        <v>62.65</v>
      </c>
      <c r="K1421" s="9">
        <v>45328</v>
      </c>
      <c r="L1421">
        <f xml:space="preserve"> (交易處理資料__3[[#This Row],[售出工時]] * 60) / 5</f>
        <v>59.919999996000001</v>
      </c>
      <c r="M1421" t="str">
        <f>VLOOKUP(交易處理資料__3[[#This Row],[人員代號]],團隊分組!$B$1:$C$52,2,FALSE)</f>
        <v>查修團隊B</v>
      </c>
      <c r="N1421">
        <f>IF(交易處理資料__3[[#This Row],[上班時間]]=0,0,交易處理資料__3[[#This Row],[售出工時]]/交易處理資料__3[[#This Row],[上班時間]])</f>
        <v>0.62651610200752827</v>
      </c>
      <c r="O1421" s="31" t="str">
        <f>IF(交易處理資料__3[[#This Row],[上班時間]]=0,"否","是")</f>
        <v>是</v>
      </c>
    </row>
    <row r="1422" spans="1:15" hidden="1">
      <c r="A1422" t="s">
        <v>75</v>
      </c>
      <c r="B1422" t="s">
        <v>37</v>
      </c>
      <c r="C1422">
        <v>4.1666666670000003</v>
      </c>
      <c r="D1422">
        <v>3.9</v>
      </c>
      <c r="E1422" s="27">
        <v>106.8376068</v>
      </c>
      <c r="F1422">
        <v>6.32</v>
      </c>
      <c r="G1422">
        <v>1.95</v>
      </c>
      <c r="H1422">
        <v>8.27</v>
      </c>
      <c r="I1422">
        <v>76.42</v>
      </c>
      <c r="J1422">
        <v>50.38</v>
      </c>
      <c r="K1422" s="9">
        <v>45328</v>
      </c>
      <c r="L1422">
        <f xml:space="preserve"> (交易處理資料__3[[#This Row],[售出工時]] * 60) / 5</f>
        <v>50.000000004</v>
      </c>
      <c r="M1422" t="str">
        <f>VLOOKUP(交易處理資料__3[[#This Row],[人員代號]],團隊分組!$B$1:$C$52,2,FALSE)</f>
        <v>查修團隊A</v>
      </c>
      <c r="N1422">
        <f>IF(交易處理資料__3[[#This Row],[上班時間]]=0,0,交易處理資料__3[[#This Row],[售出工時]]/交易處理資料__3[[#This Row],[上班時間]])</f>
        <v>0.50382910120918989</v>
      </c>
      <c r="O1422" s="31" t="str">
        <f>IF(交易處理資料__3[[#This Row],[上班時間]]=0,"否","是")</f>
        <v>是</v>
      </c>
    </row>
    <row r="1423" spans="1:15" hidden="1">
      <c r="A1423" t="s">
        <v>75</v>
      </c>
      <c r="B1423" t="s">
        <v>39</v>
      </c>
      <c r="C1423">
        <v>3</v>
      </c>
      <c r="D1423">
        <v>2.35</v>
      </c>
      <c r="E1423" s="27">
        <v>127.65957450000001</v>
      </c>
      <c r="F1423">
        <v>9.33</v>
      </c>
      <c r="G1423">
        <v>2.0699999999999998</v>
      </c>
      <c r="H1423">
        <v>11.4</v>
      </c>
      <c r="I1423">
        <v>81.84</v>
      </c>
      <c r="J1423">
        <v>26.32</v>
      </c>
      <c r="K1423" s="9">
        <v>45328</v>
      </c>
      <c r="L1423">
        <f xml:space="preserve"> (交易處理資料__3[[#This Row],[售出工時]] * 60) / 5</f>
        <v>36</v>
      </c>
      <c r="M1423" t="str">
        <f>VLOOKUP(交易處理資料__3[[#This Row],[人員代號]],團隊分組!$B$1:$C$52,2,FALSE)</f>
        <v>查修團隊A</v>
      </c>
      <c r="N1423">
        <f>IF(交易處理資料__3[[#This Row],[上班時間]]=0,0,交易處理資料__3[[#This Row],[售出工時]]/交易處理資料__3[[#This Row],[上班時間]])</f>
        <v>0.26315789473684209</v>
      </c>
      <c r="O1423" s="31" t="str">
        <f>IF(交易處理資料__3[[#This Row],[上班時間]]=0,"否","是")</f>
        <v>是</v>
      </c>
    </row>
    <row r="1424" spans="1:15" hidden="1">
      <c r="A1424" t="s">
        <v>75</v>
      </c>
      <c r="B1424" t="s">
        <v>40</v>
      </c>
      <c r="C1424">
        <v>3.4166666669999999</v>
      </c>
      <c r="D1424">
        <v>4.28</v>
      </c>
      <c r="E1424" s="27">
        <v>79.828660439999993</v>
      </c>
      <c r="F1424">
        <v>6.94</v>
      </c>
      <c r="G1424">
        <v>1.56</v>
      </c>
      <c r="H1424">
        <v>8.5</v>
      </c>
      <c r="I1424">
        <v>81.650000000000006</v>
      </c>
      <c r="J1424">
        <v>40.200000000000003</v>
      </c>
      <c r="K1424" s="9">
        <v>45328</v>
      </c>
      <c r="L1424">
        <f xml:space="preserve"> (交易處理資料__3[[#This Row],[售出工時]] * 60) / 5</f>
        <v>41.000000004</v>
      </c>
      <c r="M1424" t="str">
        <f>VLOOKUP(交易處理資料__3[[#This Row],[人員代號]],團隊分組!$B$1:$C$52,2,FALSE)</f>
        <v>查修團隊A</v>
      </c>
      <c r="N1424">
        <f>IF(交易處理資料__3[[#This Row],[上班時間]]=0,0,交易處理資料__3[[#This Row],[售出工時]]/交易處理資料__3[[#This Row],[上班時間]])</f>
        <v>0.40196078435294114</v>
      </c>
      <c r="O1424" s="31" t="str">
        <f>IF(交易處理資料__3[[#This Row],[上班時間]]=0,"否","是")</f>
        <v>是</v>
      </c>
    </row>
    <row r="1425" spans="1:15" hidden="1">
      <c r="A1425" t="s">
        <v>75</v>
      </c>
      <c r="B1425" t="s">
        <v>42</v>
      </c>
      <c r="C1425">
        <v>8.6666666669999994</v>
      </c>
      <c r="D1425">
        <v>7.02</v>
      </c>
      <c r="E1425" s="27">
        <v>123.45679010000001</v>
      </c>
      <c r="F1425">
        <v>5.95</v>
      </c>
      <c r="G1425">
        <v>2.2200000000000002</v>
      </c>
      <c r="H1425">
        <v>8.17</v>
      </c>
      <c r="I1425">
        <v>72.83</v>
      </c>
      <c r="J1425">
        <v>106.08</v>
      </c>
      <c r="K1425" s="9">
        <v>45328</v>
      </c>
      <c r="L1425">
        <f xml:space="preserve"> (交易處理資料__3[[#This Row],[售出工時]] * 60) / 5</f>
        <v>104.000000004</v>
      </c>
      <c r="M1425" t="str">
        <f>VLOOKUP(交易處理資料__3[[#This Row],[人員代號]],團隊分組!$B$1:$C$52,2,FALSE)</f>
        <v>快速保養團隊A</v>
      </c>
      <c r="N1425">
        <f>IF(交易處理資料__3[[#This Row],[上班時間]]=0,0,交易處理資料__3[[#This Row],[售出工時]]/交易處理資料__3[[#This Row],[上班時間]])</f>
        <v>1.0607915137086903</v>
      </c>
      <c r="O1425" s="31" t="str">
        <f>IF(交易處理資料__3[[#This Row],[上班時間]]=0,"否","是")</f>
        <v>是</v>
      </c>
    </row>
    <row r="1426" spans="1:15" hidden="1">
      <c r="A1426" t="s">
        <v>75</v>
      </c>
      <c r="B1426" t="s">
        <v>43</v>
      </c>
      <c r="C1426">
        <v>7.29</v>
      </c>
      <c r="D1426">
        <v>5.62</v>
      </c>
      <c r="E1426" s="27">
        <v>129.71530250000001</v>
      </c>
      <c r="F1426">
        <v>5.57</v>
      </c>
      <c r="G1426">
        <v>2.39</v>
      </c>
      <c r="H1426">
        <v>7.96</v>
      </c>
      <c r="I1426">
        <v>69.97</v>
      </c>
      <c r="J1426">
        <v>91.58</v>
      </c>
      <c r="K1426" s="9">
        <v>45328</v>
      </c>
      <c r="L1426">
        <f xml:space="preserve"> (交易處理資料__3[[#This Row],[售出工時]] * 60) / 5</f>
        <v>87.47999999999999</v>
      </c>
      <c r="M1426" t="str">
        <f>VLOOKUP(交易處理資料__3[[#This Row],[人員代號]],團隊分組!$B$1:$C$52,2,FALSE)</f>
        <v>查修團隊B</v>
      </c>
      <c r="N1426">
        <f>IF(交易處理資料__3[[#This Row],[上班時間]]=0,0,交易處理資料__3[[#This Row],[售出工時]]/交易處理資料__3[[#This Row],[上班時間]])</f>
        <v>0.91582914572864327</v>
      </c>
      <c r="O1426" s="31" t="str">
        <f>IF(交易處理資料__3[[#This Row],[上班時間]]=0,"否","是")</f>
        <v>是</v>
      </c>
    </row>
    <row r="1427" spans="1:15" hidden="1">
      <c r="A1427" t="s">
        <v>75</v>
      </c>
      <c r="B1427" t="s">
        <v>46</v>
      </c>
      <c r="C1427">
        <v>10.38</v>
      </c>
      <c r="D1427">
        <v>9.5399999999999991</v>
      </c>
      <c r="E1427" s="27">
        <v>108.8050314</v>
      </c>
      <c r="F1427">
        <v>6.15</v>
      </c>
      <c r="G1427">
        <v>3.45</v>
      </c>
      <c r="H1427">
        <v>9.6</v>
      </c>
      <c r="I1427">
        <v>64.06</v>
      </c>
      <c r="J1427">
        <v>108.13</v>
      </c>
      <c r="K1427" s="9">
        <v>45328</v>
      </c>
      <c r="L1427">
        <f xml:space="preserve"> (交易處理資料__3[[#This Row],[售出工時]] * 60) / 5</f>
        <v>124.56000000000002</v>
      </c>
      <c r="M1427" t="str">
        <f>VLOOKUP(交易處理資料__3[[#This Row],[人員代號]],團隊分組!$B$1:$C$52,2,FALSE)</f>
        <v>查修團隊B</v>
      </c>
      <c r="N1427">
        <f>IF(交易處理資料__3[[#This Row],[上班時間]]=0,0,交易處理資料__3[[#This Row],[售出工時]]/交易處理資料__3[[#This Row],[上班時間]])</f>
        <v>1.08125</v>
      </c>
      <c r="O1427" s="31" t="str">
        <f>IF(交易處理資料__3[[#This Row],[上班時間]]=0,"否","是")</f>
        <v>是</v>
      </c>
    </row>
    <row r="1428" spans="1:15" hidden="1">
      <c r="A1428" t="s">
        <v>75</v>
      </c>
      <c r="B1428" t="s">
        <v>47</v>
      </c>
      <c r="C1428">
        <v>1.25</v>
      </c>
      <c r="D1428">
        <v>1.22</v>
      </c>
      <c r="E1428" s="27">
        <v>102.4590164</v>
      </c>
      <c r="F1428">
        <v>5.1100000000000003</v>
      </c>
      <c r="G1428">
        <v>2.89</v>
      </c>
      <c r="H1428">
        <v>8</v>
      </c>
      <c r="I1428">
        <v>63.88</v>
      </c>
      <c r="J1428">
        <v>15.63</v>
      </c>
      <c r="K1428" s="9">
        <v>45328</v>
      </c>
      <c r="L1428">
        <f xml:space="preserve"> (交易處理資料__3[[#This Row],[售出工時]] * 60) / 5</f>
        <v>15</v>
      </c>
      <c r="M1428" t="str">
        <f>VLOOKUP(交易處理資料__3[[#This Row],[人員代號]],團隊分組!$B$1:$C$52,2,FALSE)</f>
        <v>查修團隊B</v>
      </c>
      <c r="N1428">
        <f>IF(交易處理資料__3[[#This Row],[上班時間]]=0,0,交易處理資料__3[[#This Row],[售出工時]]/交易處理資料__3[[#This Row],[上班時間]])</f>
        <v>0.15625</v>
      </c>
      <c r="O1428" s="31" t="str">
        <f>IF(交易處理資料__3[[#This Row],[上班時間]]=0,"否","是")</f>
        <v>是</v>
      </c>
    </row>
    <row r="1429" spans="1:15" hidden="1">
      <c r="A1429" t="s">
        <v>75</v>
      </c>
      <c r="B1429" t="s">
        <v>48</v>
      </c>
      <c r="C1429">
        <v>0</v>
      </c>
      <c r="D1429">
        <v>0</v>
      </c>
      <c r="E1429" s="27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 s="9">
        <v>45328</v>
      </c>
      <c r="L1429">
        <f xml:space="preserve"> (交易處理資料__3[[#This Row],[售出工時]] * 60) / 5</f>
        <v>0</v>
      </c>
      <c r="M1429" t="str">
        <f>VLOOKUP(交易處理資料__3[[#This Row],[人員代號]],團隊分組!$B$1:$C$52,2,FALSE)</f>
        <v>查修團隊A</v>
      </c>
      <c r="N1429">
        <f>IF(交易處理資料__3[[#This Row],[上班時間]]=0,0,交易處理資料__3[[#This Row],[售出工時]]/交易處理資料__3[[#This Row],[上班時間]])</f>
        <v>0</v>
      </c>
      <c r="O1429" s="31" t="str">
        <f>IF(交易處理資料__3[[#This Row],[上班時間]]=0,"否","是")</f>
        <v>否</v>
      </c>
    </row>
    <row r="1430" spans="1:15" hidden="1">
      <c r="A1430" t="s">
        <v>75</v>
      </c>
      <c r="B1430" t="s">
        <v>49</v>
      </c>
      <c r="C1430">
        <v>2.5</v>
      </c>
      <c r="D1430">
        <v>5.64</v>
      </c>
      <c r="E1430" s="27">
        <v>44.32624113</v>
      </c>
      <c r="F1430">
        <v>7.71</v>
      </c>
      <c r="G1430">
        <v>0.31</v>
      </c>
      <c r="H1430">
        <v>8.02</v>
      </c>
      <c r="I1430">
        <v>96.13</v>
      </c>
      <c r="J1430">
        <v>31.17</v>
      </c>
      <c r="K1430" s="9">
        <v>45328</v>
      </c>
      <c r="L1430">
        <f xml:space="preserve"> (交易處理資料__3[[#This Row],[售出工時]] * 60) / 5</f>
        <v>30</v>
      </c>
      <c r="M1430" t="str">
        <f>VLOOKUP(交易處理資料__3[[#This Row],[人員代號]],團隊分組!$B$1:$C$52,2,FALSE)</f>
        <v>查修團隊A</v>
      </c>
      <c r="N1430">
        <f>IF(交易處理資料__3[[#This Row],[上班時間]]=0,0,交易處理資料__3[[#This Row],[售出工時]]/交易處理資料__3[[#This Row],[上班時間]])</f>
        <v>0.3117206982543641</v>
      </c>
      <c r="O1430" s="31" t="str">
        <f>IF(交易處理資料__3[[#This Row],[上班時間]]=0,"否","是")</f>
        <v>是</v>
      </c>
    </row>
    <row r="1431" spans="1:15" hidden="1">
      <c r="A1431" t="s">
        <v>75</v>
      </c>
      <c r="B1431" t="s">
        <v>51</v>
      </c>
      <c r="C1431">
        <v>0</v>
      </c>
      <c r="D1431">
        <v>0</v>
      </c>
      <c r="E1431" s="27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 s="9">
        <v>45328</v>
      </c>
      <c r="L1431">
        <f xml:space="preserve"> (交易處理資料__3[[#This Row],[售出工時]] * 60) / 5</f>
        <v>0</v>
      </c>
      <c r="M1431" t="str">
        <f>VLOOKUP(交易處理資料__3[[#This Row],[人員代號]],團隊分組!$B$1:$C$52,2,FALSE)</f>
        <v>無效數據</v>
      </c>
      <c r="N1431">
        <f>IF(交易處理資料__3[[#This Row],[上班時間]]=0,0,交易處理資料__3[[#This Row],[售出工時]]/交易處理資料__3[[#This Row],[上班時間]])</f>
        <v>0</v>
      </c>
      <c r="O1431" s="31" t="str">
        <f>IF(交易處理資料__3[[#This Row],[上班時間]]=0,"否","是")</f>
        <v>否</v>
      </c>
    </row>
    <row r="1432" spans="1:15" hidden="1">
      <c r="A1432" t="s">
        <v>75</v>
      </c>
      <c r="B1432" t="s">
        <v>53</v>
      </c>
      <c r="C1432">
        <v>5.0833333329999997</v>
      </c>
      <c r="D1432">
        <v>5.27</v>
      </c>
      <c r="E1432" s="27">
        <v>96.457938010000007</v>
      </c>
      <c r="F1432">
        <v>10.220000000000001</v>
      </c>
      <c r="G1432">
        <v>0.3</v>
      </c>
      <c r="H1432">
        <v>10.52</v>
      </c>
      <c r="I1432">
        <v>97.15</v>
      </c>
      <c r="J1432">
        <v>48.32</v>
      </c>
      <c r="K1432" s="9">
        <v>45328</v>
      </c>
      <c r="L1432">
        <f xml:space="preserve"> (交易處理資料__3[[#This Row],[售出工時]] * 60) / 5</f>
        <v>60.999999996</v>
      </c>
      <c r="M1432" t="str">
        <f>VLOOKUP(交易處理資料__3[[#This Row],[人員代號]],團隊分組!$B$1:$C$52,2,FALSE)</f>
        <v>查修團隊A</v>
      </c>
      <c r="N1432">
        <f>IF(交易處理資料__3[[#This Row],[上班時間]]=0,0,交易處理資料__3[[#This Row],[售出工時]]/交易處理資料__3[[#This Row],[上班時間]])</f>
        <v>0.48320659058935361</v>
      </c>
      <c r="O1432" s="31" t="str">
        <f>IF(交易處理資料__3[[#This Row],[上班時間]]=0,"否","是")</f>
        <v>是</v>
      </c>
    </row>
    <row r="1433" spans="1:15" hidden="1">
      <c r="A1433" s="10" t="s">
        <v>73</v>
      </c>
      <c r="B1433" t="s">
        <v>2</v>
      </c>
      <c r="C1433">
        <v>1.1399999999999999</v>
      </c>
      <c r="D1433">
        <v>3.88</v>
      </c>
      <c r="E1433" s="27">
        <v>29.381443300000001</v>
      </c>
      <c r="F1433">
        <v>0</v>
      </c>
      <c r="G1433">
        <v>8.0399999999999991</v>
      </c>
      <c r="H1433">
        <v>8.0399999999999991</v>
      </c>
      <c r="I1433">
        <v>0</v>
      </c>
      <c r="J1433">
        <v>14.18</v>
      </c>
      <c r="K1433" s="9">
        <v>45329</v>
      </c>
      <c r="L1433">
        <f xml:space="preserve"> (交易處理資料__3[[#This Row],[售出工時]] * 60) / 5</f>
        <v>13.679999999999998</v>
      </c>
      <c r="M1433" t="str">
        <f>VLOOKUP(交易處理資料__3[[#This Row],[人員代號]],團隊分組!$B$1:$C$52,2,FALSE)</f>
        <v>噴漆維修組</v>
      </c>
      <c r="N1433">
        <f>IF(交易處理資料__3[[#This Row],[上班時間]]=0,0,交易處理資料__3[[#This Row],[售出工時]]/交易處理資料__3[[#This Row],[上班時間]])</f>
        <v>0.1417910447761194</v>
      </c>
      <c r="O1433" s="31" t="str">
        <f>IF(交易處理資料__3[[#This Row],[上班時間]]=0,"否","是")</f>
        <v>是</v>
      </c>
    </row>
    <row r="1434" spans="1:15" hidden="1">
      <c r="A1434" s="10" t="s">
        <v>73</v>
      </c>
      <c r="B1434" t="s">
        <v>3</v>
      </c>
      <c r="C1434">
        <v>1.1399999999999999</v>
      </c>
      <c r="D1434">
        <v>3.88</v>
      </c>
      <c r="E1434" s="27">
        <v>29.381443300000001</v>
      </c>
      <c r="F1434">
        <v>0</v>
      </c>
      <c r="G1434">
        <v>8.0299999999999994</v>
      </c>
      <c r="H1434">
        <v>8.0299999999999994</v>
      </c>
      <c r="I1434">
        <v>0</v>
      </c>
      <c r="J1434">
        <v>14.2</v>
      </c>
      <c r="K1434" s="9">
        <v>45329</v>
      </c>
      <c r="L1434">
        <f xml:space="preserve"> (交易處理資料__3[[#This Row],[售出工時]] * 60) / 5</f>
        <v>13.679999999999998</v>
      </c>
      <c r="M1434" t="str">
        <f>VLOOKUP(交易處理資料__3[[#This Row],[人員代號]],團隊分組!$B$1:$C$52,2,FALSE)</f>
        <v>噴漆維修組</v>
      </c>
      <c r="N1434">
        <f>IF(交易處理資料__3[[#This Row],[上班時間]]=0,0,交易處理資料__3[[#This Row],[售出工時]]/交易處理資料__3[[#This Row],[上班時間]])</f>
        <v>0.14196762141967623</v>
      </c>
      <c r="O1434" s="31" t="str">
        <f>IF(交易處理資料__3[[#This Row],[上班時間]]=0,"否","是")</f>
        <v>是</v>
      </c>
    </row>
    <row r="1435" spans="1:15" hidden="1">
      <c r="A1435" s="10" t="s">
        <v>73</v>
      </c>
      <c r="B1435" t="s">
        <v>4</v>
      </c>
      <c r="C1435">
        <v>2.69</v>
      </c>
      <c r="D1435">
        <v>5.4</v>
      </c>
      <c r="E1435" s="27">
        <v>49.814814810000001</v>
      </c>
      <c r="F1435">
        <v>0</v>
      </c>
      <c r="G1435">
        <v>8.0399999999999991</v>
      </c>
      <c r="H1435">
        <v>8.0399999999999991</v>
      </c>
      <c r="I1435">
        <v>0</v>
      </c>
      <c r="J1435">
        <v>33.46</v>
      </c>
      <c r="K1435" s="9">
        <v>45329</v>
      </c>
      <c r="L1435">
        <f xml:space="preserve"> (交易處理資料__3[[#This Row],[售出工時]] * 60) / 5</f>
        <v>32.28</v>
      </c>
      <c r="M1435" t="str">
        <f>VLOOKUP(交易處理資料__3[[#This Row],[人員代號]],團隊分組!$B$1:$C$52,2,FALSE)</f>
        <v>噴漆維修組</v>
      </c>
      <c r="N1435">
        <f>IF(交易處理資料__3[[#This Row],[上班時間]]=0,0,交易處理資料__3[[#This Row],[售出工時]]/交易處理資料__3[[#This Row],[上班時間]])</f>
        <v>0.3345771144278607</v>
      </c>
      <c r="O1435" s="31" t="str">
        <f>IF(交易處理資料__3[[#This Row],[上班時間]]=0,"否","是")</f>
        <v>是</v>
      </c>
    </row>
    <row r="1436" spans="1:15" hidden="1">
      <c r="A1436" s="10" t="s">
        <v>73</v>
      </c>
      <c r="B1436" t="s">
        <v>6</v>
      </c>
      <c r="C1436">
        <v>1.1399999999999999</v>
      </c>
      <c r="D1436">
        <v>3.88</v>
      </c>
      <c r="E1436" s="27">
        <v>29.381443300000001</v>
      </c>
      <c r="F1436">
        <v>0</v>
      </c>
      <c r="G1436">
        <v>8.0399999999999991</v>
      </c>
      <c r="H1436">
        <v>8.0399999999999991</v>
      </c>
      <c r="I1436">
        <v>0</v>
      </c>
      <c r="J1436">
        <v>14.18</v>
      </c>
      <c r="K1436" s="9">
        <v>45329</v>
      </c>
      <c r="L1436">
        <f xml:space="preserve"> (交易處理資料__3[[#This Row],[售出工時]] * 60) / 5</f>
        <v>13.679999999999998</v>
      </c>
      <c r="M1436" t="str">
        <f>VLOOKUP(交易處理資料__3[[#This Row],[人員代號]],團隊分組!$B$1:$C$52,2,FALSE)</f>
        <v>噴漆維修組</v>
      </c>
      <c r="N1436">
        <f>IF(交易處理資料__3[[#This Row],[上班時間]]=0,0,交易處理資料__3[[#This Row],[售出工時]]/交易處理資料__3[[#This Row],[上班時間]])</f>
        <v>0.1417910447761194</v>
      </c>
      <c r="O1436" s="31" t="str">
        <f>IF(交易處理資料__3[[#This Row],[上班時間]]=0,"否","是")</f>
        <v>是</v>
      </c>
    </row>
    <row r="1437" spans="1:15" hidden="1">
      <c r="A1437" s="10" t="s">
        <v>73</v>
      </c>
      <c r="B1437" t="s">
        <v>9</v>
      </c>
      <c r="C1437">
        <v>3.98</v>
      </c>
      <c r="D1437">
        <v>7.02</v>
      </c>
      <c r="E1437" s="27">
        <v>56.695156699999998</v>
      </c>
      <c r="F1437">
        <v>0</v>
      </c>
      <c r="G1437">
        <v>8.0500000000000007</v>
      </c>
      <c r="H1437">
        <v>8.0500000000000007</v>
      </c>
      <c r="I1437">
        <v>0</v>
      </c>
      <c r="J1437">
        <v>49.44</v>
      </c>
      <c r="K1437" s="9">
        <v>45329</v>
      </c>
      <c r="L1437">
        <f xml:space="preserve"> (交易處理資料__3[[#This Row],[售出工時]] * 60) / 5</f>
        <v>47.760000000000005</v>
      </c>
      <c r="M1437" t="str">
        <f>VLOOKUP(交易處理資料__3[[#This Row],[人員代號]],團隊分組!$B$1:$C$52,2,FALSE)</f>
        <v>噴漆維修組</v>
      </c>
      <c r="N1437">
        <f>IF(交易處理資料__3[[#This Row],[上班時間]]=0,0,交易處理資料__3[[#This Row],[售出工時]]/交易處理資料__3[[#This Row],[上班時間]])</f>
        <v>0.4944099378881987</v>
      </c>
      <c r="O1437" s="31" t="str">
        <f>IF(交易處理資料__3[[#This Row],[上班時間]]=0,"否","是")</f>
        <v>是</v>
      </c>
    </row>
    <row r="1438" spans="1:15" hidden="1">
      <c r="A1438" t="s">
        <v>74</v>
      </c>
      <c r="B1438" t="s">
        <v>11</v>
      </c>
      <c r="C1438">
        <v>0</v>
      </c>
      <c r="D1438">
        <v>0</v>
      </c>
      <c r="E1438" s="27">
        <v>0</v>
      </c>
      <c r="F1438">
        <v>3.05</v>
      </c>
      <c r="G1438">
        <v>4.99</v>
      </c>
      <c r="H1438">
        <v>8.0399999999999991</v>
      </c>
      <c r="I1438">
        <v>37.94</v>
      </c>
      <c r="J1438">
        <v>0</v>
      </c>
      <c r="K1438" s="9">
        <v>45329</v>
      </c>
      <c r="L1438">
        <f xml:space="preserve"> (交易處理資料__3[[#This Row],[售出工時]] * 60) / 5</f>
        <v>0</v>
      </c>
      <c r="M1438" t="str">
        <f>VLOOKUP(交易處理資料__3[[#This Row],[人員代號]],團隊分組!$B$1:$C$52,2,FALSE)</f>
        <v>鈑金維修組</v>
      </c>
      <c r="N1438">
        <f>IF(交易處理資料__3[[#This Row],[上班時間]]=0,0,交易處理資料__3[[#This Row],[售出工時]]/交易處理資料__3[[#This Row],[上班時間]])</f>
        <v>0</v>
      </c>
      <c r="O1438" s="31" t="str">
        <f>IF(交易處理資料__3[[#This Row],[上班時間]]=0,"否","是")</f>
        <v>是</v>
      </c>
    </row>
    <row r="1439" spans="1:15" hidden="1">
      <c r="A1439" t="s">
        <v>74</v>
      </c>
      <c r="B1439" t="s">
        <v>13</v>
      </c>
      <c r="C1439">
        <v>9.99</v>
      </c>
      <c r="D1439">
        <v>5.72</v>
      </c>
      <c r="E1439" s="27">
        <v>174.65034969999999</v>
      </c>
      <c r="F1439">
        <v>0</v>
      </c>
      <c r="G1439">
        <v>8.0500000000000007</v>
      </c>
      <c r="H1439">
        <v>8.0500000000000007</v>
      </c>
      <c r="I1439">
        <v>0</v>
      </c>
      <c r="J1439">
        <v>124.1</v>
      </c>
      <c r="K1439" s="9">
        <v>45329</v>
      </c>
      <c r="L1439">
        <f xml:space="preserve"> (交易處理資料__3[[#This Row],[售出工時]] * 60) / 5</f>
        <v>119.88</v>
      </c>
      <c r="M1439" t="str">
        <f>VLOOKUP(交易處理資料__3[[#This Row],[人員代號]],團隊分組!$B$1:$C$52,2,FALSE)</f>
        <v>鈑金維修組</v>
      </c>
      <c r="N1439">
        <f>IF(交易處理資料__3[[#This Row],[上班時間]]=0,0,交易處理資料__3[[#This Row],[售出工時]]/交易處理資料__3[[#This Row],[上班時間]])</f>
        <v>1.2409937888198757</v>
      </c>
      <c r="O1439" s="31" t="str">
        <f>IF(交易處理資料__3[[#This Row],[上班時間]]=0,"否","是")</f>
        <v>是</v>
      </c>
    </row>
    <row r="1440" spans="1:15" hidden="1">
      <c r="A1440" t="s">
        <v>74</v>
      </c>
      <c r="B1440" t="s">
        <v>14</v>
      </c>
      <c r="C1440">
        <v>3.26</v>
      </c>
      <c r="D1440">
        <v>4.38</v>
      </c>
      <c r="E1440" s="27">
        <v>74.429223739999998</v>
      </c>
      <c r="F1440">
        <v>0</v>
      </c>
      <c r="G1440">
        <v>8.0500000000000007</v>
      </c>
      <c r="H1440">
        <v>8.0500000000000007</v>
      </c>
      <c r="I1440">
        <v>0</v>
      </c>
      <c r="J1440">
        <v>40.5</v>
      </c>
      <c r="K1440" s="9">
        <v>45329</v>
      </c>
      <c r="L1440">
        <f xml:space="preserve"> (交易處理資料__3[[#This Row],[售出工時]] * 60) / 5</f>
        <v>39.119999999999997</v>
      </c>
      <c r="M1440" t="str">
        <f>VLOOKUP(交易處理資料__3[[#This Row],[人員代號]],團隊分組!$B$1:$C$52,2,FALSE)</f>
        <v>鈑金維修組</v>
      </c>
      <c r="N1440">
        <f>IF(交易處理資料__3[[#This Row],[上班時間]]=0,0,交易處理資料__3[[#This Row],[售出工時]]/交易處理資料__3[[#This Row],[上班時間]])</f>
        <v>0.40496894409937884</v>
      </c>
      <c r="O1440" s="31" t="str">
        <f>IF(交易處理資料__3[[#This Row],[上班時間]]=0,"否","是")</f>
        <v>是</v>
      </c>
    </row>
    <row r="1441" spans="1:15" hidden="1">
      <c r="A1441" t="s">
        <v>75</v>
      </c>
      <c r="B1441" t="s">
        <v>17</v>
      </c>
      <c r="C1441">
        <v>11.893333330000001</v>
      </c>
      <c r="D1441">
        <v>7.39</v>
      </c>
      <c r="E1441" s="27">
        <v>160.93820479999999</v>
      </c>
      <c r="F1441">
        <v>6.74</v>
      </c>
      <c r="G1441">
        <v>1.26</v>
      </c>
      <c r="H1441">
        <v>8</v>
      </c>
      <c r="I1441">
        <v>84.25</v>
      </c>
      <c r="J1441">
        <v>148.66999999999999</v>
      </c>
      <c r="K1441" s="9">
        <v>45329</v>
      </c>
      <c r="L1441">
        <f xml:space="preserve"> (交易處理資料__3[[#This Row],[售出工時]] * 60) / 5</f>
        <v>142.71999996000002</v>
      </c>
      <c r="M1441" t="str">
        <f>VLOOKUP(交易處理資料__3[[#This Row],[人員代號]],團隊分組!$B$1:$C$52,2,FALSE)</f>
        <v>快速保養團隊A</v>
      </c>
      <c r="N1441">
        <f>IF(交易處理資料__3[[#This Row],[上班時間]]=0,0,交易處理資料__3[[#This Row],[售出工時]]/交易處理資料__3[[#This Row],[上班時間]])</f>
        <v>1.4866666662500001</v>
      </c>
      <c r="O1441" s="31" t="str">
        <f>IF(交易處理資料__3[[#This Row],[上班時間]]=0,"否","是")</f>
        <v>是</v>
      </c>
    </row>
    <row r="1442" spans="1:15" hidden="1">
      <c r="A1442" t="s">
        <v>75</v>
      </c>
      <c r="B1442" t="s">
        <v>20</v>
      </c>
      <c r="C1442">
        <v>0</v>
      </c>
      <c r="D1442">
        <v>0</v>
      </c>
      <c r="E1442" s="27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 s="9">
        <v>45329</v>
      </c>
      <c r="L1442">
        <f xml:space="preserve"> (交易處理資料__3[[#This Row],[售出工時]] * 60) / 5</f>
        <v>0</v>
      </c>
      <c r="M1442" t="str">
        <f>VLOOKUP(交易處理資料__3[[#This Row],[人員代號]],團隊分組!$B$1:$C$52,2,FALSE)</f>
        <v>查修團隊B</v>
      </c>
      <c r="N1442">
        <f>IF(交易處理資料__3[[#This Row],[上班時間]]=0,0,交易處理資料__3[[#This Row],[售出工時]]/交易處理資料__3[[#This Row],[上班時間]])</f>
        <v>0</v>
      </c>
      <c r="O1442" s="31" t="str">
        <f>IF(交易處理資料__3[[#This Row],[上班時間]]=0,"否","是")</f>
        <v>否</v>
      </c>
    </row>
    <row r="1443" spans="1:15" hidden="1">
      <c r="A1443" t="s">
        <v>75</v>
      </c>
      <c r="B1443" t="s">
        <v>22</v>
      </c>
      <c r="C1443">
        <v>0</v>
      </c>
      <c r="D1443">
        <v>0</v>
      </c>
      <c r="E1443" s="27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 s="9">
        <v>45329</v>
      </c>
      <c r="L1443">
        <f xml:space="preserve"> (交易處理資料__3[[#This Row],[售出工時]] * 60) / 5</f>
        <v>0</v>
      </c>
      <c r="M1443" t="str">
        <f>VLOOKUP(交易處理資料__3[[#This Row],[人員代號]],團隊分組!$B$1:$C$52,2,FALSE)</f>
        <v>快速保養團隊A</v>
      </c>
      <c r="N1443">
        <f>IF(交易處理資料__3[[#This Row],[上班時間]]=0,0,交易處理資料__3[[#This Row],[售出工時]]/交易處理資料__3[[#This Row],[上班時間]])</f>
        <v>0</v>
      </c>
      <c r="O1443" s="31" t="str">
        <f>IF(交易處理資料__3[[#This Row],[上班時間]]=0,"否","是")</f>
        <v>否</v>
      </c>
    </row>
    <row r="1444" spans="1:15" hidden="1">
      <c r="A1444" t="s">
        <v>75</v>
      </c>
      <c r="B1444" t="s">
        <v>24</v>
      </c>
      <c r="C1444">
        <v>9.8566666670000007</v>
      </c>
      <c r="D1444">
        <v>6.05</v>
      </c>
      <c r="E1444" s="27">
        <v>162.92011020000001</v>
      </c>
      <c r="F1444">
        <v>5.78</v>
      </c>
      <c r="G1444">
        <v>2.27</v>
      </c>
      <c r="H1444">
        <v>8.0500000000000007</v>
      </c>
      <c r="I1444">
        <v>71.8</v>
      </c>
      <c r="J1444">
        <v>122.44</v>
      </c>
      <c r="K1444" s="9">
        <v>45329</v>
      </c>
      <c r="L1444">
        <f xml:space="preserve"> (交易處理資料__3[[#This Row],[售出工時]] * 60) / 5</f>
        <v>118.280000004</v>
      </c>
      <c r="M1444" t="str">
        <f>VLOOKUP(交易處理資料__3[[#This Row],[人員代號]],團隊分組!$B$1:$C$52,2,FALSE)</f>
        <v>快速保養團隊A</v>
      </c>
      <c r="N1444">
        <f>IF(交易處理資料__3[[#This Row],[上班時間]]=0,0,交易處理資料__3[[#This Row],[售出工時]]/交易處理資料__3[[#This Row],[上班時間]])</f>
        <v>1.2244306418633539</v>
      </c>
      <c r="O1444" s="31" t="str">
        <f>IF(交易處理資料__3[[#This Row],[上班時間]]=0,"否","是")</f>
        <v>是</v>
      </c>
    </row>
    <row r="1445" spans="1:15" hidden="1">
      <c r="A1445" t="s">
        <v>75</v>
      </c>
      <c r="B1445" t="s">
        <v>27</v>
      </c>
      <c r="C1445">
        <v>9.1366666670000001</v>
      </c>
      <c r="D1445">
        <v>7.49</v>
      </c>
      <c r="E1445" s="27">
        <v>121.98486870000001</v>
      </c>
      <c r="F1445">
        <v>6.47</v>
      </c>
      <c r="G1445">
        <v>1.02</v>
      </c>
      <c r="H1445">
        <v>7.49</v>
      </c>
      <c r="I1445">
        <v>86.38</v>
      </c>
      <c r="J1445">
        <v>121.98</v>
      </c>
      <c r="K1445" s="9">
        <v>45329</v>
      </c>
      <c r="L1445">
        <f xml:space="preserve"> (交易處理資料__3[[#This Row],[售出工時]] * 60) / 5</f>
        <v>109.64000000400002</v>
      </c>
      <c r="M1445" t="str">
        <f>VLOOKUP(交易處理資料__3[[#This Row],[人員代號]],團隊分組!$B$1:$C$52,2,FALSE)</f>
        <v>快速保養團隊B</v>
      </c>
      <c r="N1445">
        <f>IF(交易處理資料__3[[#This Row],[上班時間]]=0,0,交易處理資料__3[[#This Row],[售出工時]]/交易處理資料__3[[#This Row],[上班時間]])</f>
        <v>1.2198486871829106</v>
      </c>
      <c r="O1445" s="31" t="str">
        <f>IF(交易處理資料__3[[#This Row],[上班時間]]=0,"否","是")</f>
        <v>是</v>
      </c>
    </row>
    <row r="1446" spans="1:15" hidden="1">
      <c r="A1446" t="s">
        <v>75</v>
      </c>
      <c r="B1446" t="s">
        <v>28</v>
      </c>
      <c r="C1446">
        <v>13.41333333</v>
      </c>
      <c r="D1446">
        <v>6.33</v>
      </c>
      <c r="E1446" s="27">
        <v>211.90100050000001</v>
      </c>
      <c r="F1446">
        <v>6.33</v>
      </c>
      <c r="G1446">
        <v>1.67</v>
      </c>
      <c r="H1446">
        <v>8</v>
      </c>
      <c r="I1446">
        <v>79.13</v>
      </c>
      <c r="J1446">
        <v>167.67</v>
      </c>
      <c r="K1446" s="9">
        <v>45329</v>
      </c>
      <c r="L1446">
        <f xml:space="preserve"> (交易處理資料__3[[#This Row],[售出工時]] * 60) / 5</f>
        <v>160.95999996</v>
      </c>
      <c r="M1446" t="str">
        <f>VLOOKUP(交易處理資料__3[[#This Row],[人員代號]],團隊分組!$B$1:$C$52,2,FALSE)</f>
        <v>快速保養團隊A</v>
      </c>
      <c r="N1446">
        <f>IF(交易處理資料__3[[#This Row],[上班時間]]=0,0,交易處理資料__3[[#This Row],[售出工時]]/交易處理資料__3[[#This Row],[上班時間]])</f>
        <v>1.67666666625</v>
      </c>
      <c r="O1446" s="31" t="str">
        <f>IF(交易處理資料__3[[#This Row],[上班時間]]=0,"否","是")</f>
        <v>是</v>
      </c>
    </row>
    <row r="1447" spans="1:15">
      <c r="A1447" t="s">
        <v>75</v>
      </c>
      <c r="B1447" t="s">
        <v>33</v>
      </c>
      <c r="C1447">
        <v>0</v>
      </c>
      <c r="D1447">
        <v>0</v>
      </c>
      <c r="E1447" s="2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 s="9">
        <v>45329</v>
      </c>
      <c r="L1447">
        <f xml:space="preserve"> (交易處理資料__3[[#This Row],[售出工時]] * 60) / 5</f>
        <v>0</v>
      </c>
      <c r="M1447" t="str">
        <f>VLOOKUP(交易處理資料__3[[#This Row],[人員代號]],團隊分組!$B$1:$C$52,2,FALSE)</f>
        <v>快速保養團隊B</v>
      </c>
      <c r="N1447">
        <f>IF(交易處理資料__3[[#This Row],[上班時間]]=0,0,交易處理資料__3[[#This Row],[售出工時]]/交易處理資料__3[[#This Row],[上班時間]])</f>
        <v>0</v>
      </c>
      <c r="O1447" s="31" t="str">
        <f>IF(交易處理資料__3[[#This Row],[上班時間]]=0,"否","是")</f>
        <v>否</v>
      </c>
    </row>
    <row r="1448" spans="1:15" hidden="1">
      <c r="A1448" t="s">
        <v>75</v>
      </c>
      <c r="B1448" t="s">
        <v>34</v>
      </c>
      <c r="C1448">
        <v>8.25</v>
      </c>
      <c r="D1448">
        <v>4.76</v>
      </c>
      <c r="E1448" s="27">
        <v>173.3193277</v>
      </c>
      <c r="F1448">
        <v>4.76</v>
      </c>
      <c r="G1448">
        <v>3.25</v>
      </c>
      <c r="H1448">
        <v>8.01</v>
      </c>
      <c r="I1448">
        <v>59.43</v>
      </c>
      <c r="J1448">
        <v>103</v>
      </c>
      <c r="K1448" s="9">
        <v>45329</v>
      </c>
      <c r="L1448">
        <f xml:space="preserve"> (交易處理資料__3[[#This Row],[售出工時]] * 60) / 5</f>
        <v>99</v>
      </c>
      <c r="M1448" t="str">
        <f>VLOOKUP(交易處理資料__3[[#This Row],[人員代號]],團隊分組!$B$1:$C$52,2,FALSE)</f>
        <v>快速保養團隊A</v>
      </c>
      <c r="N1448">
        <f>IF(交易處理資料__3[[#This Row],[上班時間]]=0,0,交易處理資料__3[[#This Row],[售出工時]]/交易處理資料__3[[#This Row],[上班時間]])</f>
        <v>1.0299625468164795</v>
      </c>
      <c r="O1448" s="31" t="str">
        <f>IF(交易處理資料__3[[#This Row],[上班時間]]=0,"否","是")</f>
        <v>是</v>
      </c>
    </row>
    <row r="1449" spans="1:15" hidden="1">
      <c r="A1449" t="s">
        <v>75</v>
      </c>
      <c r="B1449" t="s">
        <v>35</v>
      </c>
      <c r="C1449">
        <v>7.8833333330000004</v>
      </c>
      <c r="D1449">
        <v>6.37</v>
      </c>
      <c r="E1449" s="27">
        <v>123.7571952</v>
      </c>
      <c r="F1449">
        <v>4.32</v>
      </c>
      <c r="G1449">
        <v>3.86</v>
      </c>
      <c r="H1449">
        <v>8.18</v>
      </c>
      <c r="I1449">
        <v>52.81</v>
      </c>
      <c r="J1449">
        <v>96.37</v>
      </c>
      <c r="K1449" s="9">
        <v>45329</v>
      </c>
      <c r="L1449">
        <f xml:space="preserve"> (交易處理資料__3[[#This Row],[售出工時]] * 60) / 5</f>
        <v>94.599999996000008</v>
      </c>
      <c r="M1449" t="str">
        <f>VLOOKUP(交易處理資料__3[[#This Row],[人員代號]],團隊分組!$B$1:$C$52,2,FALSE)</f>
        <v>查修團隊B</v>
      </c>
      <c r="N1449">
        <f>IF(交易處理資料__3[[#This Row],[上班時間]]=0,0,交易處理資料__3[[#This Row],[售出工時]]/交易處理資料__3[[#This Row],[上班時間]])</f>
        <v>0.96373268129584355</v>
      </c>
      <c r="O1449" s="31" t="str">
        <f>IF(交易處理資料__3[[#This Row],[上班時間]]=0,"否","是")</f>
        <v>是</v>
      </c>
    </row>
    <row r="1450" spans="1:15" hidden="1">
      <c r="A1450" t="s">
        <v>75</v>
      </c>
      <c r="B1450" t="s">
        <v>37</v>
      </c>
      <c r="C1450">
        <v>7.1733333330000004</v>
      </c>
      <c r="D1450">
        <v>7.35</v>
      </c>
      <c r="E1450" s="27">
        <v>97.596371880000007</v>
      </c>
      <c r="F1450">
        <v>3.85</v>
      </c>
      <c r="G1450">
        <v>4.3</v>
      </c>
      <c r="H1450">
        <v>8.15</v>
      </c>
      <c r="I1450">
        <v>47.24</v>
      </c>
      <c r="J1450">
        <v>88.02</v>
      </c>
      <c r="K1450" s="9">
        <v>45329</v>
      </c>
      <c r="L1450">
        <f xml:space="preserve"> (交易處理資料__3[[#This Row],[售出工時]] * 60) / 5</f>
        <v>86.079999995999998</v>
      </c>
      <c r="M1450" t="str">
        <f>VLOOKUP(交易處理資料__3[[#This Row],[人員代號]],團隊分組!$B$1:$C$52,2,FALSE)</f>
        <v>查修團隊A</v>
      </c>
      <c r="N1450">
        <f>IF(交易處理資料__3[[#This Row],[上班時間]]=0,0,交易處理資料__3[[#This Row],[售出工時]]/交易處理資料__3[[#This Row],[上班時間]])</f>
        <v>0.88016359914110431</v>
      </c>
      <c r="O1450" s="31" t="str">
        <f>IF(交易處理資料__3[[#This Row],[上班時間]]=0,"否","是")</f>
        <v>是</v>
      </c>
    </row>
    <row r="1451" spans="1:15" hidden="1">
      <c r="A1451" t="s">
        <v>75</v>
      </c>
      <c r="B1451" t="s">
        <v>42</v>
      </c>
      <c r="C1451">
        <v>5.8333333329999997</v>
      </c>
      <c r="D1451">
        <v>2.87</v>
      </c>
      <c r="E1451" s="27">
        <v>203.25203250000001</v>
      </c>
      <c r="F1451">
        <v>2.87</v>
      </c>
      <c r="G1451">
        <v>1.03</v>
      </c>
      <c r="H1451">
        <v>3.9</v>
      </c>
      <c r="I1451">
        <v>73.59</v>
      </c>
      <c r="J1451">
        <v>149.57</v>
      </c>
      <c r="K1451" s="9">
        <v>45329</v>
      </c>
      <c r="L1451">
        <f xml:space="preserve"> (交易處理資料__3[[#This Row],[售出工時]] * 60) / 5</f>
        <v>69.999999996</v>
      </c>
      <c r="M1451" t="str">
        <f>VLOOKUP(交易處理資料__3[[#This Row],[人員代號]],團隊分組!$B$1:$C$52,2,FALSE)</f>
        <v>快速保養團隊A</v>
      </c>
      <c r="N1451">
        <f>IF(交易處理資料__3[[#This Row],[上班時間]]=0,0,交易處理資料__3[[#This Row],[售出工時]]/交易處理資料__3[[#This Row],[上班時間]])</f>
        <v>1.4957264956410257</v>
      </c>
      <c r="O1451" s="31" t="str">
        <f>IF(交易處理資料__3[[#This Row],[上班時間]]=0,"否","是")</f>
        <v>是</v>
      </c>
    </row>
    <row r="1452" spans="1:15" hidden="1">
      <c r="A1452" t="s">
        <v>75</v>
      </c>
      <c r="B1452" t="s">
        <v>47</v>
      </c>
      <c r="C1452">
        <v>11.39666667</v>
      </c>
      <c r="D1452">
        <v>8.1</v>
      </c>
      <c r="E1452" s="27">
        <v>140.6995885</v>
      </c>
      <c r="F1452">
        <v>3.32</v>
      </c>
      <c r="G1452">
        <v>5.44</v>
      </c>
      <c r="H1452">
        <v>8.76</v>
      </c>
      <c r="I1452">
        <v>37.9</v>
      </c>
      <c r="J1452">
        <v>130.1</v>
      </c>
      <c r="K1452" s="9">
        <v>45329</v>
      </c>
      <c r="L1452">
        <f xml:space="preserve"> (交易處理資料__3[[#This Row],[售出工時]] * 60) / 5</f>
        <v>136.76000003999999</v>
      </c>
      <c r="M1452" t="str">
        <f>VLOOKUP(交易處理資料__3[[#This Row],[人員代號]],團隊分組!$B$1:$C$52,2,FALSE)</f>
        <v>查修團隊B</v>
      </c>
      <c r="N1452">
        <f>IF(交易處理資料__3[[#This Row],[上班時間]]=0,0,交易處理資料__3[[#This Row],[售出工時]]/交易處理資料__3[[#This Row],[上班時間]])</f>
        <v>1.3009893458904109</v>
      </c>
      <c r="O1452" s="31" t="str">
        <f>IF(交易處理資料__3[[#This Row],[上班時間]]=0,"否","是")</f>
        <v>是</v>
      </c>
    </row>
    <row r="1453" spans="1:15" hidden="1">
      <c r="A1453" t="s">
        <v>75</v>
      </c>
      <c r="B1453" t="s">
        <v>51</v>
      </c>
      <c r="C1453">
        <v>0</v>
      </c>
      <c r="D1453">
        <v>0</v>
      </c>
      <c r="E1453" s="27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 s="9">
        <v>45329</v>
      </c>
      <c r="L1453">
        <f xml:space="preserve"> (交易處理資料__3[[#This Row],[售出工時]] * 60) / 5</f>
        <v>0</v>
      </c>
      <c r="M1453" t="str">
        <f>VLOOKUP(交易處理資料__3[[#This Row],[人員代號]],團隊分組!$B$1:$C$52,2,FALSE)</f>
        <v>無效數據</v>
      </c>
      <c r="N1453">
        <f>IF(交易處理資料__3[[#This Row],[上班時間]]=0,0,交易處理資料__3[[#This Row],[售出工時]]/交易處理資料__3[[#This Row],[上班時間]])</f>
        <v>0</v>
      </c>
      <c r="O1453" s="31" t="str">
        <f>IF(交易處理資料__3[[#This Row],[上班時間]]=0,"否","是")</f>
        <v>否</v>
      </c>
    </row>
    <row r="1454" spans="1:15" hidden="1">
      <c r="A1454" t="s">
        <v>75</v>
      </c>
      <c r="B1454" t="s">
        <v>52</v>
      </c>
      <c r="C1454">
        <v>4</v>
      </c>
      <c r="D1454">
        <v>5.0999999999999996</v>
      </c>
      <c r="E1454" s="27">
        <v>78.431372550000006</v>
      </c>
      <c r="F1454">
        <v>4.5599999999999996</v>
      </c>
      <c r="G1454">
        <v>3.61</v>
      </c>
      <c r="H1454">
        <v>8.17</v>
      </c>
      <c r="I1454">
        <v>55.81</v>
      </c>
      <c r="J1454">
        <v>48.96</v>
      </c>
      <c r="K1454" s="9">
        <v>45329</v>
      </c>
      <c r="L1454">
        <f xml:space="preserve"> (交易處理資料__3[[#This Row],[售出工時]] * 60) / 5</f>
        <v>48</v>
      </c>
      <c r="M1454" t="str">
        <f>VLOOKUP(交易處理資料__3[[#This Row],[人員代號]],團隊分組!$B$1:$C$52,2,FALSE)</f>
        <v>查修團隊B</v>
      </c>
      <c r="N1454">
        <f>IF(交易處理資料__3[[#This Row],[上班時間]]=0,0,交易處理資料__3[[#This Row],[售出工時]]/交易處理資料__3[[#This Row],[上班時間]])</f>
        <v>0.48959608323133413</v>
      </c>
      <c r="O1454" s="31" t="str">
        <f>IF(交易處理資料__3[[#This Row],[上班時間]]=0,"否","是")</f>
        <v>是</v>
      </c>
    </row>
    <row r="1455" spans="1:15" hidden="1">
      <c r="A1455" s="10" t="s">
        <v>73</v>
      </c>
      <c r="B1455" t="s">
        <v>1</v>
      </c>
      <c r="C1455">
        <v>0</v>
      </c>
      <c r="D1455">
        <v>0</v>
      </c>
      <c r="E1455" s="27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 s="9">
        <v>45330</v>
      </c>
      <c r="L1455">
        <f xml:space="preserve"> (交易處理資料__3[[#This Row],[售出工時]] * 60) / 5</f>
        <v>0</v>
      </c>
      <c r="M1455" t="str">
        <f>VLOOKUP(交易處理資料__3[[#This Row],[人員代號]],團隊分組!$B$1:$C$52,2,FALSE)</f>
        <v>噴漆維修組</v>
      </c>
      <c r="N1455">
        <f>IF(交易處理資料__3[[#This Row],[上班時間]]=0,0,交易處理資料__3[[#This Row],[售出工時]]/交易處理資料__3[[#This Row],[上班時間]])</f>
        <v>0</v>
      </c>
      <c r="O1455" s="31" t="str">
        <f>IF(交易處理資料__3[[#This Row],[上班時間]]=0,"否","是")</f>
        <v>否</v>
      </c>
    </row>
    <row r="1456" spans="1:15" hidden="1">
      <c r="A1456" s="10" t="s">
        <v>73</v>
      </c>
      <c r="B1456" t="s">
        <v>2</v>
      </c>
      <c r="C1456">
        <v>0</v>
      </c>
      <c r="D1456">
        <v>0</v>
      </c>
      <c r="E1456" s="27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 s="9">
        <v>45330</v>
      </c>
      <c r="L1456">
        <f xml:space="preserve"> (交易處理資料__3[[#This Row],[售出工時]] * 60) / 5</f>
        <v>0</v>
      </c>
      <c r="M1456" t="str">
        <f>VLOOKUP(交易處理資料__3[[#This Row],[人員代號]],團隊分組!$B$1:$C$52,2,FALSE)</f>
        <v>噴漆維修組</v>
      </c>
      <c r="N1456">
        <f>IF(交易處理資料__3[[#This Row],[上班時間]]=0,0,交易處理資料__3[[#This Row],[售出工時]]/交易處理資料__3[[#This Row],[上班時間]])</f>
        <v>0</v>
      </c>
      <c r="O1456" s="31" t="str">
        <f>IF(交易處理資料__3[[#This Row],[上班時間]]=0,"否","是")</f>
        <v>否</v>
      </c>
    </row>
    <row r="1457" spans="1:15" hidden="1">
      <c r="A1457" s="10" t="s">
        <v>73</v>
      </c>
      <c r="B1457" t="s">
        <v>3</v>
      </c>
      <c r="C1457">
        <v>0</v>
      </c>
      <c r="D1457">
        <v>0</v>
      </c>
      <c r="E1457" s="2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 s="9">
        <v>45330</v>
      </c>
      <c r="L1457">
        <f xml:space="preserve"> (交易處理資料__3[[#This Row],[售出工時]] * 60) / 5</f>
        <v>0</v>
      </c>
      <c r="M1457" t="str">
        <f>VLOOKUP(交易處理資料__3[[#This Row],[人員代號]],團隊分組!$B$1:$C$52,2,FALSE)</f>
        <v>噴漆維修組</v>
      </c>
      <c r="N1457">
        <f>IF(交易處理資料__3[[#This Row],[上班時間]]=0,0,交易處理資料__3[[#This Row],[售出工時]]/交易處理資料__3[[#This Row],[上班時間]])</f>
        <v>0</v>
      </c>
      <c r="O1457" s="31" t="str">
        <f>IF(交易處理資料__3[[#This Row],[上班時間]]=0,"否","是")</f>
        <v>否</v>
      </c>
    </row>
    <row r="1458" spans="1:15" hidden="1">
      <c r="A1458" s="10" t="s">
        <v>73</v>
      </c>
      <c r="B1458" t="s">
        <v>4</v>
      </c>
      <c r="C1458">
        <v>0</v>
      </c>
      <c r="D1458">
        <v>0</v>
      </c>
      <c r="E1458" s="27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 s="9">
        <v>45330</v>
      </c>
      <c r="L1458">
        <f xml:space="preserve"> (交易處理資料__3[[#This Row],[售出工時]] * 60) / 5</f>
        <v>0</v>
      </c>
      <c r="M1458" t="str">
        <f>VLOOKUP(交易處理資料__3[[#This Row],[人員代號]],團隊分組!$B$1:$C$52,2,FALSE)</f>
        <v>噴漆維修組</v>
      </c>
      <c r="N1458">
        <f>IF(交易處理資料__3[[#This Row],[上班時間]]=0,0,交易處理資料__3[[#This Row],[售出工時]]/交易處理資料__3[[#This Row],[上班時間]])</f>
        <v>0</v>
      </c>
      <c r="O1458" s="31" t="str">
        <f>IF(交易處理資料__3[[#This Row],[上班時間]]=0,"否","是")</f>
        <v>否</v>
      </c>
    </row>
    <row r="1459" spans="1:15" hidden="1">
      <c r="A1459" s="10" t="s">
        <v>73</v>
      </c>
      <c r="B1459" t="s">
        <v>5</v>
      </c>
      <c r="C1459">
        <v>0</v>
      </c>
      <c r="D1459">
        <v>0</v>
      </c>
      <c r="E1459" s="27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 s="9">
        <v>45330</v>
      </c>
      <c r="L1459">
        <f xml:space="preserve"> (交易處理資料__3[[#This Row],[售出工時]] * 60) / 5</f>
        <v>0</v>
      </c>
      <c r="M1459" t="str">
        <f>VLOOKUP(交易處理資料__3[[#This Row],[人員代號]],團隊分組!$B$1:$C$52,2,FALSE)</f>
        <v>噴漆維修組</v>
      </c>
      <c r="N1459">
        <f>IF(交易處理資料__3[[#This Row],[上班時間]]=0,0,交易處理資料__3[[#This Row],[售出工時]]/交易處理資料__3[[#This Row],[上班時間]])</f>
        <v>0</v>
      </c>
      <c r="O1459" s="31" t="str">
        <f>IF(交易處理資料__3[[#This Row],[上班時間]]=0,"否","是")</f>
        <v>否</v>
      </c>
    </row>
    <row r="1460" spans="1:15" hidden="1">
      <c r="A1460" s="10" t="s">
        <v>73</v>
      </c>
      <c r="B1460" t="s">
        <v>6</v>
      </c>
      <c r="C1460">
        <v>0</v>
      </c>
      <c r="D1460">
        <v>0</v>
      </c>
      <c r="E1460" s="27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 s="9">
        <v>45330</v>
      </c>
      <c r="L1460">
        <f xml:space="preserve"> (交易處理資料__3[[#This Row],[售出工時]] * 60) / 5</f>
        <v>0</v>
      </c>
      <c r="M1460" t="str">
        <f>VLOOKUP(交易處理資料__3[[#This Row],[人員代號]],團隊分組!$B$1:$C$52,2,FALSE)</f>
        <v>噴漆維修組</v>
      </c>
      <c r="N1460">
        <f>IF(交易處理資料__3[[#This Row],[上班時間]]=0,0,交易處理資料__3[[#This Row],[售出工時]]/交易處理資料__3[[#This Row],[上班時間]])</f>
        <v>0</v>
      </c>
      <c r="O1460" s="31" t="str">
        <f>IF(交易處理資料__3[[#This Row],[上班時間]]=0,"否","是")</f>
        <v>否</v>
      </c>
    </row>
    <row r="1461" spans="1:15" hidden="1">
      <c r="A1461" s="10" t="s">
        <v>73</v>
      </c>
      <c r="B1461" t="s">
        <v>7</v>
      </c>
      <c r="C1461">
        <v>0</v>
      </c>
      <c r="D1461">
        <v>0</v>
      </c>
      <c r="E1461" s="27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 s="9">
        <v>45330</v>
      </c>
      <c r="L1461">
        <f xml:space="preserve"> (交易處理資料__3[[#This Row],[售出工時]] * 60) / 5</f>
        <v>0</v>
      </c>
      <c r="M1461" t="str">
        <f>VLOOKUP(交易處理資料__3[[#This Row],[人員代號]],團隊分組!$B$1:$C$52,2,FALSE)</f>
        <v>噴漆維修組</v>
      </c>
      <c r="N1461">
        <f>IF(交易處理資料__3[[#This Row],[上班時間]]=0,0,交易處理資料__3[[#This Row],[售出工時]]/交易處理資料__3[[#This Row],[上班時間]])</f>
        <v>0</v>
      </c>
      <c r="O1461" s="31" t="str">
        <f>IF(交易處理資料__3[[#This Row],[上班時間]]=0,"否","是")</f>
        <v>否</v>
      </c>
    </row>
    <row r="1462" spans="1:15" hidden="1">
      <c r="A1462" s="10" t="s">
        <v>73</v>
      </c>
      <c r="B1462" t="s">
        <v>8</v>
      </c>
      <c r="C1462">
        <v>0</v>
      </c>
      <c r="D1462">
        <v>0</v>
      </c>
      <c r="E1462" s="27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 s="9">
        <v>45330</v>
      </c>
      <c r="L1462">
        <f xml:space="preserve"> (交易處理資料__3[[#This Row],[售出工時]] * 60) / 5</f>
        <v>0</v>
      </c>
      <c r="M1462" t="str">
        <f>VLOOKUP(交易處理資料__3[[#This Row],[人員代號]],團隊分組!$B$1:$C$52,2,FALSE)</f>
        <v>噴漆維修組</v>
      </c>
      <c r="N1462">
        <f>IF(交易處理資料__3[[#This Row],[上班時間]]=0,0,交易處理資料__3[[#This Row],[售出工時]]/交易處理資料__3[[#This Row],[上班時間]])</f>
        <v>0</v>
      </c>
      <c r="O1462" s="31" t="str">
        <f>IF(交易處理資料__3[[#This Row],[上班時間]]=0,"否","是")</f>
        <v>否</v>
      </c>
    </row>
    <row r="1463" spans="1:15" hidden="1">
      <c r="A1463" s="10" t="s">
        <v>73</v>
      </c>
      <c r="B1463" t="s">
        <v>9</v>
      </c>
      <c r="C1463">
        <v>0</v>
      </c>
      <c r="D1463">
        <v>0</v>
      </c>
      <c r="E1463" s="27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 s="9">
        <v>45330</v>
      </c>
      <c r="L1463">
        <f xml:space="preserve"> (交易處理資料__3[[#This Row],[售出工時]] * 60) / 5</f>
        <v>0</v>
      </c>
      <c r="M1463" t="str">
        <f>VLOOKUP(交易處理資料__3[[#This Row],[人員代號]],團隊分組!$B$1:$C$52,2,FALSE)</f>
        <v>噴漆維修組</v>
      </c>
      <c r="N1463">
        <f>IF(交易處理資料__3[[#This Row],[上班時間]]=0,0,交易處理資料__3[[#This Row],[售出工時]]/交易處理資料__3[[#This Row],[上班時間]])</f>
        <v>0</v>
      </c>
      <c r="O1463" s="31" t="str">
        <f>IF(交易處理資料__3[[#This Row],[上班時間]]=0,"否","是")</f>
        <v>否</v>
      </c>
    </row>
    <row r="1464" spans="1:15" hidden="1">
      <c r="A1464" t="s">
        <v>74</v>
      </c>
      <c r="B1464" t="s">
        <v>11</v>
      </c>
      <c r="C1464">
        <v>0</v>
      </c>
      <c r="D1464">
        <v>0</v>
      </c>
      <c r="E1464" s="27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 s="9">
        <v>45330</v>
      </c>
      <c r="L1464">
        <f xml:space="preserve"> (交易處理資料__3[[#This Row],[售出工時]] * 60) / 5</f>
        <v>0</v>
      </c>
      <c r="M1464" t="str">
        <f>VLOOKUP(交易處理資料__3[[#This Row],[人員代號]],團隊分組!$B$1:$C$52,2,FALSE)</f>
        <v>鈑金維修組</v>
      </c>
      <c r="N1464">
        <f>IF(交易處理資料__3[[#This Row],[上班時間]]=0,0,交易處理資料__3[[#This Row],[售出工時]]/交易處理資料__3[[#This Row],[上班時間]])</f>
        <v>0</v>
      </c>
      <c r="O1464" s="31" t="str">
        <f>IF(交易處理資料__3[[#This Row],[上班時間]]=0,"否","是")</f>
        <v>否</v>
      </c>
    </row>
    <row r="1465" spans="1:15" hidden="1">
      <c r="A1465" t="s">
        <v>74</v>
      </c>
      <c r="B1465" t="s">
        <v>12</v>
      </c>
      <c r="C1465">
        <v>0</v>
      </c>
      <c r="D1465">
        <v>0</v>
      </c>
      <c r="E1465" s="27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 s="9">
        <v>45330</v>
      </c>
      <c r="L1465">
        <f xml:space="preserve"> (交易處理資料__3[[#This Row],[售出工時]] * 60) / 5</f>
        <v>0</v>
      </c>
      <c r="M1465" t="str">
        <f>VLOOKUP(交易處理資料__3[[#This Row],[人員代號]],團隊分組!$B$1:$C$52,2,FALSE)</f>
        <v>鈑金維修組</v>
      </c>
      <c r="N1465">
        <f>IF(交易處理資料__3[[#This Row],[上班時間]]=0,0,交易處理資料__3[[#This Row],[售出工時]]/交易處理資料__3[[#This Row],[上班時間]])</f>
        <v>0</v>
      </c>
      <c r="O1465" s="31" t="str">
        <f>IF(交易處理資料__3[[#This Row],[上班時間]]=0,"否","是")</f>
        <v>否</v>
      </c>
    </row>
    <row r="1466" spans="1:15" hidden="1">
      <c r="A1466" t="s">
        <v>74</v>
      </c>
      <c r="B1466" t="s">
        <v>13</v>
      </c>
      <c r="C1466">
        <v>0</v>
      </c>
      <c r="D1466">
        <v>0</v>
      </c>
      <c r="E1466" s="27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 s="9">
        <v>45330</v>
      </c>
      <c r="L1466">
        <f xml:space="preserve"> (交易處理資料__3[[#This Row],[售出工時]] * 60) / 5</f>
        <v>0</v>
      </c>
      <c r="M1466" t="str">
        <f>VLOOKUP(交易處理資料__3[[#This Row],[人員代號]],團隊分組!$B$1:$C$52,2,FALSE)</f>
        <v>鈑金維修組</v>
      </c>
      <c r="N1466">
        <f>IF(交易處理資料__3[[#This Row],[上班時間]]=0,0,交易處理資料__3[[#This Row],[售出工時]]/交易處理資料__3[[#This Row],[上班時間]])</f>
        <v>0</v>
      </c>
      <c r="O1466" s="31" t="str">
        <f>IF(交易處理資料__3[[#This Row],[上班時間]]=0,"否","是")</f>
        <v>否</v>
      </c>
    </row>
    <row r="1467" spans="1:15" hidden="1">
      <c r="A1467" t="s">
        <v>74</v>
      </c>
      <c r="B1467" t="s">
        <v>14</v>
      </c>
      <c r="C1467">
        <v>0</v>
      </c>
      <c r="D1467">
        <v>0</v>
      </c>
      <c r="E1467" s="2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 s="9">
        <v>45330</v>
      </c>
      <c r="L1467">
        <f xml:space="preserve"> (交易處理資料__3[[#This Row],[售出工時]] * 60) / 5</f>
        <v>0</v>
      </c>
      <c r="M1467" t="str">
        <f>VLOOKUP(交易處理資料__3[[#This Row],[人員代號]],團隊分組!$B$1:$C$52,2,FALSE)</f>
        <v>鈑金維修組</v>
      </c>
      <c r="N1467">
        <f>IF(交易處理資料__3[[#This Row],[上班時間]]=0,0,交易處理資料__3[[#This Row],[售出工時]]/交易處理資料__3[[#This Row],[上班時間]])</f>
        <v>0</v>
      </c>
      <c r="O1467" s="31" t="str">
        <f>IF(交易處理資料__3[[#This Row],[上班時間]]=0,"否","是")</f>
        <v>否</v>
      </c>
    </row>
    <row r="1468" spans="1:15" hidden="1">
      <c r="A1468" t="s">
        <v>74</v>
      </c>
      <c r="B1468" t="s">
        <v>15</v>
      </c>
      <c r="C1468">
        <v>0</v>
      </c>
      <c r="D1468">
        <v>0</v>
      </c>
      <c r="E1468" s="27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 s="9">
        <v>45330</v>
      </c>
      <c r="L1468">
        <f xml:space="preserve"> (交易處理資料__3[[#This Row],[售出工時]] * 60) / 5</f>
        <v>0</v>
      </c>
      <c r="M1468" t="str">
        <f>VLOOKUP(交易處理資料__3[[#This Row],[人員代號]],團隊分組!$B$1:$C$52,2,FALSE)</f>
        <v>鈑金維修組</v>
      </c>
      <c r="N1468">
        <f>IF(交易處理資料__3[[#This Row],[上班時間]]=0,0,交易處理資料__3[[#This Row],[售出工時]]/交易處理資料__3[[#This Row],[上班時間]])</f>
        <v>0</v>
      </c>
      <c r="O1468" s="31" t="str">
        <f>IF(交易處理資料__3[[#This Row],[上班時間]]=0,"否","是")</f>
        <v>否</v>
      </c>
    </row>
    <row r="1469" spans="1:15" hidden="1">
      <c r="A1469" t="s">
        <v>75</v>
      </c>
      <c r="B1469" t="s">
        <v>17</v>
      </c>
      <c r="C1469">
        <v>0</v>
      </c>
      <c r="D1469">
        <v>0</v>
      </c>
      <c r="E1469" s="27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 s="9">
        <v>45330</v>
      </c>
      <c r="L1469">
        <f xml:space="preserve"> (交易處理資料__3[[#This Row],[售出工時]] * 60) / 5</f>
        <v>0</v>
      </c>
      <c r="M1469" t="str">
        <f>VLOOKUP(交易處理資料__3[[#This Row],[人員代號]],團隊分組!$B$1:$C$52,2,FALSE)</f>
        <v>快速保養團隊A</v>
      </c>
      <c r="N1469">
        <f>IF(交易處理資料__3[[#This Row],[上班時間]]=0,0,交易處理資料__3[[#This Row],[售出工時]]/交易處理資料__3[[#This Row],[上班時間]])</f>
        <v>0</v>
      </c>
      <c r="O1469" s="31" t="str">
        <f>IF(交易處理資料__3[[#This Row],[上班時間]]=0,"否","是")</f>
        <v>否</v>
      </c>
    </row>
    <row r="1470" spans="1:15" hidden="1">
      <c r="A1470" t="s">
        <v>75</v>
      </c>
      <c r="B1470" t="s">
        <v>18</v>
      </c>
      <c r="C1470">
        <v>0</v>
      </c>
      <c r="D1470">
        <v>0</v>
      </c>
      <c r="E1470" s="27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 s="9">
        <v>45330</v>
      </c>
      <c r="L1470">
        <f xml:space="preserve"> (交易處理資料__3[[#This Row],[售出工時]] * 60) / 5</f>
        <v>0</v>
      </c>
      <c r="M1470" t="str">
        <f>VLOOKUP(交易處理資料__3[[#This Row],[人員代號]],團隊分組!$B$1:$C$52,2,FALSE)</f>
        <v>查修團隊B</v>
      </c>
      <c r="N1470">
        <f>IF(交易處理資料__3[[#This Row],[上班時間]]=0,0,交易處理資料__3[[#This Row],[售出工時]]/交易處理資料__3[[#This Row],[上班時間]])</f>
        <v>0</v>
      </c>
      <c r="O1470" s="31" t="str">
        <f>IF(交易處理資料__3[[#This Row],[上班時間]]=0,"否","是")</f>
        <v>否</v>
      </c>
    </row>
    <row r="1471" spans="1:15" hidden="1">
      <c r="A1471" t="s">
        <v>75</v>
      </c>
      <c r="B1471" t="s">
        <v>19</v>
      </c>
      <c r="C1471">
        <v>0</v>
      </c>
      <c r="D1471">
        <v>0</v>
      </c>
      <c r="E1471" s="27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 s="9">
        <v>45330</v>
      </c>
      <c r="L1471">
        <f xml:space="preserve"> (交易處理資料__3[[#This Row],[售出工時]] * 60) / 5</f>
        <v>0</v>
      </c>
      <c r="M1471" t="str">
        <f>VLOOKUP(交易處理資料__3[[#This Row],[人員代號]],團隊分組!$B$1:$C$52,2,FALSE)</f>
        <v>查修團隊A</v>
      </c>
      <c r="N1471">
        <f>IF(交易處理資料__3[[#This Row],[上班時間]]=0,0,交易處理資料__3[[#This Row],[售出工時]]/交易處理資料__3[[#This Row],[上班時間]])</f>
        <v>0</v>
      </c>
      <c r="O1471" s="31" t="str">
        <f>IF(交易處理資料__3[[#This Row],[上班時間]]=0,"否","是")</f>
        <v>否</v>
      </c>
    </row>
    <row r="1472" spans="1:15" hidden="1">
      <c r="A1472" t="s">
        <v>75</v>
      </c>
      <c r="B1472" t="s">
        <v>20</v>
      </c>
      <c r="C1472">
        <v>0</v>
      </c>
      <c r="D1472">
        <v>0</v>
      </c>
      <c r="E1472" s="27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 s="9">
        <v>45330</v>
      </c>
      <c r="L1472">
        <f xml:space="preserve"> (交易處理資料__3[[#This Row],[售出工時]] * 60) / 5</f>
        <v>0</v>
      </c>
      <c r="M1472" t="str">
        <f>VLOOKUP(交易處理資料__3[[#This Row],[人員代號]],團隊分組!$B$1:$C$52,2,FALSE)</f>
        <v>查修團隊B</v>
      </c>
      <c r="N1472">
        <f>IF(交易處理資料__3[[#This Row],[上班時間]]=0,0,交易處理資料__3[[#This Row],[售出工時]]/交易處理資料__3[[#This Row],[上班時間]])</f>
        <v>0</v>
      </c>
      <c r="O1472" s="31" t="str">
        <f>IF(交易處理資料__3[[#This Row],[上班時間]]=0,"否","是")</f>
        <v>否</v>
      </c>
    </row>
    <row r="1473" spans="1:15" hidden="1">
      <c r="A1473" t="s">
        <v>75</v>
      </c>
      <c r="B1473" t="s">
        <v>21</v>
      </c>
      <c r="C1473">
        <v>0</v>
      </c>
      <c r="D1473">
        <v>0</v>
      </c>
      <c r="E1473" s="27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 s="9">
        <v>45330</v>
      </c>
      <c r="L1473">
        <f xml:space="preserve"> (交易處理資料__3[[#This Row],[售出工時]] * 60) / 5</f>
        <v>0</v>
      </c>
      <c r="M1473" t="str">
        <f>VLOOKUP(交易處理資料__3[[#This Row],[人員代號]],團隊分組!$B$1:$C$52,2,FALSE)</f>
        <v>查修團隊B</v>
      </c>
      <c r="N1473">
        <f>IF(交易處理資料__3[[#This Row],[上班時間]]=0,0,交易處理資料__3[[#This Row],[售出工時]]/交易處理資料__3[[#This Row],[上班時間]])</f>
        <v>0</v>
      </c>
      <c r="O1473" s="31" t="str">
        <f>IF(交易處理資料__3[[#This Row],[上班時間]]=0,"否","是")</f>
        <v>否</v>
      </c>
    </row>
    <row r="1474" spans="1:15" hidden="1">
      <c r="A1474" t="s">
        <v>75</v>
      </c>
      <c r="B1474" t="s">
        <v>22</v>
      </c>
      <c r="C1474">
        <v>0</v>
      </c>
      <c r="D1474">
        <v>0</v>
      </c>
      <c r="E1474" s="27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 s="9">
        <v>45330</v>
      </c>
      <c r="L1474">
        <f xml:space="preserve"> (交易處理資料__3[[#This Row],[售出工時]] * 60) / 5</f>
        <v>0</v>
      </c>
      <c r="M1474" t="str">
        <f>VLOOKUP(交易處理資料__3[[#This Row],[人員代號]],團隊分組!$B$1:$C$52,2,FALSE)</f>
        <v>快速保養團隊A</v>
      </c>
      <c r="N1474">
        <f>IF(交易處理資料__3[[#This Row],[上班時間]]=0,0,交易處理資料__3[[#This Row],[售出工時]]/交易處理資料__3[[#This Row],[上班時間]])</f>
        <v>0</v>
      </c>
      <c r="O1474" s="31" t="str">
        <f>IF(交易處理資料__3[[#This Row],[上班時間]]=0,"否","是")</f>
        <v>否</v>
      </c>
    </row>
    <row r="1475" spans="1:15" hidden="1">
      <c r="A1475" t="s">
        <v>75</v>
      </c>
      <c r="B1475" t="s">
        <v>24</v>
      </c>
      <c r="C1475">
        <v>5.4166666670000003</v>
      </c>
      <c r="D1475">
        <v>4.72</v>
      </c>
      <c r="E1475" s="27">
        <v>114.75988700000001</v>
      </c>
      <c r="F1475">
        <v>4.72</v>
      </c>
      <c r="G1475">
        <v>3.43</v>
      </c>
      <c r="H1475">
        <v>8.15</v>
      </c>
      <c r="I1475">
        <v>57.91</v>
      </c>
      <c r="J1475">
        <v>66.459999999999994</v>
      </c>
      <c r="K1475" s="9">
        <v>45330</v>
      </c>
      <c r="L1475">
        <f xml:space="preserve"> (交易處理資料__3[[#This Row],[售出工時]] * 60) / 5</f>
        <v>65.000000004</v>
      </c>
      <c r="M1475" t="str">
        <f>VLOOKUP(交易處理資料__3[[#This Row],[人員代號]],團隊分組!$B$1:$C$52,2,FALSE)</f>
        <v>快速保養團隊A</v>
      </c>
      <c r="N1475">
        <f>IF(交易處理資料__3[[#This Row],[上班時間]]=0,0,交易處理資料__3[[#This Row],[售出工時]]/交易處理資料__3[[#This Row],[上班時間]])</f>
        <v>0.66462167693251539</v>
      </c>
      <c r="O1475" s="31" t="str">
        <f>IF(交易處理資料__3[[#This Row],[上班時間]]=0,"否","是")</f>
        <v>是</v>
      </c>
    </row>
    <row r="1476" spans="1:15" hidden="1">
      <c r="A1476" t="s">
        <v>75</v>
      </c>
      <c r="B1476" t="s">
        <v>25</v>
      </c>
      <c r="C1476">
        <v>0</v>
      </c>
      <c r="D1476">
        <v>0</v>
      </c>
      <c r="E1476" s="27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 s="9">
        <v>45330</v>
      </c>
      <c r="L1476">
        <f xml:space="preserve"> (交易處理資料__3[[#This Row],[售出工時]] * 60) / 5</f>
        <v>0</v>
      </c>
      <c r="M1476" t="str">
        <f>VLOOKUP(交易處理資料__3[[#This Row],[人員代號]],團隊分組!$B$1:$C$52,2,FALSE)</f>
        <v>查修團隊A</v>
      </c>
      <c r="N1476">
        <f>IF(交易處理資料__3[[#This Row],[上班時間]]=0,0,交易處理資料__3[[#This Row],[售出工時]]/交易處理資料__3[[#This Row],[上班時間]])</f>
        <v>0</v>
      </c>
      <c r="O1476" s="31" t="str">
        <f>IF(交易處理資料__3[[#This Row],[上班時間]]=0,"否","是")</f>
        <v>否</v>
      </c>
    </row>
    <row r="1477" spans="1:15" hidden="1">
      <c r="A1477" t="s">
        <v>75</v>
      </c>
      <c r="B1477" t="s">
        <v>26</v>
      </c>
      <c r="C1477">
        <v>0</v>
      </c>
      <c r="D1477">
        <v>0</v>
      </c>
      <c r="E1477" s="27">
        <v>0</v>
      </c>
      <c r="F1477">
        <v>0</v>
      </c>
      <c r="G1477">
        <v>8.18</v>
      </c>
      <c r="H1477">
        <v>8.18</v>
      </c>
      <c r="I1477">
        <v>0</v>
      </c>
      <c r="J1477">
        <v>0</v>
      </c>
      <c r="K1477" s="9">
        <v>45330</v>
      </c>
      <c r="L1477">
        <f xml:space="preserve"> (交易處理資料__3[[#This Row],[售出工時]] * 60) / 5</f>
        <v>0</v>
      </c>
      <c r="M1477" t="str">
        <f>VLOOKUP(交易處理資料__3[[#This Row],[人員代號]],團隊分組!$B$1:$C$52,2,FALSE)</f>
        <v>查修團隊B</v>
      </c>
      <c r="N1477">
        <f>IF(交易處理資料__3[[#This Row],[上班時間]]=0,0,交易處理資料__3[[#This Row],[售出工時]]/交易處理資料__3[[#This Row],[上班時間]])</f>
        <v>0</v>
      </c>
      <c r="O1477" s="31" t="str">
        <f>IF(交易處理資料__3[[#This Row],[上班時間]]=0,"否","是")</f>
        <v>是</v>
      </c>
    </row>
    <row r="1478" spans="1:15" hidden="1">
      <c r="A1478" t="s">
        <v>75</v>
      </c>
      <c r="B1478" t="s">
        <v>27</v>
      </c>
      <c r="C1478">
        <v>0</v>
      </c>
      <c r="D1478">
        <v>0</v>
      </c>
      <c r="E1478" s="27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 s="9">
        <v>45330</v>
      </c>
      <c r="L1478">
        <f xml:space="preserve"> (交易處理資料__3[[#This Row],[售出工時]] * 60) / 5</f>
        <v>0</v>
      </c>
      <c r="M1478" t="str">
        <f>VLOOKUP(交易處理資料__3[[#This Row],[人員代號]],團隊分組!$B$1:$C$52,2,FALSE)</f>
        <v>快速保養團隊B</v>
      </c>
      <c r="N1478">
        <f>IF(交易處理資料__3[[#This Row],[上班時間]]=0,0,交易處理資料__3[[#This Row],[售出工時]]/交易處理資料__3[[#This Row],[上班時間]])</f>
        <v>0</v>
      </c>
      <c r="O1478" s="31" t="str">
        <f>IF(交易處理資料__3[[#This Row],[上班時間]]=0,"否","是")</f>
        <v>否</v>
      </c>
    </row>
    <row r="1479" spans="1:15" hidden="1">
      <c r="A1479" t="s">
        <v>75</v>
      </c>
      <c r="B1479" t="s">
        <v>29</v>
      </c>
      <c r="C1479">
        <v>0</v>
      </c>
      <c r="D1479">
        <v>0</v>
      </c>
      <c r="E1479" s="27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 s="9">
        <v>45330</v>
      </c>
      <c r="L1479">
        <f xml:space="preserve"> (交易處理資料__3[[#This Row],[售出工時]] * 60) / 5</f>
        <v>0</v>
      </c>
      <c r="M1479" t="str">
        <f>VLOOKUP(交易處理資料__3[[#This Row],[人員代號]],團隊分組!$B$1:$C$52,2,FALSE)</f>
        <v>查修團隊B</v>
      </c>
      <c r="N1479">
        <f>IF(交易處理資料__3[[#This Row],[上班時間]]=0,0,交易處理資料__3[[#This Row],[售出工時]]/交易處理資料__3[[#This Row],[上班時間]])</f>
        <v>0</v>
      </c>
      <c r="O1479" s="31" t="str">
        <f>IF(交易處理資料__3[[#This Row],[上班時間]]=0,"否","是")</f>
        <v>否</v>
      </c>
    </row>
    <row r="1480" spans="1:15" hidden="1">
      <c r="A1480" t="s">
        <v>75</v>
      </c>
      <c r="B1480" t="s">
        <v>30</v>
      </c>
      <c r="C1480">
        <v>6.4566666670000004</v>
      </c>
      <c r="D1480">
        <v>3.53</v>
      </c>
      <c r="E1480" s="27">
        <v>182.90840420000001</v>
      </c>
      <c r="F1480">
        <v>3.53</v>
      </c>
      <c r="G1480">
        <v>4.6500000000000004</v>
      </c>
      <c r="H1480">
        <v>8.18</v>
      </c>
      <c r="I1480">
        <v>43.15</v>
      </c>
      <c r="J1480">
        <v>78.930000000000007</v>
      </c>
      <c r="K1480" s="9">
        <v>45330</v>
      </c>
      <c r="L1480">
        <f xml:space="preserve"> (交易處理資料__3[[#This Row],[售出工時]] * 60) / 5</f>
        <v>77.480000004000004</v>
      </c>
      <c r="M1480" t="str">
        <f>VLOOKUP(交易處理資料__3[[#This Row],[人員代號]],團隊分組!$B$1:$C$52,2,FALSE)</f>
        <v>快速保養團隊B</v>
      </c>
      <c r="N1480">
        <f>IF(交易處理資料__3[[#This Row],[上班時間]]=0,0,交易處理資料__3[[#This Row],[售出工時]]/交易處理資料__3[[#This Row],[上班時間]])</f>
        <v>0.78932355342298299</v>
      </c>
      <c r="O1480" s="31" t="str">
        <f>IF(交易處理資料__3[[#This Row],[上班時間]]=0,"否","是")</f>
        <v>是</v>
      </c>
    </row>
    <row r="1481" spans="1:15" hidden="1">
      <c r="A1481" t="s">
        <v>75</v>
      </c>
      <c r="B1481" t="s">
        <v>32</v>
      </c>
      <c r="C1481">
        <v>0</v>
      </c>
      <c r="D1481">
        <v>0</v>
      </c>
      <c r="E1481" s="27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 s="9">
        <v>45330</v>
      </c>
      <c r="L1481">
        <f xml:space="preserve"> (交易處理資料__3[[#This Row],[售出工時]] * 60) / 5</f>
        <v>0</v>
      </c>
      <c r="M1481" t="str">
        <f>VLOOKUP(交易處理資料__3[[#This Row],[人員代號]],團隊分組!$B$1:$C$52,2,FALSE)</f>
        <v>快速保養團隊B</v>
      </c>
      <c r="N1481">
        <f>IF(交易處理資料__3[[#This Row],[上班時間]]=0,0,交易處理資料__3[[#This Row],[售出工時]]/交易處理資料__3[[#This Row],[上班時間]])</f>
        <v>0</v>
      </c>
      <c r="O1481" s="31" t="str">
        <f>IF(交易處理資料__3[[#This Row],[上班時間]]=0,"否","是")</f>
        <v>否</v>
      </c>
    </row>
    <row r="1482" spans="1:15">
      <c r="A1482" t="s">
        <v>75</v>
      </c>
      <c r="B1482" t="s">
        <v>33</v>
      </c>
      <c r="C1482">
        <v>0</v>
      </c>
      <c r="D1482">
        <v>0</v>
      </c>
      <c r="E1482" s="27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 s="9">
        <v>45330</v>
      </c>
      <c r="L1482">
        <f xml:space="preserve"> (交易處理資料__3[[#This Row],[售出工時]] * 60) / 5</f>
        <v>0</v>
      </c>
      <c r="M1482" t="str">
        <f>VLOOKUP(交易處理資料__3[[#This Row],[人員代號]],團隊分組!$B$1:$C$52,2,FALSE)</f>
        <v>快速保養團隊B</v>
      </c>
      <c r="N1482">
        <f>IF(交易處理資料__3[[#This Row],[上班時間]]=0,0,交易處理資料__3[[#This Row],[售出工時]]/交易處理資料__3[[#This Row],[上班時間]])</f>
        <v>0</v>
      </c>
      <c r="O1482" s="31" t="str">
        <f>IF(交易處理資料__3[[#This Row],[上班時間]]=0,"否","是")</f>
        <v>否</v>
      </c>
    </row>
    <row r="1483" spans="1:15" hidden="1">
      <c r="A1483" t="s">
        <v>75</v>
      </c>
      <c r="B1483" t="s">
        <v>34</v>
      </c>
      <c r="C1483">
        <v>0</v>
      </c>
      <c r="D1483">
        <v>0</v>
      </c>
      <c r="E1483" s="27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 s="9">
        <v>45330</v>
      </c>
      <c r="L1483">
        <f xml:space="preserve"> (交易處理資料__3[[#This Row],[售出工時]] * 60) / 5</f>
        <v>0</v>
      </c>
      <c r="M1483" t="str">
        <f>VLOOKUP(交易處理資料__3[[#This Row],[人員代號]],團隊分組!$B$1:$C$52,2,FALSE)</f>
        <v>快速保養團隊A</v>
      </c>
      <c r="N1483">
        <f>IF(交易處理資料__3[[#This Row],[上班時間]]=0,0,交易處理資料__3[[#This Row],[售出工時]]/交易處理資料__3[[#This Row],[上班時間]])</f>
        <v>0</v>
      </c>
      <c r="O1483" s="31" t="str">
        <f>IF(交易處理資料__3[[#This Row],[上班時間]]=0,"否","是")</f>
        <v>否</v>
      </c>
    </row>
    <row r="1484" spans="1:15" hidden="1">
      <c r="A1484" t="s">
        <v>75</v>
      </c>
      <c r="B1484" t="s">
        <v>35</v>
      </c>
      <c r="C1484">
        <v>0</v>
      </c>
      <c r="D1484">
        <v>0</v>
      </c>
      <c r="E1484" s="27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 s="9">
        <v>45330</v>
      </c>
      <c r="L1484">
        <f xml:space="preserve"> (交易處理資料__3[[#This Row],[售出工時]] * 60) / 5</f>
        <v>0</v>
      </c>
      <c r="M1484" t="str">
        <f>VLOOKUP(交易處理資料__3[[#This Row],[人員代號]],團隊分組!$B$1:$C$52,2,FALSE)</f>
        <v>查修團隊B</v>
      </c>
      <c r="N1484">
        <f>IF(交易處理資料__3[[#This Row],[上班時間]]=0,0,交易處理資料__3[[#This Row],[售出工時]]/交易處理資料__3[[#This Row],[上班時間]])</f>
        <v>0</v>
      </c>
      <c r="O1484" s="31" t="str">
        <f>IF(交易處理資料__3[[#This Row],[上班時間]]=0,"否","是")</f>
        <v>否</v>
      </c>
    </row>
    <row r="1485" spans="1:15" hidden="1">
      <c r="A1485" t="s">
        <v>75</v>
      </c>
      <c r="B1485" t="s">
        <v>36</v>
      </c>
      <c r="C1485">
        <v>0</v>
      </c>
      <c r="D1485">
        <v>0</v>
      </c>
      <c r="E1485" s="27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 s="9">
        <v>45330</v>
      </c>
      <c r="L1485">
        <f xml:space="preserve"> (交易處理資料__3[[#This Row],[售出工時]] * 60) / 5</f>
        <v>0</v>
      </c>
      <c r="M1485" t="str">
        <f>VLOOKUP(交易處理資料__3[[#This Row],[人員代號]],團隊分組!$B$1:$C$52,2,FALSE)</f>
        <v>查修團隊B</v>
      </c>
      <c r="N1485">
        <f>IF(交易處理資料__3[[#This Row],[上班時間]]=0,0,交易處理資料__3[[#This Row],[售出工時]]/交易處理資料__3[[#This Row],[上班時間]])</f>
        <v>0</v>
      </c>
      <c r="O1485" s="31" t="str">
        <f>IF(交易處理資料__3[[#This Row],[上班時間]]=0,"否","是")</f>
        <v>否</v>
      </c>
    </row>
    <row r="1486" spans="1:15" hidden="1">
      <c r="A1486" t="s">
        <v>75</v>
      </c>
      <c r="B1486" t="s">
        <v>37</v>
      </c>
      <c r="C1486">
        <v>4.2033333329999998</v>
      </c>
      <c r="D1486">
        <v>3.3</v>
      </c>
      <c r="E1486" s="27">
        <v>127.3737374</v>
      </c>
      <c r="F1486">
        <v>3.97</v>
      </c>
      <c r="G1486">
        <v>5.08</v>
      </c>
      <c r="H1486">
        <v>9.0500000000000007</v>
      </c>
      <c r="I1486">
        <v>43.87</v>
      </c>
      <c r="J1486">
        <v>46.45</v>
      </c>
      <c r="K1486" s="9">
        <v>45330</v>
      </c>
      <c r="L1486">
        <f xml:space="preserve"> (交易處理資料__3[[#This Row],[售出工時]] * 60) / 5</f>
        <v>50.439999995999997</v>
      </c>
      <c r="M1486" t="str">
        <f>VLOOKUP(交易處理資料__3[[#This Row],[人員代號]],團隊分組!$B$1:$C$52,2,FALSE)</f>
        <v>查修團隊A</v>
      </c>
      <c r="N1486">
        <f>IF(交易處理資料__3[[#This Row],[上班時間]]=0,0,交易處理資料__3[[#This Row],[售出工時]]/交易處理資料__3[[#This Row],[上班時間]])</f>
        <v>0.46445672187845299</v>
      </c>
      <c r="O1486" s="31" t="str">
        <f>IF(交易處理資料__3[[#This Row],[上班時間]]=0,"否","是")</f>
        <v>是</v>
      </c>
    </row>
    <row r="1487" spans="1:15" hidden="1">
      <c r="A1487" t="s">
        <v>75</v>
      </c>
      <c r="B1487" t="s">
        <v>39</v>
      </c>
      <c r="C1487">
        <v>0</v>
      </c>
      <c r="D1487">
        <v>0</v>
      </c>
      <c r="E1487" s="2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 s="9">
        <v>45330</v>
      </c>
      <c r="L1487">
        <f xml:space="preserve"> (交易處理資料__3[[#This Row],[售出工時]] * 60) / 5</f>
        <v>0</v>
      </c>
      <c r="M1487" t="str">
        <f>VLOOKUP(交易處理資料__3[[#This Row],[人員代號]],團隊分組!$B$1:$C$52,2,FALSE)</f>
        <v>查修團隊A</v>
      </c>
      <c r="N1487">
        <f>IF(交易處理資料__3[[#This Row],[上班時間]]=0,0,交易處理資料__3[[#This Row],[售出工時]]/交易處理資料__3[[#This Row],[上班時間]])</f>
        <v>0</v>
      </c>
      <c r="O1487" s="31" t="str">
        <f>IF(交易處理資料__3[[#This Row],[上班時間]]=0,"否","是")</f>
        <v>否</v>
      </c>
    </row>
    <row r="1488" spans="1:15" hidden="1">
      <c r="A1488" t="s">
        <v>75</v>
      </c>
      <c r="B1488" t="s">
        <v>40</v>
      </c>
      <c r="C1488">
        <v>0</v>
      </c>
      <c r="D1488">
        <v>0</v>
      </c>
      <c r="E1488" s="27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 s="9">
        <v>45330</v>
      </c>
      <c r="L1488">
        <f xml:space="preserve"> (交易處理資料__3[[#This Row],[售出工時]] * 60) / 5</f>
        <v>0</v>
      </c>
      <c r="M1488" t="str">
        <f>VLOOKUP(交易處理資料__3[[#This Row],[人員代號]],團隊分組!$B$1:$C$52,2,FALSE)</f>
        <v>查修團隊A</v>
      </c>
      <c r="N1488">
        <f>IF(交易處理資料__3[[#This Row],[上班時間]]=0,0,交易處理資料__3[[#This Row],[售出工時]]/交易處理資料__3[[#This Row],[上班時間]])</f>
        <v>0</v>
      </c>
      <c r="O1488" s="31" t="str">
        <f>IF(交易處理資料__3[[#This Row],[上班時間]]=0,"否","是")</f>
        <v>否</v>
      </c>
    </row>
    <row r="1489" spans="1:15" hidden="1">
      <c r="A1489" t="s">
        <v>75</v>
      </c>
      <c r="B1489" t="s">
        <v>41</v>
      </c>
      <c r="C1489">
        <v>0</v>
      </c>
      <c r="D1489">
        <v>0</v>
      </c>
      <c r="E1489" s="27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 s="9">
        <v>45330</v>
      </c>
      <c r="L1489">
        <f xml:space="preserve"> (交易處理資料__3[[#This Row],[售出工時]] * 60) / 5</f>
        <v>0</v>
      </c>
      <c r="M1489" t="str">
        <f>VLOOKUP(交易處理資料__3[[#This Row],[人員代號]],團隊分組!$B$1:$C$52,2,FALSE)</f>
        <v>快速保養團隊A</v>
      </c>
      <c r="N1489">
        <f>IF(交易處理資料__3[[#This Row],[上班時間]]=0,0,交易處理資料__3[[#This Row],[售出工時]]/交易處理資料__3[[#This Row],[上班時間]])</f>
        <v>0</v>
      </c>
      <c r="O1489" s="31" t="str">
        <f>IF(交易處理資料__3[[#This Row],[上班時間]]=0,"否","是")</f>
        <v>否</v>
      </c>
    </row>
    <row r="1490" spans="1:15" hidden="1">
      <c r="A1490" t="s">
        <v>75</v>
      </c>
      <c r="B1490" t="s">
        <v>42</v>
      </c>
      <c r="C1490">
        <v>5.25</v>
      </c>
      <c r="D1490">
        <v>3.77</v>
      </c>
      <c r="E1490" s="27">
        <v>139.25729440000001</v>
      </c>
      <c r="F1490">
        <v>3.77</v>
      </c>
      <c r="G1490">
        <v>4.4000000000000004</v>
      </c>
      <c r="H1490">
        <v>8.17</v>
      </c>
      <c r="I1490">
        <v>46.14</v>
      </c>
      <c r="J1490">
        <v>64.260000000000005</v>
      </c>
      <c r="K1490" s="9">
        <v>45330</v>
      </c>
      <c r="L1490">
        <f xml:space="preserve"> (交易處理資料__3[[#This Row],[售出工時]] * 60) / 5</f>
        <v>63</v>
      </c>
      <c r="M1490" t="str">
        <f>VLOOKUP(交易處理資料__3[[#This Row],[人員代號]],團隊分組!$B$1:$C$52,2,FALSE)</f>
        <v>快速保養團隊A</v>
      </c>
      <c r="N1490">
        <f>IF(交易處理資料__3[[#This Row],[上班時間]]=0,0,交易處理資料__3[[#This Row],[售出工時]]/交易處理資料__3[[#This Row],[上班時間]])</f>
        <v>0.64259485924112603</v>
      </c>
      <c r="O1490" s="31" t="str">
        <f>IF(交易處理資料__3[[#This Row],[上班時間]]=0,"否","是")</f>
        <v>是</v>
      </c>
    </row>
    <row r="1491" spans="1:15" hidden="1">
      <c r="A1491" t="s">
        <v>75</v>
      </c>
      <c r="B1491" t="s">
        <v>43</v>
      </c>
      <c r="C1491">
        <v>0</v>
      </c>
      <c r="D1491">
        <v>0</v>
      </c>
      <c r="E1491" s="27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 s="9">
        <v>45330</v>
      </c>
      <c r="L1491">
        <f xml:space="preserve"> (交易處理資料__3[[#This Row],[售出工時]] * 60) / 5</f>
        <v>0</v>
      </c>
      <c r="M1491" t="str">
        <f>VLOOKUP(交易處理資料__3[[#This Row],[人員代號]],團隊分組!$B$1:$C$52,2,FALSE)</f>
        <v>查修團隊B</v>
      </c>
      <c r="N1491">
        <f>IF(交易處理資料__3[[#This Row],[上班時間]]=0,0,交易處理資料__3[[#This Row],[售出工時]]/交易處理資料__3[[#This Row],[上班時間]])</f>
        <v>0</v>
      </c>
      <c r="O1491" s="31" t="str">
        <f>IF(交易處理資料__3[[#This Row],[上班時間]]=0,"否","是")</f>
        <v>否</v>
      </c>
    </row>
    <row r="1492" spans="1:15" hidden="1">
      <c r="A1492" t="s">
        <v>75</v>
      </c>
      <c r="B1492" t="s">
        <v>44</v>
      </c>
      <c r="C1492">
        <v>5.57</v>
      </c>
      <c r="D1492">
        <v>3.17</v>
      </c>
      <c r="E1492" s="27">
        <v>175.70977920000001</v>
      </c>
      <c r="F1492">
        <v>3.17</v>
      </c>
      <c r="G1492">
        <v>5.01</v>
      </c>
      <c r="H1492">
        <v>8.18</v>
      </c>
      <c r="I1492">
        <v>38.75</v>
      </c>
      <c r="J1492">
        <v>68.09</v>
      </c>
      <c r="K1492" s="9">
        <v>45330</v>
      </c>
      <c r="L1492">
        <f xml:space="preserve"> (交易處理資料__3[[#This Row],[售出工時]] * 60) / 5</f>
        <v>66.84</v>
      </c>
      <c r="M1492" t="str">
        <f>VLOOKUP(交易處理資料__3[[#This Row],[人員代號]],團隊分組!$B$1:$C$52,2,FALSE)</f>
        <v>快速保養團隊B</v>
      </c>
      <c r="N1492">
        <f>IF(交易處理資料__3[[#This Row],[上班時間]]=0,0,交易處理資料__3[[#This Row],[售出工時]]/交易處理資料__3[[#This Row],[上班時間]])</f>
        <v>0.68092909535452328</v>
      </c>
      <c r="O1492" s="31" t="str">
        <f>IF(交易處理資料__3[[#This Row],[上班時間]]=0,"否","是")</f>
        <v>是</v>
      </c>
    </row>
    <row r="1493" spans="1:15" hidden="1">
      <c r="A1493" t="s">
        <v>75</v>
      </c>
      <c r="B1493" t="s">
        <v>45</v>
      </c>
      <c r="C1493">
        <v>0</v>
      </c>
      <c r="D1493">
        <v>0</v>
      </c>
      <c r="E1493" s="27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 s="9">
        <v>45330</v>
      </c>
      <c r="L1493">
        <f xml:space="preserve"> (交易處理資料__3[[#This Row],[售出工時]] * 60) / 5</f>
        <v>0</v>
      </c>
      <c r="M1493" t="str">
        <f>VLOOKUP(交易處理資料__3[[#This Row],[人員代號]],團隊分組!$B$1:$C$52,2,FALSE)</f>
        <v>快速保養團隊A</v>
      </c>
      <c r="N1493">
        <f>IF(交易處理資料__3[[#This Row],[上班時間]]=0,0,交易處理資料__3[[#This Row],[售出工時]]/交易處理資料__3[[#This Row],[上班時間]])</f>
        <v>0</v>
      </c>
      <c r="O1493" s="31" t="str">
        <f>IF(交易處理資料__3[[#This Row],[上班時間]]=0,"否","是")</f>
        <v>否</v>
      </c>
    </row>
    <row r="1494" spans="1:15" hidden="1">
      <c r="A1494" t="s">
        <v>75</v>
      </c>
      <c r="B1494" t="s">
        <v>46</v>
      </c>
      <c r="C1494">
        <v>0</v>
      </c>
      <c r="D1494">
        <v>0</v>
      </c>
      <c r="E1494" s="27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 s="9">
        <v>45330</v>
      </c>
      <c r="L1494">
        <f xml:space="preserve"> (交易處理資料__3[[#This Row],[售出工時]] * 60) / 5</f>
        <v>0</v>
      </c>
      <c r="M1494" t="str">
        <f>VLOOKUP(交易處理資料__3[[#This Row],[人員代號]],團隊分組!$B$1:$C$52,2,FALSE)</f>
        <v>查修團隊B</v>
      </c>
      <c r="N1494">
        <f>IF(交易處理資料__3[[#This Row],[上班時間]]=0,0,交易處理資料__3[[#This Row],[售出工時]]/交易處理資料__3[[#This Row],[上班時間]])</f>
        <v>0</v>
      </c>
      <c r="O1494" s="31" t="str">
        <f>IF(交易處理資料__3[[#This Row],[上班時間]]=0,"否","是")</f>
        <v>否</v>
      </c>
    </row>
    <row r="1495" spans="1:15" hidden="1">
      <c r="A1495" t="s">
        <v>75</v>
      </c>
      <c r="B1495" t="s">
        <v>47</v>
      </c>
      <c r="C1495">
        <v>0</v>
      </c>
      <c r="D1495">
        <v>0</v>
      </c>
      <c r="E1495" s="27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 s="9">
        <v>45330</v>
      </c>
      <c r="L1495">
        <f xml:space="preserve"> (交易處理資料__3[[#This Row],[售出工時]] * 60) / 5</f>
        <v>0</v>
      </c>
      <c r="M1495" t="str">
        <f>VLOOKUP(交易處理資料__3[[#This Row],[人員代號]],團隊分組!$B$1:$C$52,2,FALSE)</f>
        <v>查修團隊B</v>
      </c>
      <c r="N1495">
        <f>IF(交易處理資料__3[[#This Row],[上班時間]]=0,0,交易處理資料__3[[#This Row],[售出工時]]/交易處理資料__3[[#This Row],[上班時間]])</f>
        <v>0</v>
      </c>
      <c r="O1495" s="31" t="str">
        <f>IF(交易處理資料__3[[#This Row],[上班時間]]=0,"否","是")</f>
        <v>否</v>
      </c>
    </row>
    <row r="1496" spans="1:15" hidden="1">
      <c r="A1496" t="s">
        <v>75</v>
      </c>
      <c r="B1496" t="s">
        <v>48</v>
      </c>
      <c r="C1496">
        <v>0</v>
      </c>
      <c r="D1496">
        <v>0</v>
      </c>
      <c r="E1496" s="27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 s="9">
        <v>45330</v>
      </c>
      <c r="L1496">
        <f xml:space="preserve"> (交易處理資料__3[[#This Row],[售出工時]] * 60) / 5</f>
        <v>0</v>
      </c>
      <c r="M1496" t="str">
        <f>VLOOKUP(交易處理資料__3[[#This Row],[人員代號]],團隊分組!$B$1:$C$52,2,FALSE)</f>
        <v>查修團隊A</v>
      </c>
      <c r="N1496">
        <f>IF(交易處理資料__3[[#This Row],[上班時間]]=0,0,交易處理資料__3[[#This Row],[售出工時]]/交易處理資料__3[[#This Row],[上班時間]])</f>
        <v>0</v>
      </c>
      <c r="O1496" s="31" t="str">
        <f>IF(交易處理資料__3[[#This Row],[上班時間]]=0,"否","是")</f>
        <v>否</v>
      </c>
    </row>
    <row r="1497" spans="1:15" hidden="1">
      <c r="A1497" t="s">
        <v>75</v>
      </c>
      <c r="B1497" t="s">
        <v>49</v>
      </c>
      <c r="C1497">
        <v>0</v>
      </c>
      <c r="D1497">
        <v>0</v>
      </c>
      <c r="E1497" s="2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 s="9">
        <v>45330</v>
      </c>
      <c r="L1497">
        <f xml:space="preserve"> (交易處理資料__3[[#This Row],[售出工時]] * 60) / 5</f>
        <v>0</v>
      </c>
      <c r="M1497" t="str">
        <f>VLOOKUP(交易處理資料__3[[#This Row],[人員代號]],團隊分組!$B$1:$C$52,2,FALSE)</f>
        <v>查修團隊A</v>
      </c>
      <c r="N1497">
        <f>IF(交易處理資料__3[[#This Row],[上班時間]]=0,0,交易處理資料__3[[#This Row],[售出工時]]/交易處理資料__3[[#This Row],[上班時間]])</f>
        <v>0</v>
      </c>
      <c r="O1497" s="31" t="str">
        <f>IF(交易處理資料__3[[#This Row],[上班時間]]=0,"否","是")</f>
        <v>否</v>
      </c>
    </row>
    <row r="1498" spans="1:15" hidden="1">
      <c r="A1498" t="s">
        <v>75</v>
      </c>
      <c r="B1498" t="s">
        <v>50</v>
      </c>
      <c r="C1498">
        <v>0</v>
      </c>
      <c r="D1498">
        <v>0</v>
      </c>
      <c r="E1498" s="27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 s="9">
        <v>45330</v>
      </c>
      <c r="L1498">
        <f xml:space="preserve"> (交易處理資料__3[[#This Row],[售出工時]] * 60) / 5</f>
        <v>0</v>
      </c>
      <c r="M1498" t="str">
        <f>VLOOKUP(交易處理資料__3[[#This Row],[人員代號]],團隊分組!$B$1:$C$52,2,FALSE)</f>
        <v>快速保養團隊B</v>
      </c>
      <c r="N1498">
        <f>IF(交易處理資料__3[[#This Row],[上班時間]]=0,0,交易處理資料__3[[#This Row],[售出工時]]/交易處理資料__3[[#This Row],[上班時間]])</f>
        <v>0</v>
      </c>
      <c r="O1498" s="31" t="str">
        <f>IF(交易處理資料__3[[#This Row],[上班時間]]=0,"否","是")</f>
        <v>否</v>
      </c>
    </row>
    <row r="1499" spans="1:15" hidden="1">
      <c r="A1499" t="s">
        <v>75</v>
      </c>
      <c r="B1499" t="s">
        <v>51</v>
      </c>
      <c r="C1499">
        <v>0</v>
      </c>
      <c r="D1499">
        <v>0</v>
      </c>
      <c r="E1499" s="27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 s="9">
        <v>45330</v>
      </c>
      <c r="L1499">
        <f xml:space="preserve"> (交易處理資料__3[[#This Row],[售出工時]] * 60) / 5</f>
        <v>0</v>
      </c>
      <c r="M1499" t="str">
        <f>VLOOKUP(交易處理資料__3[[#This Row],[人員代號]],團隊分組!$B$1:$C$52,2,FALSE)</f>
        <v>無效數據</v>
      </c>
      <c r="N1499">
        <f>IF(交易處理資料__3[[#This Row],[上班時間]]=0,0,交易處理資料__3[[#This Row],[售出工時]]/交易處理資料__3[[#This Row],[上班時間]])</f>
        <v>0</v>
      </c>
      <c r="O1499" s="31" t="str">
        <f>IF(交易處理資料__3[[#This Row],[上班時間]]=0,"否","是")</f>
        <v>否</v>
      </c>
    </row>
    <row r="1500" spans="1:15" hidden="1">
      <c r="A1500" t="s">
        <v>75</v>
      </c>
      <c r="B1500" t="s">
        <v>52</v>
      </c>
      <c r="C1500">
        <v>0</v>
      </c>
      <c r="D1500">
        <v>0</v>
      </c>
      <c r="E1500" s="27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 s="9">
        <v>45330</v>
      </c>
      <c r="L1500">
        <f xml:space="preserve"> (交易處理資料__3[[#This Row],[售出工時]] * 60) / 5</f>
        <v>0</v>
      </c>
      <c r="M1500" t="str">
        <f>VLOOKUP(交易處理資料__3[[#This Row],[人員代號]],團隊分組!$B$1:$C$52,2,FALSE)</f>
        <v>查修團隊B</v>
      </c>
      <c r="N1500">
        <f>IF(交易處理資料__3[[#This Row],[上班時間]]=0,0,交易處理資料__3[[#This Row],[售出工時]]/交易處理資料__3[[#This Row],[上班時間]])</f>
        <v>0</v>
      </c>
      <c r="O1500" s="31" t="str">
        <f>IF(交易處理資料__3[[#This Row],[上班時間]]=0,"否","是")</f>
        <v>否</v>
      </c>
    </row>
    <row r="1501" spans="1:15" hidden="1">
      <c r="A1501" t="s">
        <v>75</v>
      </c>
      <c r="B1501" t="s">
        <v>53</v>
      </c>
      <c r="C1501">
        <v>3.12</v>
      </c>
      <c r="D1501">
        <v>2.7</v>
      </c>
      <c r="E1501" s="27">
        <v>115.55555560000001</v>
      </c>
      <c r="F1501">
        <v>2.7</v>
      </c>
      <c r="G1501">
        <v>5.55</v>
      </c>
      <c r="H1501">
        <v>8.25</v>
      </c>
      <c r="I1501">
        <v>32.729999999999997</v>
      </c>
      <c r="J1501">
        <v>37.82</v>
      </c>
      <c r="K1501" s="9">
        <v>45330</v>
      </c>
      <c r="L1501">
        <f xml:space="preserve"> (交易處理資料__3[[#This Row],[售出工時]] * 60) / 5</f>
        <v>37.440000000000005</v>
      </c>
      <c r="M1501" t="str">
        <f>VLOOKUP(交易處理資料__3[[#This Row],[人員代號]],團隊分組!$B$1:$C$52,2,FALSE)</f>
        <v>查修團隊A</v>
      </c>
      <c r="N1501">
        <f>IF(交易處理資料__3[[#This Row],[上班時間]]=0,0,交易處理資料__3[[#This Row],[售出工時]]/交易處理資料__3[[#This Row],[上班時間]])</f>
        <v>0.37818181818181817</v>
      </c>
      <c r="O1501" s="31" t="str">
        <f>IF(交易處理資料__3[[#This Row],[上班時間]]=0,"否","是")</f>
        <v>是</v>
      </c>
    </row>
    <row r="1502" spans="1:15" hidden="1">
      <c r="A1502" s="10" t="s">
        <v>73</v>
      </c>
      <c r="B1502" t="s">
        <v>1</v>
      </c>
      <c r="C1502">
        <v>0</v>
      </c>
      <c r="D1502">
        <v>0</v>
      </c>
      <c r="E1502" s="27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 s="9">
        <v>45331</v>
      </c>
      <c r="L1502">
        <f xml:space="preserve"> (交易處理資料__3[[#This Row],[售出工時]] * 60) / 5</f>
        <v>0</v>
      </c>
      <c r="M1502" t="str">
        <f>VLOOKUP(交易處理資料__3[[#This Row],[人員代號]],團隊分組!$B$1:$C$52,2,FALSE)</f>
        <v>噴漆維修組</v>
      </c>
      <c r="N1502">
        <f>IF(交易處理資料__3[[#This Row],[上班時間]]=0,0,交易處理資料__3[[#This Row],[售出工時]]/交易處理資料__3[[#This Row],[上班時間]])</f>
        <v>0</v>
      </c>
      <c r="O1502" s="31" t="str">
        <f>IF(交易處理資料__3[[#This Row],[上班時間]]=0,"否","是")</f>
        <v>否</v>
      </c>
    </row>
    <row r="1503" spans="1:15" hidden="1">
      <c r="A1503" s="10" t="s">
        <v>73</v>
      </c>
      <c r="B1503" t="s">
        <v>2</v>
      </c>
      <c r="C1503">
        <v>0</v>
      </c>
      <c r="D1503">
        <v>0</v>
      </c>
      <c r="E1503" s="27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 s="9">
        <v>45331</v>
      </c>
      <c r="L1503">
        <f xml:space="preserve"> (交易處理資料__3[[#This Row],[售出工時]] * 60) / 5</f>
        <v>0</v>
      </c>
      <c r="M1503" t="str">
        <f>VLOOKUP(交易處理資料__3[[#This Row],[人員代號]],團隊分組!$B$1:$C$52,2,FALSE)</f>
        <v>噴漆維修組</v>
      </c>
      <c r="N1503">
        <f>IF(交易處理資料__3[[#This Row],[上班時間]]=0,0,交易處理資料__3[[#This Row],[售出工時]]/交易處理資料__3[[#This Row],[上班時間]])</f>
        <v>0</v>
      </c>
      <c r="O1503" s="31" t="str">
        <f>IF(交易處理資料__3[[#This Row],[上班時間]]=0,"否","是")</f>
        <v>否</v>
      </c>
    </row>
    <row r="1504" spans="1:15" hidden="1">
      <c r="A1504" s="10" t="s">
        <v>73</v>
      </c>
      <c r="B1504" t="s">
        <v>3</v>
      </c>
      <c r="C1504">
        <v>0</v>
      </c>
      <c r="D1504">
        <v>0</v>
      </c>
      <c r="E1504" s="27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 s="9">
        <v>45331</v>
      </c>
      <c r="L1504">
        <f xml:space="preserve"> (交易處理資料__3[[#This Row],[售出工時]] * 60) / 5</f>
        <v>0</v>
      </c>
      <c r="M1504" t="str">
        <f>VLOOKUP(交易處理資料__3[[#This Row],[人員代號]],團隊分組!$B$1:$C$52,2,FALSE)</f>
        <v>噴漆維修組</v>
      </c>
      <c r="N1504">
        <f>IF(交易處理資料__3[[#This Row],[上班時間]]=0,0,交易處理資料__3[[#This Row],[售出工時]]/交易處理資料__3[[#This Row],[上班時間]])</f>
        <v>0</v>
      </c>
      <c r="O1504" s="31" t="str">
        <f>IF(交易處理資料__3[[#This Row],[上班時間]]=0,"否","是")</f>
        <v>否</v>
      </c>
    </row>
    <row r="1505" spans="1:15" hidden="1">
      <c r="A1505" s="10" t="s">
        <v>73</v>
      </c>
      <c r="B1505" t="s">
        <v>4</v>
      </c>
      <c r="C1505">
        <v>0</v>
      </c>
      <c r="D1505">
        <v>0</v>
      </c>
      <c r="E1505" s="27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 s="9">
        <v>45331</v>
      </c>
      <c r="L1505">
        <f xml:space="preserve"> (交易處理資料__3[[#This Row],[售出工時]] * 60) / 5</f>
        <v>0</v>
      </c>
      <c r="M1505" t="str">
        <f>VLOOKUP(交易處理資料__3[[#This Row],[人員代號]],團隊分組!$B$1:$C$52,2,FALSE)</f>
        <v>噴漆維修組</v>
      </c>
      <c r="N1505">
        <f>IF(交易處理資料__3[[#This Row],[上班時間]]=0,0,交易處理資料__3[[#This Row],[售出工時]]/交易處理資料__3[[#This Row],[上班時間]])</f>
        <v>0</v>
      </c>
      <c r="O1505" s="31" t="str">
        <f>IF(交易處理資料__3[[#This Row],[上班時間]]=0,"否","是")</f>
        <v>否</v>
      </c>
    </row>
    <row r="1506" spans="1:15" hidden="1">
      <c r="A1506" s="10" t="s">
        <v>73</v>
      </c>
      <c r="B1506" t="s">
        <v>5</v>
      </c>
      <c r="C1506">
        <v>0</v>
      </c>
      <c r="D1506">
        <v>0</v>
      </c>
      <c r="E1506" s="27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 s="9">
        <v>45331</v>
      </c>
      <c r="L1506">
        <f xml:space="preserve"> (交易處理資料__3[[#This Row],[售出工時]] * 60) / 5</f>
        <v>0</v>
      </c>
      <c r="M1506" t="str">
        <f>VLOOKUP(交易處理資料__3[[#This Row],[人員代號]],團隊分組!$B$1:$C$52,2,FALSE)</f>
        <v>噴漆維修組</v>
      </c>
      <c r="N1506">
        <f>IF(交易處理資料__3[[#This Row],[上班時間]]=0,0,交易處理資料__3[[#This Row],[售出工時]]/交易處理資料__3[[#This Row],[上班時間]])</f>
        <v>0</v>
      </c>
      <c r="O1506" s="31" t="str">
        <f>IF(交易處理資料__3[[#This Row],[上班時間]]=0,"否","是")</f>
        <v>否</v>
      </c>
    </row>
    <row r="1507" spans="1:15" hidden="1">
      <c r="A1507" s="10" t="s">
        <v>73</v>
      </c>
      <c r="B1507" t="s">
        <v>6</v>
      </c>
      <c r="C1507">
        <v>0</v>
      </c>
      <c r="D1507">
        <v>0</v>
      </c>
      <c r="E1507" s="2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 s="9">
        <v>45331</v>
      </c>
      <c r="L1507">
        <f xml:space="preserve"> (交易處理資料__3[[#This Row],[售出工時]] * 60) / 5</f>
        <v>0</v>
      </c>
      <c r="M1507" t="str">
        <f>VLOOKUP(交易處理資料__3[[#This Row],[人員代號]],團隊分組!$B$1:$C$52,2,FALSE)</f>
        <v>噴漆維修組</v>
      </c>
      <c r="N1507">
        <f>IF(交易處理資料__3[[#This Row],[上班時間]]=0,0,交易處理資料__3[[#This Row],[售出工時]]/交易處理資料__3[[#This Row],[上班時間]])</f>
        <v>0</v>
      </c>
      <c r="O1507" s="31" t="str">
        <f>IF(交易處理資料__3[[#This Row],[上班時間]]=0,"否","是")</f>
        <v>否</v>
      </c>
    </row>
    <row r="1508" spans="1:15" hidden="1">
      <c r="A1508" s="10" t="s">
        <v>73</v>
      </c>
      <c r="B1508" t="s">
        <v>7</v>
      </c>
      <c r="C1508">
        <v>0</v>
      </c>
      <c r="D1508">
        <v>0</v>
      </c>
      <c r="E1508" s="27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 s="9">
        <v>45331</v>
      </c>
      <c r="L1508">
        <f xml:space="preserve"> (交易處理資料__3[[#This Row],[售出工時]] * 60) / 5</f>
        <v>0</v>
      </c>
      <c r="M1508" t="str">
        <f>VLOOKUP(交易處理資料__3[[#This Row],[人員代號]],團隊分組!$B$1:$C$52,2,FALSE)</f>
        <v>噴漆維修組</v>
      </c>
      <c r="N1508">
        <f>IF(交易處理資料__3[[#This Row],[上班時間]]=0,0,交易處理資料__3[[#This Row],[售出工時]]/交易處理資料__3[[#This Row],[上班時間]])</f>
        <v>0</v>
      </c>
      <c r="O1508" s="31" t="str">
        <f>IF(交易處理資料__3[[#This Row],[上班時間]]=0,"否","是")</f>
        <v>否</v>
      </c>
    </row>
    <row r="1509" spans="1:15" hidden="1">
      <c r="A1509" s="10" t="s">
        <v>73</v>
      </c>
      <c r="B1509" t="s">
        <v>8</v>
      </c>
      <c r="C1509">
        <v>0</v>
      </c>
      <c r="D1509">
        <v>0</v>
      </c>
      <c r="E1509" s="27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 s="9">
        <v>45331</v>
      </c>
      <c r="L1509">
        <f xml:space="preserve"> (交易處理資料__3[[#This Row],[售出工時]] * 60) / 5</f>
        <v>0</v>
      </c>
      <c r="M1509" t="str">
        <f>VLOOKUP(交易處理資料__3[[#This Row],[人員代號]],團隊分組!$B$1:$C$52,2,FALSE)</f>
        <v>噴漆維修組</v>
      </c>
      <c r="N1509">
        <f>IF(交易處理資料__3[[#This Row],[上班時間]]=0,0,交易處理資料__3[[#This Row],[售出工時]]/交易處理資料__3[[#This Row],[上班時間]])</f>
        <v>0</v>
      </c>
      <c r="O1509" s="31" t="str">
        <f>IF(交易處理資料__3[[#This Row],[上班時間]]=0,"否","是")</f>
        <v>否</v>
      </c>
    </row>
    <row r="1510" spans="1:15" hidden="1">
      <c r="A1510" s="10" t="s">
        <v>73</v>
      </c>
      <c r="B1510" t="s">
        <v>9</v>
      </c>
      <c r="C1510">
        <v>0</v>
      </c>
      <c r="D1510">
        <v>0</v>
      </c>
      <c r="E1510" s="27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 s="9">
        <v>45331</v>
      </c>
      <c r="L1510">
        <f xml:space="preserve"> (交易處理資料__3[[#This Row],[售出工時]] * 60) / 5</f>
        <v>0</v>
      </c>
      <c r="M1510" t="str">
        <f>VLOOKUP(交易處理資料__3[[#This Row],[人員代號]],團隊分組!$B$1:$C$52,2,FALSE)</f>
        <v>噴漆維修組</v>
      </c>
      <c r="N1510">
        <f>IF(交易處理資料__3[[#This Row],[上班時間]]=0,0,交易處理資料__3[[#This Row],[售出工時]]/交易處理資料__3[[#This Row],[上班時間]])</f>
        <v>0</v>
      </c>
      <c r="O1510" s="31" t="str">
        <f>IF(交易處理資料__3[[#This Row],[上班時間]]=0,"否","是")</f>
        <v>否</v>
      </c>
    </row>
    <row r="1511" spans="1:15" hidden="1">
      <c r="A1511" t="s">
        <v>74</v>
      </c>
      <c r="B1511" t="s">
        <v>11</v>
      </c>
      <c r="C1511">
        <v>0</v>
      </c>
      <c r="D1511">
        <v>0</v>
      </c>
      <c r="E1511" s="27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 s="9">
        <v>45331</v>
      </c>
      <c r="L1511">
        <f xml:space="preserve"> (交易處理資料__3[[#This Row],[售出工時]] * 60) / 5</f>
        <v>0</v>
      </c>
      <c r="M1511" t="str">
        <f>VLOOKUP(交易處理資料__3[[#This Row],[人員代號]],團隊分組!$B$1:$C$52,2,FALSE)</f>
        <v>鈑金維修組</v>
      </c>
      <c r="N1511">
        <f>IF(交易處理資料__3[[#This Row],[上班時間]]=0,0,交易處理資料__3[[#This Row],[售出工時]]/交易處理資料__3[[#This Row],[上班時間]])</f>
        <v>0</v>
      </c>
      <c r="O1511" s="31" t="str">
        <f>IF(交易處理資料__3[[#This Row],[上班時間]]=0,"否","是")</f>
        <v>否</v>
      </c>
    </row>
    <row r="1512" spans="1:15" hidden="1">
      <c r="A1512" t="s">
        <v>74</v>
      </c>
      <c r="B1512" t="s">
        <v>12</v>
      </c>
      <c r="C1512">
        <v>0</v>
      </c>
      <c r="D1512">
        <v>0</v>
      </c>
      <c r="E1512" s="27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 s="9">
        <v>45331</v>
      </c>
      <c r="L1512">
        <f xml:space="preserve"> (交易處理資料__3[[#This Row],[售出工時]] * 60) / 5</f>
        <v>0</v>
      </c>
      <c r="M1512" t="str">
        <f>VLOOKUP(交易處理資料__3[[#This Row],[人員代號]],團隊分組!$B$1:$C$52,2,FALSE)</f>
        <v>鈑金維修組</v>
      </c>
      <c r="N1512">
        <f>IF(交易處理資料__3[[#This Row],[上班時間]]=0,0,交易處理資料__3[[#This Row],[售出工時]]/交易處理資料__3[[#This Row],[上班時間]])</f>
        <v>0</v>
      </c>
      <c r="O1512" s="31" t="str">
        <f>IF(交易處理資料__3[[#This Row],[上班時間]]=0,"否","是")</f>
        <v>否</v>
      </c>
    </row>
    <row r="1513" spans="1:15" hidden="1">
      <c r="A1513" t="s">
        <v>74</v>
      </c>
      <c r="B1513" t="s">
        <v>13</v>
      </c>
      <c r="C1513">
        <v>0</v>
      </c>
      <c r="D1513">
        <v>0</v>
      </c>
      <c r="E1513" s="27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 s="9">
        <v>45331</v>
      </c>
      <c r="L1513">
        <f xml:space="preserve"> (交易處理資料__3[[#This Row],[售出工時]] * 60) / 5</f>
        <v>0</v>
      </c>
      <c r="M1513" t="str">
        <f>VLOOKUP(交易處理資料__3[[#This Row],[人員代號]],團隊分組!$B$1:$C$52,2,FALSE)</f>
        <v>鈑金維修組</v>
      </c>
      <c r="N1513">
        <f>IF(交易處理資料__3[[#This Row],[上班時間]]=0,0,交易處理資料__3[[#This Row],[售出工時]]/交易處理資料__3[[#This Row],[上班時間]])</f>
        <v>0</v>
      </c>
      <c r="O1513" s="31" t="str">
        <f>IF(交易處理資料__3[[#This Row],[上班時間]]=0,"否","是")</f>
        <v>否</v>
      </c>
    </row>
    <row r="1514" spans="1:15" hidden="1">
      <c r="A1514" t="s">
        <v>74</v>
      </c>
      <c r="B1514" t="s">
        <v>14</v>
      </c>
      <c r="C1514">
        <v>0</v>
      </c>
      <c r="D1514">
        <v>0</v>
      </c>
      <c r="E1514" s="27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 s="9">
        <v>45331</v>
      </c>
      <c r="L1514">
        <f xml:space="preserve"> (交易處理資料__3[[#This Row],[售出工時]] * 60) / 5</f>
        <v>0</v>
      </c>
      <c r="M1514" t="str">
        <f>VLOOKUP(交易處理資料__3[[#This Row],[人員代號]],團隊分組!$B$1:$C$52,2,FALSE)</f>
        <v>鈑金維修組</v>
      </c>
      <c r="N1514">
        <f>IF(交易處理資料__3[[#This Row],[上班時間]]=0,0,交易處理資料__3[[#This Row],[售出工時]]/交易處理資料__3[[#This Row],[上班時間]])</f>
        <v>0</v>
      </c>
      <c r="O1514" s="31" t="str">
        <f>IF(交易處理資料__3[[#This Row],[上班時間]]=0,"否","是")</f>
        <v>否</v>
      </c>
    </row>
    <row r="1515" spans="1:15" hidden="1">
      <c r="A1515" t="s">
        <v>74</v>
      </c>
      <c r="B1515" t="s">
        <v>15</v>
      </c>
      <c r="C1515">
        <v>0</v>
      </c>
      <c r="D1515">
        <v>0</v>
      </c>
      <c r="E1515" s="27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 s="9">
        <v>45331</v>
      </c>
      <c r="L1515">
        <f xml:space="preserve"> (交易處理資料__3[[#This Row],[售出工時]] * 60) / 5</f>
        <v>0</v>
      </c>
      <c r="M1515" t="str">
        <f>VLOOKUP(交易處理資料__3[[#This Row],[人員代號]],團隊分組!$B$1:$C$52,2,FALSE)</f>
        <v>鈑金維修組</v>
      </c>
      <c r="N1515">
        <f>IF(交易處理資料__3[[#This Row],[上班時間]]=0,0,交易處理資料__3[[#This Row],[售出工時]]/交易處理資料__3[[#This Row],[上班時間]])</f>
        <v>0</v>
      </c>
      <c r="O1515" s="31" t="str">
        <f>IF(交易處理資料__3[[#This Row],[上班時間]]=0,"否","是")</f>
        <v>否</v>
      </c>
    </row>
    <row r="1516" spans="1:15" hidden="1">
      <c r="A1516" t="s">
        <v>75</v>
      </c>
      <c r="B1516" t="s">
        <v>17</v>
      </c>
      <c r="C1516">
        <v>0</v>
      </c>
      <c r="D1516">
        <v>0</v>
      </c>
      <c r="E1516" s="27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 s="9">
        <v>45331</v>
      </c>
      <c r="L1516">
        <f xml:space="preserve"> (交易處理資料__3[[#This Row],[售出工時]] * 60) / 5</f>
        <v>0</v>
      </c>
      <c r="M1516" t="str">
        <f>VLOOKUP(交易處理資料__3[[#This Row],[人員代號]],團隊分組!$B$1:$C$52,2,FALSE)</f>
        <v>快速保養團隊A</v>
      </c>
      <c r="N1516">
        <f>IF(交易處理資料__3[[#This Row],[上班時間]]=0,0,交易處理資料__3[[#This Row],[售出工時]]/交易處理資料__3[[#This Row],[上班時間]])</f>
        <v>0</v>
      </c>
      <c r="O1516" s="31" t="str">
        <f>IF(交易處理資料__3[[#This Row],[上班時間]]=0,"否","是")</f>
        <v>否</v>
      </c>
    </row>
    <row r="1517" spans="1:15" hidden="1">
      <c r="A1517" t="s">
        <v>75</v>
      </c>
      <c r="B1517" t="s">
        <v>18</v>
      </c>
      <c r="C1517">
        <v>0</v>
      </c>
      <c r="D1517">
        <v>0</v>
      </c>
      <c r="E1517" s="2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 s="9">
        <v>45331</v>
      </c>
      <c r="L1517">
        <f xml:space="preserve"> (交易處理資料__3[[#This Row],[售出工時]] * 60) / 5</f>
        <v>0</v>
      </c>
      <c r="M1517" t="str">
        <f>VLOOKUP(交易處理資料__3[[#This Row],[人員代號]],團隊分組!$B$1:$C$52,2,FALSE)</f>
        <v>查修團隊B</v>
      </c>
      <c r="N1517">
        <f>IF(交易處理資料__3[[#This Row],[上班時間]]=0,0,交易處理資料__3[[#This Row],[售出工時]]/交易處理資料__3[[#This Row],[上班時間]])</f>
        <v>0</v>
      </c>
      <c r="O1517" s="31" t="str">
        <f>IF(交易處理資料__3[[#This Row],[上班時間]]=0,"否","是")</f>
        <v>否</v>
      </c>
    </row>
    <row r="1518" spans="1:15" hidden="1">
      <c r="A1518" t="s">
        <v>75</v>
      </c>
      <c r="B1518" t="s">
        <v>19</v>
      </c>
      <c r="C1518">
        <v>0</v>
      </c>
      <c r="D1518">
        <v>0</v>
      </c>
      <c r="E1518" s="27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 s="9">
        <v>45331</v>
      </c>
      <c r="L1518">
        <f xml:space="preserve"> (交易處理資料__3[[#This Row],[售出工時]] * 60) / 5</f>
        <v>0</v>
      </c>
      <c r="M1518" t="str">
        <f>VLOOKUP(交易處理資料__3[[#This Row],[人員代號]],團隊分組!$B$1:$C$52,2,FALSE)</f>
        <v>查修團隊A</v>
      </c>
      <c r="N1518">
        <f>IF(交易處理資料__3[[#This Row],[上班時間]]=0,0,交易處理資料__3[[#This Row],[售出工時]]/交易處理資料__3[[#This Row],[上班時間]])</f>
        <v>0</v>
      </c>
      <c r="O1518" s="31" t="str">
        <f>IF(交易處理資料__3[[#This Row],[上班時間]]=0,"否","是")</f>
        <v>否</v>
      </c>
    </row>
    <row r="1519" spans="1:15" hidden="1">
      <c r="A1519" t="s">
        <v>75</v>
      </c>
      <c r="B1519" t="s">
        <v>20</v>
      </c>
      <c r="C1519">
        <v>0</v>
      </c>
      <c r="D1519">
        <v>0</v>
      </c>
      <c r="E1519" s="27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 s="9">
        <v>45331</v>
      </c>
      <c r="L1519">
        <f xml:space="preserve"> (交易處理資料__3[[#This Row],[售出工時]] * 60) / 5</f>
        <v>0</v>
      </c>
      <c r="M1519" t="str">
        <f>VLOOKUP(交易處理資料__3[[#This Row],[人員代號]],團隊分組!$B$1:$C$52,2,FALSE)</f>
        <v>查修團隊B</v>
      </c>
      <c r="N1519">
        <f>IF(交易處理資料__3[[#This Row],[上班時間]]=0,0,交易處理資料__3[[#This Row],[售出工時]]/交易處理資料__3[[#This Row],[上班時間]])</f>
        <v>0</v>
      </c>
      <c r="O1519" s="31" t="str">
        <f>IF(交易處理資料__3[[#This Row],[上班時間]]=0,"否","是")</f>
        <v>否</v>
      </c>
    </row>
    <row r="1520" spans="1:15" hidden="1">
      <c r="A1520" t="s">
        <v>75</v>
      </c>
      <c r="B1520" t="s">
        <v>21</v>
      </c>
      <c r="C1520">
        <v>0</v>
      </c>
      <c r="D1520">
        <v>0</v>
      </c>
      <c r="E1520" s="27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 s="9">
        <v>45331</v>
      </c>
      <c r="L1520">
        <f xml:space="preserve"> (交易處理資料__3[[#This Row],[售出工時]] * 60) / 5</f>
        <v>0</v>
      </c>
      <c r="M1520" t="str">
        <f>VLOOKUP(交易處理資料__3[[#This Row],[人員代號]],團隊分組!$B$1:$C$52,2,FALSE)</f>
        <v>查修團隊B</v>
      </c>
      <c r="N1520">
        <f>IF(交易處理資料__3[[#This Row],[上班時間]]=0,0,交易處理資料__3[[#This Row],[售出工時]]/交易處理資料__3[[#This Row],[上班時間]])</f>
        <v>0</v>
      </c>
      <c r="O1520" s="31" t="str">
        <f>IF(交易處理資料__3[[#This Row],[上班時間]]=0,"否","是")</f>
        <v>否</v>
      </c>
    </row>
    <row r="1521" spans="1:15" hidden="1">
      <c r="A1521" t="s">
        <v>75</v>
      </c>
      <c r="B1521" t="s">
        <v>22</v>
      </c>
      <c r="C1521">
        <v>0</v>
      </c>
      <c r="D1521">
        <v>0</v>
      </c>
      <c r="E1521" s="27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 s="9">
        <v>45331</v>
      </c>
      <c r="L1521">
        <f xml:space="preserve"> (交易處理資料__3[[#This Row],[售出工時]] * 60) / 5</f>
        <v>0</v>
      </c>
      <c r="M1521" t="str">
        <f>VLOOKUP(交易處理資料__3[[#This Row],[人員代號]],團隊分組!$B$1:$C$52,2,FALSE)</f>
        <v>快速保養團隊A</v>
      </c>
      <c r="N1521">
        <f>IF(交易處理資料__3[[#This Row],[上班時間]]=0,0,交易處理資料__3[[#This Row],[售出工時]]/交易處理資料__3[[#This Row],[上班時間]])</f>
        <v>0</v>
      </c>
      <c r="O1521" s="31" t="str">
        <f>IF(交易處理資料__3[[#This Row],[上班時間]]=0,"否","是")</f>
        <v>否</v>
      </c>
    </row>
    <row r="1522" spans="1:15" hidden="1">
      <c r="A1522" t="s">
        <v>75</v>
      </c>
      <c r="B1522" t="s">
        <v>23</v>
      </c>
      <c r="C1522">
        <v>0</v>
      </c>
      <c r="D1522">
        <v>0</v>
      </c>
      <c r="E1522" s="27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 s="9">
        <v>45331</v>
      </c>
      <c r="L1522">
        <f xml:space="preserve"> (交易處理資料__3[[#This Row],[售出工時]] * 60) / 5</f>
        <v>0</v>
      </c>
      <c r="M1522" t="str">
        <f>VLOOKUP(交易處理資料__3[[#This Row],[人員代號]],團隊分組!$B$1:$C$52,2,FALSE)</f>
        <v>快速保養團隊B</v>
      </c>
      <c r="N1522">
        <f>IF(交易處理資料__3[[#This Row],[上班時間]]=0,0,交易處理資料__3[[#This Row],[售出工時]]/交易處理資料__3[[#This Row],[上班時間]])</f>
        <v>0</v>
      </c>
      <c r="O1522" s="31" t="str">
        <f>IF(交易處理資料__3[[#This Row],[上班時間]]=0,"否","是")</f>
        <v>否</v>
      </c>
    </row>
    <row r="1523" spans="1:15" hidden="1">
      <c r="A1523" t="s">
        <v>75</v>
      </c>
      <c r="B1523" t="s">
        <v>24</v>
      </c>
      <c r="C1523">
        <v>0</v>
      </c>
      <c r="D1523">
        <v>0</v>
      </c>
      <c r="E1523" s="27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 s="9">
        <v>45331</v>
      </c>
      <c r="L1523">
        <f xml:space="preserve"> (交易處理資料__3[[#This Row],[售出工時]] * 60) / 5</f>
        <v>0</v>
      </c>
      <c r="M1523" t="str">
        <f>VLOOKUP(交易處理資料__3[[#This Row],[人員代號]],團隊分組!$B$1:$C$52,2,FALSE)</f>
        <v>快速保養團隊A</v>
      </c>
      <c r="N1523">
        <f>IF(交易處理資料__3[[#This Row],[上班時間]]=0,0,交易處理資料__3[[#This Row],[售出工時]]/交易處理資料__3[[#This Row],[上班時間]])</f>
        <v>0</v>
      </c>
      <c r="O1523" s="31" t="str">
        <f>IF(交易處理資料__3[[#This Row],[上班時間]]=0,"否","是")</f>
        <v>否</v>
      </c>
    </row>
    <row r="1524" spans="1:15" hidden="1">
      <c r="A1524" t="s">
        <v>75</v>
      </c>
      <c r="B1524" t="s">
        <v>25</v>
      </c>
      <c r="C1524">
        <v>0</v>
      </c>
      <c r="D1524">
        <v>0</v>
      </c>
      <c r="E1524" s="27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 s="9">
        <v>45331</v>
      </c>
      <c r="L1524">
        <f xml:space="preserve"> (交易處理資料__3[[#This Row],[售出工時]] * 60) / 5</f>
        <v>0</v>
      </c>
      <c r="M1524" t="str">
        <f>VLOOKUP(交易處理資料__3[[#This Row],[人員代號]],團隊分組!$B$1:$C$52,2,FALSE)</f>
        <v>查修團隊A</v>
      </c>
      <c r="N1524">
        <f>IF(交易處理資料__3[[#This Row],[上班時間]]=0,0,交易處理資料__3[[#This Row],[售出工時]]/交易處理資料__3[[#This Row],[上班時間]])</f>
        <v>0</v>
      </c>
      <c r="O1524" s="31" t="str">
        <f>IF(交易處理資料__3[[#This Row],[上班時間]]=0,"否","是")</f>
        <v>否</v>
      </c>
    </row>
    <row r="1525" spans="1:15" hidden="1">
      <c r="A1525" t="s">
        <v>75</v>
      </c>
      <c r="B1525" t="s">
        <v>26</v>
      </c>
      <c r="C1525">
        <v>0</v>
      </c>
      <c r="D1525">
        <v>0</v>
      </c>
      <c r="E1525" s="27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 s="9">
        <v>45331</v>
      </c>
      <c r="L1525">
        <f xml:space="preserve"> (交易處理資料__3[[#This Row],[售出工時]] * 60) / 5</f>
        <v>0</v>
      </c>
      <c r="M1525" t="str">
        <f>VLOOKUP(交易處理資料__3[[#This Row],[人員代號]],團隊分組!$B$1:$C$52,2,FALSE)</f>
        <v>查修團隊B</v>
      </c>
      <c r="N1525">
        <f>IF(交易處理資料__3[[#This Row],[上班時間]]=0,0,交易處理資料__3[[#This Row],[售出工時]]/交易處理資料__3[[#This Row],[上班時間]])</f>
        <v>0</v>
      </c>
      <c r="O1525" s="31" t="str">
        <f>IF(交易處理資料__3[[#This Row],[上班時間]]=0,"否","是")</f>
        <v>否</v>
      </c>
    </row>
    <row r="1526" spans="1:15" hidden="1">
      <c r="A1526" t="s">
        <v>75</v>
      </c>
      <c r="B1526" t="s">
        <v>27</v>
      </c>
      <c r="C1526">
        <v>0</v>
      </c>
      <c r="D1526">
        <v>0</v>
      </c>
      <c r="E1526" s="27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 s="9">
        <v>45331</v>
      </c>
      <c r="L1526">
        <f xml:space="preserve"> (交易處理資料__3[[#This Row],[售出工時]] * 60) / 5</f>
        <v>0</v>
      </c>
      <c r="M1526" t="str">
        <f>VLOOKUP(交易處理資料__3[[#This Row],[人員代號]],團隊分組!$B$1:$C$52,2,FALSE)</f>
        <v>快速保養團隊B</v>
      </c>
      <c r="N1526">
        <f>IF(交易處理資料__3[[#This Row],[上班時間]]=0,0,交易處理資料__3[[#This Row],[售出工時]]/交易處理資料__3[[#This Row],[上班時間]])</f>
        <v>0</v>
      </c>
      <c r="O1526" s="31" t="str">
        <f>IF(交易處理資料__3[[#This Row],[上班時間]]=0,"否","是")</f>
        <v>否</v>
      </c>
    </row>
    <row r="1527" spans="1:15" hidden="1">
      <c r="A1527" t="s">
        <v>75</v>
      </c>
      <c r="B1527" t="s">
        <v>28</v>
      </c>
      <c r="C1527">
        <v>0</v>
      </c>
      <c r="D1527">
        <v>0</v>
      </c>
      <c r="E1527" s="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 s="9">
        <v>45331</v>
      </c>
      <c r="L1527">
        <f xml:space="preserve"> (交易處理資料__3[[#This Row],[售出工時]] * 60) / 5</f>
        <v>0</v>
      </c>
      <c r="M1527" t="str">
        <f>VLOOKUP(交易處理資料__3[[#This Row],[人員代號]],團隊分組!$B$1:$C$52,2,FALSE)</f>
        <v>快速保養團隊A</v>
      </c>
      <c r="N1527">
        <f>IF(交易處理資料__3[[#This Row],[上班時間]]=0,0,交易處理資料__3[[#This Row],[售出工時]]/交易處理資料__3[[#This Row],[上班時間]])</f>
        <v>0</v>
      </c>
      <c r="O1527" s="31" t="str">
        <f>IF(交易處理資料__3[[#This Row],[上班時間]]=0,"否","是")</f>
        <v>否</v>
      </c>
    </row>
    <row r="1528" spans="1:15" hidden="1">
      <c r="A1528" t="s">
        <v>75</v>
      </c>
      <c r="B1528" t="s">
        <v>29</v>
      </c>
      <c r="C1528">
        <v>0</v>
      </c>
      <c r="D1528">
        <v>0</v>
      </c>
      <c r="E1528" s="27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 s="9">
        <v>45331</v>
      </c>
      <c r="L1528">
        <f xml:space="preserve"> (交易處理資料__3[[#This Row],[售出工時]] * 60) / 5</f>
        <v>0</v>
      </c>
      <c r="M1528" t="str">
        <f>VLOOKUP(交易處理資料__3[[#This Row],[人員代號]],團隊分組!$B$1:$C$52,2,FALSE)</f>
        <v>查修團隊B</v>
      </c>
      <c r="N1528">
        <f>IF(交易處理資料__3[[#This Row],[上班時間]]=0,0,交易處理資料__3[[#This Row],[售出工時]]/交易處理資料__3[[#This Row],[上班時間]])</f>
        <v>0</v>
      </c>
      <c r="O1528" s="31" t="str">
        <f>IF(交易處理資料__3[[#This Row],[上班時間]]=0,"否","是")</f>
        <v>否</v>
      </c>
    </row>
    <row r="1529" spans="1:15" hidden="1">
      <c r="A1529" t="s">
        <v>75</v>
      </c>
      <c r="B1529" t="s">
        <v>30</v>
      </c>
      <c r="C1529">
        <v>0</v>
      </c>
      <c r="D1529">
        <v>0</v>
      </c>
      <c r="E1529" s="27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 s="9">
        <v>45331</v>
      </c>
      <c r="L1529">
        <f xml:space="preserve"> (交易處理資料__3[[#This Row],[售出工時]] * 60) / 5</f>
        <v>0</v>
      </c>
      <c r="M1529" t="str">
        <f>VLOOKUP(交易處理資料__3[[#This Row],[人員代號]],團隊分組!$B$1:$C$52,2,FALSE)</f>
        <v>快速保養團隊B</v>
      </c>
      <c r="N1529">
        <f>IF(交易處理資料__3[[#This Row],[上班時間]]=0,0,交易處理資料__3[[#This Row],[售出工時]]/交易處理資料__3[[#This Row],[上班時間]])</f>
        <v>0</v>
      </c>
      <c r="O1529" s="31" t="str">
        <f>IF(交易處理資料__3[[#This Row],[上班時間]]=0,"否","是")</f>
        <v>否</v>
      </c>
    </row>
    <row r="1530" spans="1:15" hidden="1">
      <c r="A1530" t="s">
        <v>75</v>
      </c>
      <c r="B1530" t="s">
        <v>32</v>
      </c>
      <c r="C1530">
        <v>0</v>
      </c>
      <c r="D1530">
        <v>0</v>
      </c>
      <c r="E1530" s="27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 s="9">
        <v>45331</v>
      </c>
      <c r="L1530">
        <f xml:space="preserve"> (交易處理資料__3[[#This Row],[售出工時]] * 60) / 5</f>
        <v>0</v>
      </c>
      <c r="M1530" t="str">
        <f>VLOOKUP(交易處理資料__3[[#This Row],[人員代號]],團隊分組!$B$1:$C$52,2,FALSE)</f>
        <v>快速保養團隊B</v>
      </c>
      <c r="N1530">
        <f>IF(交易處理資料__3[[#This Row],[上班時間]]=0,0,交易處理資料__3[[#This Row],[售出工時]]/交易處理資料__3[[#This Row],[上班時間]])</f>
        <v>0</v>
      </c>
      <c r="O1530" s="31" t="str">
        <f>IF(交易處理資料__3[[#This Row],[上班時間]]=0,"否","是")</f>
        <v>否</v>
      </c>
    </row>
    <row r="1531" spans="1:15">
      <c r="A1531" t="s">
        <v>75</v>
      </c>
      <c r="B1531" t="s">
        <v>33</v>
      </c>
      <c r="C1531">
        <v>0</v>
      </c>
      <c r="D1531">
        <v>0</v>
      </c>
      <c r="E1531" s="27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 s="9">
        <v>45331</v>
      </c>
      <c r="L1531">
        <f xml:space="preserve"> (交易處理資料__3[[#This Row],[售出工時]] * 60) / 5</f>
        <v>0</v>
      </c>
      <c r="M1531" t="str">
        <f>VLOOKUP(交易處理資料__3[[#This Row],[人員代號]],團隊分組!$B$1:$C$52,2,FALSE)</f>
        <v>快速保養團隊B</v>
      </c>
      <c r="N1531">
        <f>IF(交易處理資料__3[[#This Row],[上班時間]]=0,0,交易處理資料__3[[#This Row],[售出工時]]/交易處理資料__3[[#This Row],[上班時間]])</f>
        <v>0</v>
      </c>
      <c r="O1531" s="31" t="str">
        <f>IF(交易處理資料__3[[#This Row],[上班時間]]=0,"否","是")</f>
        <v>否</v>
      </c>
    </row>
    <row r="1532" spans="1:15" hidden="1">
      <c r="A1532" t="s">
        <v>75</v>
      </c>
      <c r="B1532" t="s">
        <v>34</v>
      </c>
      <c r="C1532">
        <v>0</v>
      </c>
      <c r="D1532">
        <v>0</v>
      </c>
      <c r="E1532" s="27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 s="9">
        <v>45331</v>
      </c>
      <c r="L1532">
        <f xml:space="preserve"> (交易處理資料__3[[#This Row],[售出工時]] * 60) / 5</f>
        <v>0</v>
      </c>
      <c r="M1532" t="str">
        <f>VLOOKUP(交易處理資料__3[[#This Row],[人員代號]],團隊分組!$B$1:$C$52,2,FALSE)</f>
        <v>快速保養團隊A</v>
      </c>
      <c r="N1532">
        <f>IF(交易處理資料__3[[#This Row],[上班時間]]=0,0,交易處理資料__3[[#This Row],[售出工時]]/交易處理資料__3[[#This Row],[上班時間]])</f>
        <v>0</v>
      </c>
      <c r="O1532" s="31" t="str">
        <f>IF(交易處理資料__3[[#This Row],[上班時間]]=0,"否","是")</f>
        <v>否</v>
      </c>
    </row>
    <row r="1533" spans="1:15" hidden="1">
      <c r="A1533" t="s">
        <v>75</v>
      </c>
      <c r="B1533" t="s">
        <v>35</v>
      </c>
      <c r="C1533">
        <v>0</v>
      </c>
      <c r="D1533">
        <v>0</v>
      </c>
      <c r="E1533" s="27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 s="9">
        <v>45331</v>
      </c>
      <c r="L1533">
        <f xml:space="preserve"> (交易處理資料__3[[#This Row],[售出工時]] * 60) / 5</f>
        <v>0</v>
      </c>
      <c r="M1533" t="str">
        <f>VLOOKUP(交易處理資料__3[[#This Row],[人員代號]],團隊分組!$B$1:$C$52,2,FALSE)</f>
        <v>查修團隊B</v>
      </c>
      <c r="N1533">
        <f>IF(交易處理資料__3[[#This Row],[上班時間]]=0,0,交易處理資料__3[[#This Row],[售出工時]]/交易處理資料__3[[#This Row],[上班時間]])</f>
        <v>0</v>
      </c>
      <c r="O1533" s="31" t="str">
        <f>IF(交易處理資料__3[[#This Row],[上班時間]]=0,"否","是")</f>
        <v>否</v>
      </c>
    </row>
    <row r="1534" spans="1:15" hidden="1">
      <c r="A1534" t="s">
        <v>75</v>
      </c>
      <c r="B1534" t="s">
        <v>36</v>
      </c>
      <c r="C1534">
        <v>0</v>
      </c>
      <c r="D1534">
        <v>0</v>
      </c>
      <c r="E1534" s="27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 s="9">
        <v>45331</v>
      </c>
      <c r="L1534">
        <f xml:space="preserve"> (交易處理資料__3[[#This Row],[售出工時]] * 60) / 5</f>
        <v>0</v>
      </c>
      <c r="M1534" t="str">
        <f>VLOOKUP(交易處理資料__3[[#This Row],[人員代號]],團隊分組!$B$1:$C$52,2,FALSE)</f>
        <v>查修團隊B</v>
      </c>
      <c r="N1534">
        <f>IF(交易處理資料__3[[#This Row],[上班時間]]=0,0,交易處理資料__3[[#This Row],[售出工時]]/交易處理資料__3[[#This Row],[上班時間]])</f>
        <v>0</v>
      </c>
      <c r="O1534" s="31" t="str">
        <f>IF(交易處理資料__3[[#This Row],[上班時間]]=0,"否","是")</f>
        <v>否</v>
      </c>
    </row>
    <row r="1535" spans="1:15" hidden="1">
      <c r="A1535" t="s">
        <v>75</v>
      </c>
      <c r="B1535" t="s">
        <v>37</v>
      </c>
      <c r="C1535">
        <v>0</v>
      </c>
      <c r="D1535">
        <v>0</v>
      </c>
      <c r="E1535" s="27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 s="9">
        <v>45331</v>
      </c>
      <c r="L1535">
        <f xml:space="preserve"> (交易處理資料__3[[#This Row],[售出工時]] * 60) / 5</f>
        <v>0</v>
      </c>
      <c r="M1535" t="str">
        <f>VLOOKUP(交易處理資料__3[[#This Row],[人員代號]],團隊分組!$B$1:$C$52,2,FALSE)</f>
        <v>查修團隊A</v>
      </c>
      <c r="N1535">
        <f>IF(交易處理資料__3[[#This Row],[上班時間]]=0,0,交易處理資料__3[[#This Row],[售出工時]]/交易處理資料__3[[#This Row],[上班時間]])</f>
        <v>0</v>
      </c>
      <c r="O1535" s="31" t="str">
        <f>IF(交易處理資料__3[[#This Row],[上班時間]]=0,"否","是")</f>
        <v>否</v>
      </c>
    </row>
    <row r="1536" spans="1:15" hidden="1">
      <c r="A1536" t="s">
        <v>75</v>
      </c>
      <c r="B1536" t="s">
        <v>38</v>
      </c>
      <c r="C1536">
        <v>0</v>
      </c>
      <c r="D1536">
        <v>0</v>
      </c>
      <c r="E1536" s="27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 s="9">
        <v>45331</v>
      </c>
      <c r="L1536">
        <f xml:space="preserve"> (交易處理資料__3[[#This Row],[售出工時]] * 60) / 5</f>
        <v>0</v>
      </c>
      <c r="M1536" t="str">
        <f>VLOOKUP(交易處理資料__3[[#This Row],[人員代號]],團隊分組!$B$1:$C$52,2,FALSE)</f>
        <v>快速保養團隊A</v>
      </c>
      <c r="N1536">
        <f>IF(交易處理資料__3[[#This Row],[上班時間]]=0,0,交易處理資料__3[[#This Row],[售出工時]]/交易處理資料__3[[#This Row],[上班時間]])</f>
        <v>0</v>
      </c>
      <c r="O1536" s="31" t="str">
        <f>IF(交易處理資料__3[[#This Row],[上班時間]]=0,"否","是")</f>
        <v>否</v>
      </c>
    </row>
    <row r="1537" spans="1:15" hidden="1">
      <c r="A1537" t="s">
        <v>75</v>
      </c>
      <c r="B1537" t="s">
        <v>39</v>
      </c>
      <c r="C1537">
        <v>0</v>
      </c>
      <c r="D1537">
        <v>0</v>
      </c>
      <c r="E1537" s="2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 s="9">
        <v>45331</v>
      </c>
      <c r="L1537">
        <f xml:space="preserve"> (交易處理資料__3[[#This Row],[售出工時]] * 60) / 5</f>
        <v>0</v>
      </c>
      <c r="M1537" t="str">
        <f>VLOOKUP(交易處理資料__3[[#This Row],[人員代號]],團隊分組!$B$1:$C$52,2,FALSE)</f>
        <v>查修團隊A</v>
      </c>
      <c r="N1537">
        <f>IF(交易處理資料__3[[#This Row],[上班時間]]=0,0,交易處理資料__3[[#This Row],[售出工時]]/交易處理資料__3[[#This Row],[上班時間]])</f>
        <v>0</v>
      </c>
      <c r="O1537" s="31" t="str">
        <f>IF(交易處理資料__3[[#This Row],[上班時間]]=0,"否","是")</f>
        <v>否</v>
      </c>
    </row>
    <row r="1538" spans="1:15" hidden="1">
      <c r="A1538" t="s">
        <v>75</v>
      </c>
      <c r="B1538" t="s">
        <v>40</v>
      </c>
      <c r="C1538">
        <v>0</v>
      </c>
      <c r="D1538">
        <v>0</v>
      </c>
      <c r="E1538" s="27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 s="9">
        <v>45331</v>
      </c>
      <c r="L1538">
        <f xml:space="preserve"> (交易處理資料__3[[#This Row],[售出工時]] * 60) / 5</f>
        <v>0</v>
      </c>
      <c r="M1538" t="str">
        <f>VLOOKUP(交易處理資料__3[[#This Row],[人員代號]],團隊分組!$B$1:$C$52,2,FALSE)</f>
        <v>查修團隊A</v>
      </c>
      <c r="N1538">
        <f>IF(交易處理資料__3[[#This Row],[上班時間]]=0,0,交易處理資料__3[[#This Row],[售出工時]]/交易處理資料__3[[#This Row],[上班時間]])</f>
        <v>0</v>
      </c>
      <c r="O1538" s="31" t="str">
        <f>IF(交易處理資料__3[[#This Row],[上班時間]]=0,"否","是")</f>
        <v>否</v>
      </c>
    </row>
    <row r="1539" spans="1:15" hidden="1">
      <c r="A1539" t="s">
        <v>75</v>
      </c>
      <c r="B1539" t="s">
        <v>41</v>
      </c>
      <c r="C1539">
        <v>0</v>
      </c>
      <c r="D1539">
        <v>0</v>
      </c>
      <c r="E1539" s="27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 s="9">
        <v>45331</v>
      </c>
      <c r="L1539">
        <f xml:space="preserve"> (交易處理資料__3[[#This Row],[售出工時]] * 60) / 5</f>
        <v>0</v>
      </c>
      <c r="M1539" t="str">
        <f>VLOOKUP(交易處理資料__3[[#This Row],[人員代號]],團隊分組!$B$1:$C$52,2,FALSE)</f>
        <v>快速保養團隊A</v>
      </c>
      <c r="N1539">
        <f>IF(交易處理資料__3[[#This Row],[上班時間]]=0,0,交易處理資料__3[[#This Row],[售出工時]]/交易處理資料__3[[#This Row],[上班時間]])</f>
        <v>0</v>
      </c>
      <c r="O1539" s="31" t="str">
        <f>IF(交易處理資料__3[[#This Row],[上班時間]]=0,"否","是")</f>
        <v>否</v>
      </c>
    </row>
    <row r="1540" spans="1:15" hidden="1">
      <c r="A1540" t="s">
        <v>75</v>
      </c>
      <c r="B1540" t="s">
        <v>42</v>
      </c>
      <c r="C1540">
        <v>0</v>
      </c>
      <c r="D1540">
        <v>0</v>
      </c>
      <c r="E1540" s="27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 s="9">
        <v>45331</v>
      </c>
      <c r="L1540">
        <f xml:space="preserve"> (交易處理資料__3[[#This Row],[售出工時]] * 60) / 5</f>
        <v>0</v>
      </c>
      <c r="M1540" t="str">
        <f>VLOOKUP(交易處理資料__3[[#This Row],[人員代號]],團隊分組!$B$1:$C$52,2,FALSE)</f>
        <v>快速保養團隊A</v>
      </c>
      <c r="N1540">
        <f>IF(交易處理資料__3[[#This Row],[上班時間]]=0,0,交易處理資料__3[[#This Row],[售出工時]]/交易處理資料__3[[#This Row],[上班時間]])</f>
        <v>0</v>
      </c>
      <c r="O1540" s="31" t="str">
        <f>IF(交易處理資料__3[[#This Row],[上班時間]]=0,"否","是")</f>
        <v>否</v>
      </c>
    </row>
    <row r="1541" spans="1:15" hidden="1">
      <c r="A1541" t="s">
        <v>75</v>
      </c>
      <c r="B1541" t="s">
        <v>43</v>
      </c>
      <c r="C1541">
        <v>0</v>
      </c>
      <c r="D1541">
        <v>0</v>
      </c>
      <c r="E1541" s="27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 s="9">
        <v>45331</v>
      </c>
      <c r="L1541">
        <f xml:space="preserve"> (交易處理資料__3[[#This Row],[售出工時]] * 60) / 5</f>
        <v>0</v>
      </c>
      <c r="M1541" t="str">
        <f>VLOOKUP(交易處理資料__3[[#This Row],[人員代號]],團隊分組!$B$1:$C$52,2,FALSE)</f>
        <v>查修團隊B</v>
      </c>
      <c r="N1541">
        <f>IF(交易處理資料__3[[#This Row],[上班時間]]=0,0,交易處理資料__3[[#This Row],[售出工時]]/交易處理資料__3[[#This Row],[上班時間]])</f>
        <v>0</v>
      </c>
      <c r="O1541" s="31" t="str">
        <f>IF(交易處理資料__3[[#This Row],[上班時間]]=0,"否","是")</f>
        <v>否</v>
      </c>
    </row>
    <row r="1542" spans="1:15" hidden="1">
      <c r="A1542" t="s">
        <v>75</v>
      </c>
      <c r="B1542" t="s">
        <v>44</v>
      </c>
      <c r="C1542">
        <v>0</v>
      </c>
      <c r="D1542">
        <v>0</v>
      </c>
      <c r="E1542" s="27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 s="9">
        <v>45331</v>
      </c>
      <c r="L1542">
        <f xml:space="preserve"> (交易處理資料__3[[#This Row],[售出工時]] * 60) / 5</f>
        <v>0</v>
      </c>
      <c r="M1542" t="str">
        <f>VLOOKUP(交易處理資料__3[[#This Row],[人員代號]],團隊分組!$B$1:$C$52,2,FALSE)</f>
        <v>快速保養團隊B</v>
      </c>
      <c r="N1542">
        <f>IF(交易處理資料__3[[#This Row],[上班時間]]=0,0,交易處理資料__3[[#This Row],[售出工時]]/交易處理資料__3[[#This Row],[上班時間]])</f>
        <v>0</v>
      </c>
      <c r="O1542" s="31" t="str">
        <f>IF(交易處理資料__3[[#This Row],[上班時間]]=0,"否","是")</f>
        <v>否</v>
      </c>
    </row>
    <row r="1543" spans="1:15" hidden="1">
      <c r="A1543" t="s">
        <v>75</v>
      </c>
      <c r="B1543" t="s">
        <v>45</v>
      </c>
      <c r="C1543">
        <v>0</v>
      </c>
      <c r="D1543">
        <v>0</v>
      </c>
      <c r="E1543" s="27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 s="9">
        <v>45331</v>
      </c>
      <c r="L1543">
        <f xml:space="preserve"> (交易處理資料__3[[#This Row],[售出工時]] * 60) / 5</f>
        <v>0</v>
      </c>
      <c r="M1543" t="str">
        <f>VLOOKUP(交易處理資料__3[[#This Row],[人員代號]],團隊分組!$B$1:$C$52,2,FALSE)</f>
        <v>快速保養團隊A</v>
      </c>
      <c r="N1543">
        <f>IF(交易處理資料__3[[#This Row],[上班時間]]=0,0,交易處理資料__3[[#This Row],[售出工時]]/交易處理資料__3[[#This Row],[上班時間]])</f>
        <v>0</v>
      </c>
      <c r="O1543" s="31" t="str">
        <f>IF(交易處理資料__3[[#This Row],[上班時間]]=0,"否","是")</f>
        <v>否</v>
      </c>
    </row>
    <row r="1544" spans="1:15" hidden="1">
      <c r="A1544" t="s">
        <v>75</v>
      </c>
      <c r="B1544" t="s">
        <v>46</v>
      </c>
      <c r="C1544">
        <v>0</v>
      </c>
      <c r="D1544">
        <v>0</v>
      </c>
      <c r="E1544" s="27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 s="9">
        <v>45331</v>
      </c>
      <c r="L1544">
        <f xml:space="preserve"> (交易處理資料__3[[#This Row],[售出工時]] * 60) / 5</f>
        <v>0</v>
      </c>
      <c r="M1544" t="str">
        <f>VLOOKUP(交易處理資料__3[[#This Row],[人員代號]],團隊分組!$B$1:$C$52,2,FALSE)</f>
        <v>查修團隊B</v>
      </c>
      <c r="N1544">
        <f>IF(交易處理資料__3[[#This Row],[上班時間]]=0,0,交易處理資料__3[[#This Row],[售出工時]]/交易處理資料__3[[#This Row],[上班時間]])</f>
        <v>0</v>
      </c>
      <c r="O1544" s="31" t="str">
        <f>IF(交易處理資料__3[[#This Row],[上班時間]]=0,"否","是")</f>
        <v>否</v>
      </c>
    </row>
    <row r="1545" spans="1:15" hidden="1">
      <c r="A1545" t="s">
        <v>75</v>
      </c>
      <c r="B1545" t="s">
        <v>47</v>
      </c>
      <c r="C1545">
        <v>0</v>
      </c>
      <c r="D1545">
        <v>0</v>
      </c>
      <c r="E1545" s="27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 s="9">
        <v>45331</v>
      </c>
      <c r="L1545">
        <f xml:space="preserve"> (交易處理資料__3[[#This Row],[售出工時]] * 60) / 5</f>
        <v>0</v>
      </c>
      <c r="M1545" t="str">
        <f>VLOOKUP(交易處理資料__3[[#This Row],[人員代號]],團隊分組!$B$1:$C$52,2,FALSE)</f>
        <v>查修團隊B</v>
      </c>
      <c r="N1545">
        <f>IF(交易處理資料__3[[#This Row],[上班時間]]=0,0,交易處理資料__3[[#This Row],[售出工時]]/交易處理資料__3[[#This Row],[上班時間]])</f>
        <v>0</v>
      </c>
      <c r="O1545" s="31" t="str">
        <f>IF(交易處理資料__3[[#This Row],[上班時間]]=0,"否","是")</f>
        <v>否</v>
      </c>
    </row>
    <row r="1546" spans="1:15" hidden="1">
      <c r="A1546" t="s">
        <v>75</v>
      </c>
      <c r="B1546" t="s">
        <v>48</v>
      </c>
      <c r="C1546">
        <v>0</v>
      </c>
      <c r="D1546">
        <v>0</v>
      </c>
      <c r="E1546" s="27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 s="9">
        <v>45331</v>
      </c>
      <c r="L1546">
        <f xml:space="preserve"> (交易處理資料__3[[#This Row],[售出工時]] * 60) / 5</f>
        <v>0</v>
      </c>
      <c r="M1546" t="str">
        <f>VLOOKUP(交易處理資料__3[[#This Row],[人員代號]],團隊分組!$B$1:$C$52,2,FALSE)</f>
        <v>查修團隊A</v>
      </c>
      <c r="N1546">
        <f>IF(交易處理資料__3[[#This Row],[上班時間]]=0,0,交易處理資料__3[[#This Row],[售出工時]]/交易處理資料__3[[#This Row],[上班時間]])</f>
        <v>0</v>
      </c>
      <c r="O1546" s="31" t="str">
        <f>IF(交易處理資料__3[[#This Row],[上班時間]]=0,"否","是")</f>
        <v>否</v>
      </c>
    </row>
    <row r="1547" spans="1:15" hidden="1">
      <c r="A1547" t="s">
        <v>75</v>
      </c>
      <c r="B1547" t="s">
        <v>49</v>
      </c>
      <c r="C1547">
        <v>0</v>
      </c>
      <c r="D1547">
        <v>0</v>
      </c>
      <c r="E1547" s="2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 s="9">
        <v>45331</v>
      </c>
      <c r="L1547">
        <f xml:space="preserve"> (交易處理資料__3[[#This Row],[售出工時]] * 60) / 5</f>
        <v>0</v>
      </c>
      <c r="M1547" t="str">
        <f>VLOOKUP(交易處理資料__3[[#This Row],[人員代號]],團隊分組!$B$1:$C$52,2,FALSE)</f>
        <v>查修團隊A</v>
      </c>
      <c r="N1547">
        <f>IF(交易處理資料__3[[#This Row],[上班時間]]=0,0,交易處理資料__3[[#This Row],[售出工時]]/交易處理資料__3[[#This Row],[上班時間]])</f>
        <v>0</v>
      </c>
      <c r="O1547" s="31" t="str">
        <f>IF(交易處理資料__3[[#This Row],[上班時間]]=0,"否","是")</f>
        <v>否</v>
      </c>
    </row>
    <row r="1548" spans="1:15" hidden="1">
      <c r="A1548" t="s">
        <v>75</v>
      </c>
      <c r="B1548" t="s">
        <v>50</v>
      </c>
      <c r="C1548">
        <v>0</v>
      </c>
      <c r="D1548">
        <v>0</v>
      </c>
      <c r="E1548" s="27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 s="9">
        <v>45331</v>
      </c>
      <c r="L1548">
        <f xml:space="preserve"> (交易處理資料__3[[#This Row],[售出工時]] * 60) / 5</f>
        <v>0</v>
      </c>
      <c r="M1548" t="str">
        <f>VLOOKUP(交易處理資料__3[[#This Row],[人員代號]],團隊分組!$B$1:$C$52,2,FALSE)</f>
        <v>快速保養團隊B</v>
      </c>
      <c r="N1548">
        <f>IF(交易處理資料__3[[#This Row],[上班時間]]=0,0,交易處理資料__3[[#This Row],[售出工時]]/交易處理資料__3[[#This Row],[上班時間]])</f>
        <v>0</v>
      </c>
      <c r="O1548" s="31" t="str">
        <f>IF(交易處理資料__3[[#This Row],[上班時間]]=0,"否","是")</f>
        <v>否</v>
      </c>
    </row>
    <row r="1549" spans="1:15" hidden="1">
      <c r="A1549" t="s">
        <v>75</v>
      </c>
      <c r="B1549" t="s">
        <v>51</v>
      </c>
      <c r="C1549">
        <v>0</v>
      </c>
      <c r="D1549">
        <v>0</v>
      </c>
      <c r="E1549" s="27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 s="9">
        <v>45331</v>
      </c>
      <c r="L1549">
        <f xml:space="preserve"> (交易處理資料__3[[#This Row],[售出工時]] * 60) / 5</f>
        <v>0</v>
      </c>
      <c r="M1549" t="str">
        <f>VLOOKUP(交易處理資料__3[[#This Row],[人員代號]],團隊分組!$B$1:$C$52,2,FALSE)</f>
        <v>無效數據</v>
      </c>
      <c r="N1549">
        <f>IF(交易處理資料__3[[#This Row],[上班時間]]=0,0,交易處理資料__3[[#This Row],[售出工時]]/交易處理資料__3[[#This Row],[上班時間]])</f>
        <v>0</v>
      </c>
      <c r="O1549" s="31" t="str">
        <f>IF(交易處理資料__3[[#This Row],[上班時間]]=0,"否","是")</f>
        <v>否</v>
      </c>
    </row>
    <row r="1550" spans="1:15" hidden="1">
      <c r="A1550" t="s">
        <v>75</v>
      </c>
      <c r="B1550" t="s">
        <v>52</v>
      </c>
      <c r="C1550">
        <v>0</v>
      </c>
      <c r="D1550">
        <v>0</v>
      </c>
      <c r="E1550" s="27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 s="9">
        <v>45331</v>
      </c>
      <c r="L1550">
        <f xml:space="preserve"> (交易處理資料__3[[#This Row],[售出工時]] * 60) / 5</f>
        <v>0</v>
      </c>
      <c r="M1550" t="str">
        <f>VLOOKUP(交易處理資料__3[[#This Row],[人員代號]],團隊分組!$B$1:$C$52,2,FALSE)</f>
        <v>查修團隊B</v>
      </c>
      <c r="N1550">
        <f>IF(交易處理資料__3[[#This Row],[上班時間]]=0,0,交易處理資料__3[[#This Row],[售出工時]]/交易處理資料__3[[#This Row],[上班時間]])</f>
        <v>0</v>
      </c>
      <c r="O1550" s="31" t="str">
        <f>IF(交易處理資料__3[[#This Row],[上班時間]]=0,"否","是")</f>
        <v>否</v>
      </c>
    </row>
    <row r="1551" spans="1:15" hidden="1">
      <c r="A1551" t="s">
        <v>75</v>
      </c>
      <c r="B1551" t="s">
        <v>53</v>
      </c>
      <c r="C1551">
        <v>0</v>
      </c>
      <c r="D1551">
        <v>0</v>
      </c>
      <c r="E1551" s="27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 s="9">
        <v>45331</v>
      </c>
      <c r="L1551">
        <f xml:space="preserve"> (交易處理資料__3[[#This Row],[售出工時]] * 60) / 5</f>
        <v>0</v>
      </c>
      <c r="M1551" t="str">
        <f>VLOOKUP(交易處理資料__3[[#This Row],[人員代號]],團隊分組!$B$1:$C$52,2,FALSE)</f>
        <v>查修團隊A</v>
      </c>
      <c r="N1551">
        <f>IF(交易處理資料__3[[#This Row],[上班時間]]=0,0,交易處理資料__3[[#This Row],[售出工時]]/交易處理資料__3[[#This Row],[上班時間]])</f>
        <v>0</v>
      </c>
      <c r="O1551" s="31" t="str">
        <f>IF(交易處理資料__3[[#This Row],[上班時間]]=0,"否","是")</f>
        <v>否</v>
      </c>
    </row>
    <row r="1552" spans="1:15" hidden="1">
      <c r="A1552" s="10" t="s">
        <v>73</v>
      </c>
      <c r="B1552" t="s">
        <v>1</v>
      </c>
      <c r="C1552">
        <v>0</v>
      </c>
      <c r="D1552">
        <v>0</v>
      </c>
      <c r="E1552" s="27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 s="9">
        <v>45332</v>
      </c>
      <c r="L1552">
        <f xml:space="preserve"> (交易處理資料__3[[#This Row],[售出工時]] * 60) / 5</f>
        <v>0</v>
      </c>
      <c r="M1552" t="str">
        <f>VLOOKUP(交易處理資料__3[[#This Row],[人員代號]],團隊分組!$B$1:$C$52,2,FALSE)</f>
        <v>噴漆維修組</v>
      </c>
      <c r="N1552">
        <f>IF(交易處理資料__3[[#This Row],[上班時間]]=0,0,交易處理資料__3[[#This Row],[售出工時]]/交易處理資料__3[[#This Row],[上班時間]])</f>
        <v>0</v>
      </c>
      <c r="O1552" s="31" t="str">
        <f>IF(交易處理資料__3[[#This Row],[上班時間]]=0,"否","是")</f>
        <v>否</v>
      </c>
    </row>
    <row r="1553" spans="1:15" hidden="1">
      <c r="A1553" s="10" t="s">
        <v>73</v>
      </c>
      <c r="B1553" t="s">
        <v>2</v>
      </c>
      <c r="C1553">
        <v>0</v>
      </c>
      <c r="D1553">
        <v>0</v>
      </c>
      <c r="E1553" s="27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 s="9">
        <v>45332</v>
      </c>
      <c r="L1553">
        <f xml:space="preserve"> (交易處理資料__3[[#This Row],[售出工時]] * 60) / 5</f>
        <v>0</v>
      </c>
      <c r="M1553" t="str">
        <f>VLOOKUP(交易處理資料__3[[#This Row],[人員代號]],團隊分組!$B$1:$C$52,2,FALSE)</f>
        <v>噴漆維修組</v>
      </c>
      <c r="N1553">
        <f>IF(交易處理資料__3[[#This Row],[上班時間]]=0,0,交易處理資料__3[[#This Row],[售出工時]]/交易處理資料__3[[#This Row],[上班時間]])</f>
        <v>0</v>
      </c>
      <c r="O1553" s="31" t="str">
        <f>IF(交易處理資料__3[[#This Row],[上班時間]]=0,"否","是")</f>
        <v>否</v>
      </c>
    </row>
    <row r="1554" spans="1:15" hidden="1">
      <c r="A1554" s="10" t="s">
        <v>73</v>
      </c>
      <c r="B1554" t="s">
        <v>3</v>
      </c>
      <c r="C1554">
        <v>0</v>
      </c>
      <c r="D1554">
        <v>0</v>
      </c>
      <c r="E1554" s="27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 s="9">
        <v>45332</v>
      </c>
      <c r="L1554">
        <f xml:space="preserve"> (交易處理資料__3[[#This Row],[售出工時]] * 60) / 5</f>
        <v>0</v>
      </c>
      <c r="M1554" t="str">
        <f>VLOOKUP(交易處理資料__3[[#This Row],[人員代號]],團隊分組!$B$1:$C$52,2,FALSE)</f>
        <v>噴漆維修組</v>
      </c>
      <c r="N1554">
        <f>IF(交易處理資料__3[[#This Row],[上班時間]]=0,0,交易處理資料__3[[#This Row],[售出工時]]/交易處理資料__3[[#This Row],[上班時間]])</f>
        <v>0</v>
      </c>
      <c r="O1554" s="31" t="str">
        <f>IF(交易處理資料__3[[#This Row],[上班時間]]=0,"否","是")</f>
        <v>否</v>
      </c>
    </row>
    <row r="1555" spans="1:15" hidden="1">
      <c r="A1555" s="10" t="s">
        <v>73</v>
      </c>
      <c r="B1555" t="s">
        <v>4</v>
      </c>
      <c r="C1555">
        <v>0</v>
      </c>
      <c r="D1555">
        <v>0</v>
      </c>
      <c r="E1555" s="27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 s="9">
        <v>45332</v>
      </c>
      <c r="L1555">
        <f xml:space="preserve"> (交易處理資料__3[[#This Row],[售出工時]] * 60) / 5</f>
        <v>0</v>
      </c>
      <c r="M1555" t="str">
        <f>VLOOKUP(交易處理資料__3[[#This Row],[人員代號]],團隊分組!$B$1:$C$52,2,FALSE)</f>
        <v>噴漆維修組</v>
      </c>
      <c r="N1555">
        <f>IF(交易處理資料__3[[#This Row],[上班時間]]=0,0,交易處理資料__3[[#This Row],[售出工時]]/交易處理資料__3[[#This Row],[上班時間]])</f>
        <v>0</v>
      </c>
      <c r="O1555" s="31" t="str">
        <f>IF(交易處理資料__3[[#This Row],[上班時間]]=0,"否","是")</f>
        <v>否</v>
      </c>
    </row>
    <row r="1556" spans="1:15" hidden="1">
      <c r="A1556" s="10" t="s">
        <v>73</v>
      </c>
      <c r="B1556" t="s">
        <v>5</v>
      </c>
      <c r="C1556">
        <v>0</v>
      </c>
      <c r="D1556">
        <v>0</v>
      </c>
      <c r="E1556" s="27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 s="9">
        <v>45332</v>
      </c>
      <c r="L1556">
        <f xml:space="preserve"> (交易處理資料__3[[#This Row],[售出工時]] * 60) / 5</f>
        <v>0</v>
      </c>
      <c r="M1556" t="str">
        <f>VLOOKUP(交易處理資料__3[[#This Row],[人員代號]],團隊分組!$B$1:$C$52,2,FALSE)</f>
        <v>噴漆維修組</v>
      </c>
      <c r="N1556">
        <f>IF(交易處理資料__3[[#This Row],[上班時間]]=0,0,交易處理資料__3[[#This Row],[售出工時]]/交易處理資料__3[[#This Row],[上班時間]])</f>
        <v>0</v>
      </c>
      <c r="O1556" s="31" t="str">
        <f>IF(交易處理資料__3[[#This Row],[上班時間]]=0,"否","是")</f>
        <v>否</v>
      </c>
    </row>
    <row r="1557" spans="1:15" hidden="1">
      <c r="A1557" s="10" t="s">
        <v>73</v>
      </c>
      <c r="B1557" t="s">
        <v>6</v>
      </c>
      <c r="C1557">
        <v>0</v>
      </c>
      <c r="D1557">
        <v>0</v>
      </c>
      <c r="E1557" s="2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 s="9">
        <v>45332</v>
      </c>
      <c r="L1557">
        <f xml:space="preserve"> (交易處理資料__3[[#This Row],[售出工時]] * 60) / 5</f>
        <v>0</v>
      </c>
      <c r="M1557" t="str">
        <f>VLOOKUP(交易處理資料__3[[#This Row],[人員代號]],團隊分組!$B$1:$C$52,2,FALSE)</f>
        <v>噴漆維修組</v>
      </c>
      <c r="N1557">
        <f>IF(交易處理資料__3[[#This Row],[上班時間]]=0,0,交易處理資料__3[[#This Row],[售出工時]]/交易處理資料__3[[#This Row],[上班時間]])</f>
        <v>0</v>
      </c>
      <c r="O1557" s="31" t="str">
        <f>IF(交易處理資料__3[[#This Row],[上班時間]]=0,"否","是")</f>
        <v>否</v>
      </c>
    </row>
    <row r="1558" spans="1:15" hidden="1">
      <c r="A1558" s="10" t="s">
        <v>73</v>
      </c>
      <c r="B1558" t="s">
        <v>7</v>
      </c>
      <c r="C1558">
        <v>0</v>
      </c>
      <c r="D1558">
        <v>0</v>
      </c>
      <c r="E1558" s="27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 s="9">
        <v>45332</v>
      </c>
      <c r="L1558">
        <f xml:space="preserve"> (交易處理資料__3[[#This Row],[售出工時]] * 60) / 5</f>
        <v>0</v>
      </c>
      <c r="M1558" t="str">
        <f>VLOOKUP(交易處理資料__3[[#This Row],[人員代號]],團隊分組!$B$1:$C$52,2,FALSE)</f>
        <v>噴漆維修組</v>
      </c>
      <c r="N1558">
        <f>IF(交易處理資料__3[[#This Row],[上班時間]]=0,0,交易處理資料__3[[#This Row],[售出工時]]/交易處理資料__3[[#This Row],[上班時間]])</f>
        <v>0</v>
      </c>
      <c r="O1558" s="31" t="str">
        <f>IF(交易處理資料__3[[#This Row],[上班時間]]=0,"否","是")</f>
        <v>否</v>
      </c>
    </row>
    <row r="1559" spans="1:15" hidden="1">
      <c r="A1559" s="10" t="s">
        <v>73</v>
      </c>
      <c r="B1559" t="s">
        <v>8</v>
      </c>
      <c r="C1559">
        <v>0</v>
      </c>
      <c r="D1559">
        <v>0</v>
      </c>
      <c r="E1559" s="27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 s="9">
        <v>45332</v>
      </c>
      <c r="L1559">
        <f xml:space="preserve"> (交易處理資料__3[[#This Row],[售出工時]] * 60) / 5</f>
        <v>0</v>
      </c>
      <c r="M1559" t="str">
        <f>VLOOKUP(交易處理資料__3[[#This Row],[人員代號]],團隊分組!$B$1:$C$52,2,FALSE)</f>
        <v>噴漆維修組</v>
      </c>
      <c r="N1559">
        <f>IF(交易處理資料__3[[#This Row],[上班時間]]=0,0,交易處理資料__3[[#This Row],[售出工時]]/交易處理資料__3[[#This Row],[上班時間]])</f>
        <v>0</v>
      </c>
      <c r="O1559" s="31" t="str">
        <f>IF(交易處理資料__3[[#This Row],[上班時間]]=0,"否","是")</f>
        <v>否</v>
      </c>
    </row>
    <row r="1560" spans="1:15" hidden="1">
      <c r="A1560" s="10" t="s">
        <v>73</v>
      </c>
      <c r="B1560" t="s">
        <v>9</v>
      </c>
      <c r="C1560">
        <v>0</v>
      </c>
      <c r="D1560">
        <v>0</v>
      </c>
      <c r="E1560" s="27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 s="9">
        <v>45332</v>
      </c>
      <c r="L1560">
        <f xml:space="preserve"> (交易處理資料__3[[#This Row],[售出工時]] * 60) / 5</f>
        <v>0</v>
      </c>
      <c r="M1560" t="str">
        <f>VLOOKUP(交易處理資料__3[[#This Row],[人員代號]],團隊分組!$B$1:$C$52,2,FALSE)</f>
        <v>噴漆維修組</v>
      </c>
      <c r="N1560">
        <f>IF(交易處理資料__3[[#This Row],[上班時間]]=0,0,交易處理資料__3[[#This Row],[售出工時]]/交易處理資料__3[[#This Row],[上班時間]])</f>
        <v>0</v>
      </c>
      <c r="O1560" s="31" t="str">
        <f>IF(交易處理資料__3[[#This Row],[上班時間]]=0,"否","是")</f>
        <v>否</v>
      </c>
    </row>
    <row r="1561" spans="1:15" hidden="1">
      <c r="A1561" t="s">
        <v>74</v>
      </c>
      <c r="B1561" t="s">
        <v>11</v>
      </c>
      <c r="C1561">
        <v>0</v>
      </c>
      <c r="D1561">
        <v>0</v>
      </c>
      <c r="E1561" s="27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 s="9">
        <v>45332</v>
      </c>
      <c r="L1561">
        <f xml:space="preserve"> (交易處理資料__3[[#This Row],[售出工時]] * 60) / 5</f>
        <v>0</v>
      </c>
      <c r="M1561" t="str">
        <f>VLOOKUP(交易處理資料__3[[#This Row],[人員代號]],團隊分組!$B$1:$C$52,2,FALSE)</f>
        <v>鈑金維修組</v>
      </c>
      <c r="N1561">
        <f>IF(交易處理資料__3[[#This Row],[上班時間]]=0,0,交易處理資料__3[[#This Row],[售出工時]]/交易處理資料__3[[#This Row],[上班時間]])</f>
        <v>0</v>
      </c>
      <c r="O1561" s="31" t="str">
        <f>IF(交易處理資料__3[[#This Row],[上班時間]]=0,"否","是")</f>
        <v>否</v>
      </c>
    </row>
    <row r="1562" spans="1:15" hidden="1">
      <c r="A1562" t="s">
        <v>74</v>
      </c>
      <c r="B1562" t="s">
        <v>12</v>
      </c>
      <c r="C1562">
        <v>0</v>
      </c>
      <c r="D1562">
        <v>0</v>
      </c>
      <c r="E1562" s="27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 s="9">
        <v>45332</v>
      </c>
      <c r="L1562">
        <f xml:space="preserve"> (交易處理資料__3[[#This Row],[售出工時]] * 60) / 5</f>
        <v>0</v>
      </c>
      <c r="M1562" t="str">
        <f>VLOOKUP(交易處理資料__3[[#This Row],[人員代號]],團隊分組!$B$1:$C$52,2,FALSE)</f>
        <v>鈑金維修組</v>
      </c>
      <c r="N1562">
        <f>IF(交易處理資料__3[[#This Row],[上班時間]]=0,0,交易處理資料__3[[#This Row],[售出工時]]/交易處理資料__3[[#This Row],[上班時間]])</f>
        <v>0</v>
      </c>
      <c r="O1562" s="31" t="str">
        <f>IF(交易處理資料__3[[#This Row],[上班時間]]=0,"否","是")</f>
        <v>否</v>
      </c>
    </row>
    <row r="1563" spans="1:15" hidden="1">
      <c r="A1563" t="s">
        <v>74</v>
      </c>
      <c r="B1563" t="s">
        <v>13</v>
      </c>
      <c r="C1563">
        <v>0</v>
      </c>
      <c r="D1563">
        <v>0</v>
      </c>
      <c r="E1563" s="27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 s="9">
        <v>45332</v>
      </c>
      <c r="L1563">
        <f xml:space="preserve"> (交易處理資料__3[[#This Row],[售出工時]] * 60) / 5</f>
        <v>0</v>
      </c>
      <c r="M1563" t="str">
        <f>VLOOKUP(交易處理資料__3[[#This Row],[人員代號]],團隊分組!$B$1:$C$52,2,FALSE)</f>
        <v>鈑金維修組</v>
      </c>
      <c r="N1563">
        <f>IF(交易處理資料__3[[#This Row],[上班時間]]=0,0,交易處理資料__3[[#This Row],[售出工時]]/交易處理資料__3[[#This Row],[上班時間]])</f>
        <v>0</v>
      </c>
      <c r="O1563" s="31" t="str">
        <f>IF(交易處理資料__3[[#This Row],[上班時間]]=0,"否","是")</f>
        <v>否</v>
      </c>
    </row>
    <row r="1564" spans="1:15" hidden="1">
      <c r="A1564" t="s">
        <v>74</v>
      </c>
      <c r="B1564" t="s">
        <v>14</v>
      </c>
      <c r="C1564">
        <v>0</v>
      </c>
      <c r="D1564">
        <v>0</v>
      </c>
      <c r="E1564" s="27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 s="9">
        <v>45332</v>
      </c>
      <c r="L1564">
        <f xml:space="preserve"> (交易處理資料__3[[#This Row],[售出工時]] * 60) / 5</f>
        <v>0</v>
      </c>
      <c r="M1564" t="str">
        <f>VLOOKUP(交易處理資料__3[[#This Row],[人員代號]],團隊分組!$B$1:$C$52,2,FALSE)</f>
        <v>鈑金維修組</v>
      </c>
      <c r="N1564">
        <f>IF(交易處理資料__3[[#This Row],[上班時間]]=0,0,交易處理資料__3[[#This Row],[售出工時]]/交易處理資料__3[[#This Row],[上班時間]])</f>
        <v>0</v>
      </c>
      <c r="O1564" s="31" t="str">
        <f>IF(交易處理資料__3[[#This Row],[上班時間]]=0,"否","是")</f>
        <v>否</v>
      </c>
    </row>
    <row r="1565" spans="1:15" hidden="1">
      <c r="A1565" t="s">
        <v>74</v>
      </c>
      <c r="B1565" t="s">
        <v>15</v>
      </c>
      <c r="C1565">
        <v>0</v>
      </c>
      <c r="D1565">
        <v>0</v>
      </c>
      <c r="E1565" s="27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 s="9">
        <v>45332</v>
      </c>
      <c r="L1565">
        <f xml:space="preserve"> (交易處理資料__3[[#This Row],[售出工時]] * 60) / 5</f>
        <v>0</v>
      </c>
      <c r="M1565" t="str">
        <f>VLOOKUP(交易處理資料__3[[#This Row],[人員代號]],團隊分組!$B$1:$C$52,2,FALSE)</f>
        <v>鈑金維修組</v>
      </c>
      <c r="N1565">
        <f>IF(交易處理資料__3[[#This Row],[上班時間]]=0,0,交易處理資料__3[[#This Row],[售出工時]]/交易處理資料__3[[#This Row],[上班時間]])</f>
        <v>0</v>
      </c>
      <c r="O1565" s="31" t="str">
        <f>IF(交易處理資料__3[[#This Row],[上班時間]]=0,"否","是")</f>
        <v>否</v>
      </c>
    </row>
    <row r="1566" spans="1:15" hidden="1">
      <c r="A1566" t="s">
        <v>75</v>
      </c>
      <c r="B1566" t="s">
        <v>17</v>
      </c>
      <c r="C1566">
        <v>0</v>
      </c>
      <c r="D1566">
        <v>0</v>
      </c>
      <c r="E1566" s="27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 s="9">
        <v>45332</v>
      </c>
      <c r="L1566">
        <f xml:space="preserve"> (交易處理資料__3[[#This Row],[售出工時]] * 60) / 5</f>
        <v>0</v>
      </c>
      <c r="M1566" t="str">
        <f>VLOOKUP(交易處理資料__3[[#This Row],[人員代號]],團隊分組!$B$1:$C$52,2,FALSE)</f>
        <v>快速保養團隊A</v>
      </c>
      <c r="N1566">
        <f>IF(交易處理資料__3[[#This Row],[上班時間]]=0,0,交易處理資料__3[[#This Row],[售出工時]]/交易處理資料__3[[#This Row],[上班時間]])</f>
        <v>0</v>
      </c>
      <c r="O1566" s="31" t="str">
        <f>IF(交易處理資料__3[[#This Row],[上班時間]]=0,"否","是")</f>
        <v>否</v>
      </c>
    </row>
    <row r="1567" spans="1:15" hidden="1">
      <c r="A1567" t="s">
        <v>75</v>
      </c>
      <c r="B1567" t="s">
        <v>18</v>
      </c>
      <c r="C1567">
        <v>0</v>
      </c>
      <c r="D1567">
        <v>0</v>
      </c>
      <c r="E1567" s="2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 s="9">
        <v>45332</v>
      </c>
      <c r="L1567">
        <f xml:space="preserve"> (交易處理資料__3[[#This Row],[售出工時]] * 60) / 5</f>
        <v>0</v>
      </c>
      <c r="M1567" t="str">
        <f>VLOOKUP(交易處理資料__3[[#This Row],[人員代號]],團隊分組!$B$1:$C$52,2,FALSE)</f>
        <v>查修團隊B</v>
      </c>
      <c r="N1567">
        <f>IF(交易處理資料__3[[#This Row],[上班時間]]=0,0,交易處理資料__3[[#This Row],[售出工時]]/交易處理資料__3[[#This Row],[上班時間]])</f>
        <v>0</v>
      </c>
      <c r="O1567" s="31" t="str">
        <f>IF(交易處理資料__3[[#This Row],[上班時間]]=0,"否","是")</f>
        <v>否</v>
      </c>
    </row>
    <row r="1568" spans="1:15" hidden="1">
      <c r="A1568" t="s">
        <v>75</v>
      </c>
      <c r="B1568" t="s">
        <v>19</v>
      </c>
      <c r="C1568">
        <v>0</v>
      </c>
      <c r="D1568">
        <v>0</v>
      </c>
      <c r="E1568" s="27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 s="9">
        <v>45332</v>
      </c>
      <c r="L1568">
        <f xml:space="preserve"> (交易處理資料__3[[#This Row],[售出工時]] * 60) / 5</f>
        <v>0</v>
      </c>
      <c r="M1568" t="str">
        <f>VLOOKUP(交易處理資料__3[[#This Row],[人員代號]],團隊分組!$B$1:$C$52,2,FALSE)</f>
        <v>查修團隊A</v>
      </c>
      <c r="N1568">
        <f>IF(交易處理資料__3[[#This Row],[上班時間]]=0,0,交易處理資料__3[[#This Row],[售出工時]]/交易處理資料__3[[#This Row],[上班時間]])</f>
        <v>0</v>
      </c>
      <c r="O1568" s="31" t="str">
        <f>IF(交易處理資料__3[[#This Row],[上班時間]]=0,"否","是")</f>
        <v>否</v>
      </c>
    </row>
    <row r="1569" spans="1:15" hidden="1">
      <c r="A1569" t="s">
        <v>75</v>
      </c>
      <c r="B1569" t="s">
        <v>20</v>
      </c>
      <c r="C1569">
        <v>0</v>
      </c>
      <c r="D1569">
        <v>0</v>
      </c>
      <c r="E1569" s="27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 s="9">
        <v>45332</v>
      </c>
      <c r="L1569">
        <f xml:space="preserve"> (交易處理資料__3[[#This Row],[售出工時]] * 60) / 5</f>
        <v>0</v>
      </c>
      <c r="M1569" t="str">
        <f>VLOOKUP(交易處理資料__3[[#This Row],[人員代號]],團隊分組!$B$1:$C$52,2,FALSE)</f>
        <v>查修團隊B</v>
      </c>
      <c r="N1569">
        <f>IF(交易處理資料__3[[#This Row],[上班時間]]=0,0,交易處理資料__3[[#This Row],[售出工時]]/交易處理資料__3[[#This Row],[上班時間]])</f>
        <v>0</v>
      </c>
      <c r="O1569" s="31" t="str">
        <f>IF(交易處理資料__3[[#This Row],[上班時間]]=0,"否","是")</f>
        <v>否</v>
      </c>
    </row>
    <row r="1570" spans="1:15" hidden="1">
      <c r="A1570" t="s">
        <v>75</v>
      </c>
      <c r="B1570" t="s">
        <v>21</v>
      </c>
      <c r="C1570">
        <v>0</v>
      </c>
      <c r="D1570">
        <v>0</v>
      </c>
      <c r="E1570" s="27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 s="9">
        <v>45332</v>
      </c>
      <c r="L1570">
        <f xml:space="preserve"> (交易處理資料__3[[#This Row],[售出工時]] * 60) / 5</f>
        <v>0</v>
      </c>
      <c r="M1570" t="str">
        <f>VLOOKUP(交易處理資料__3[[#This Row],[人員代號]],團隊分組!$B$1:$C$52,2,FALSE)</f>
        <v>查修團隊B</v>
      </c>
      <c r="N1570">
        <f>IF(交易處理資料__3[[#This Row],[上班時間]]=0,0,交易處理資料__3[[#This Row],[售出工時]]/交易處理資料__3[[#This Row],[上班時間]])</f>
        <v>0</v>
      </c>
      <c r="O1570" s="31" t="str">
        <f>IF(交易處理資料__3[[#This Row],[上班時間]]=0,"否","是")</f>
        <v>否</v>
      </c>
    </row>
    <row r="1571" spans="1:15" hidden="1">
      <c r="A1571" t="s">
        <v>75</v>
      </c>
      <c r="B1571" t="s">
        <v>22</v>
      </c>
      <c r="C1571">
        <v>0</v>
      </c>
      <c r="D1571">
        <v>0</v>
      </c>
      <c r="E1571" s="27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 s="9">
        <v>45332</v>
      </c>
      <c r="L1571">
        <f xml:space="preserve"> (交易處理資料__3[[#This Row],[售出工時]] * 60) / 5</f>
        <v>0</v>
      </c>
      <c r="M1571" t="str">
        <f>VLOOKUP(交易處理資料__3[[#This Row],[人員代號]],團隊分組!$B$1:$C$52,2,FALSE)</f>
        <v>快速保養團隊A</v>
      </c>
      <c r="N1571">
        <f>IF(交易處理資料__3[[#This Row],[上班時間]]=0,0,交易處理資料__3[[#This Row],[售出工時]]/交易處理資料__3[[#This Row],[上班時間]])</f>
        <v>0</v>
      </c>
      <c r="O1571" s="31" t="str">
        <f>IF(交易處理資料__3[[#This Row],[上班時間]]=0,"否","是")</f>
        <v>否</v>
      </c>
    </row>
    <row r="1572" spans="1:15" hidden="1">
      <c r="A1572" t="s">
        <v>75</v>
      </c>
      <c r="B1572" t="s">
        <v>23</v>
      </c>
      <c r="C1572">
        <v>0</v>
      </c>
      <c r="D1572">
        <v>0</v>
      </c>
      <c r="E1572" s="27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 s="9">
        <v>45332</v>
      </c>
      <c r="L1572">
        <f xml:space="preserve"> (交易處理資料__3[[#This Row],[售出工時]] * 60) / 5</f>
        <v>0</v>
      </c>
      <c r="M1572" t="str">
        <f>VLOOKUP(交易處理資料__3[[#This Row],[人員代號]],團隊分組!$B$1:$C$52,2,FALSE)</f>
        <v>快速保養團隊B</v>
      </c>
      <c r="N1572">
        <f>IF(交易處理資料__3[[#This Row],[上班時間]]=0,0,交易處理資料__3[[#This Row],[售出工時]]/交易處理資料__3[[#This Row],[上班時間]])</f>
        <v>0</v>
      </c>
      <c r="O1572" s="31" t="str">
        <f>IF(交易處理資料__3[[#This Row],[上班時間]]=0,"否","是")</f>
        <v>否</v>
      </c>
    </row>
    <row r="1573" spans="1:15" hidden="1">
      <c r="A1573" t="s">
        <v>75</v>
      </c>
      <c r="B1573" t="s">
        <v>24</v>
      </c>
      <c r="C1573">
        <v>0</v>
      </c>
      <c r="D1573">
        <v>0</v>
      </c>
      <c r="E1573" s="27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 s="9">
        <v>45332</v>
      </c>
      <c r="L1573">
        <f xml:space="preserve"> (交易處理資料__3[[#This Row],[售出工時]] * 60) / 5</f>
        <v>0</v>
      </c>
      <c r="M1573" t="str">
        <f>VLOOKUP(交易處理資料__3[[#This Row],[人員代號]],團隊分組!$B$1:$C$52,2,FALSE)</f>
        <v>快速保養團隊A</v>
      </c>
      <c r="N1573">
        <f>IF(交易處理資料__3[[#This Row],[上班時間]]=0,0,交易處理資料__3[[#This Row],[售出工時]]/交易處理資料__3[[#This Row],[上班時間]])</f>
        <v>0</v>
      </c>
      <c r="O1573" s="31" t="str">
        <f>IF(交易處理資料__3[[#This Row],[上班時間]]=0,"否","是")</f>
        <v>否</v>
      </c>
    </row>
    <row r="1574" spans="1:15" hidden="1">
      <c r="A1574" t="s">
        <v>75</v>
      </c>
      <c r="B1574" t="s">
        <v>25</v>
      </c>
      <c r="C1574">
        <v>0</v>
      </c>
      <c r="D1574">
        <v>0</v>
      </c>
      <c r="E1574" s="27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 s="9">
        <v>45332</v>
      </c>
      <c r="L1574">
        <f xml:space="preserve"> (交易處理資料__3[[#This Row],[售出工時]] * 60) / 5</f>
        <v>0</v>
      </c>
      <c r="M1574" t="str">
        <f>VLOOKUP(交易處理資料__3[[#This Row],[人員代號]],團隊分組!$B$1:$C$52,2,FALSE)</f>
        <v>查修團隊A</v>
      </c>
      <c r="N1574">
        <f>IF(交易處理資料__3[[#This Row],[上班時間]]=0,0,交易處理資料__3[[#This Row],[售出工時]]/交易處理資料__3[[#This Row],[上班時間]])</f>
        <v>0</v>
      </c>
      <c r="O1574" s="31" t="str">
        <f>IF(交易處理資料__3[[#This Row],[上班時間]]=0,"否","是")</f>
        <v>否</v>
      </c>
    </row>
    <row r="1575" spans="1:15" hidden="1">
      <c r="A1575" t="s">
        <v>75</v>
      </c>
      <c r="B1575" t="s">
        <v>26</v>
      </c>
      <c r="C1575">
        <v>0</v>
      </c>
      <c r="D1575">
        <v>0</v>
      </c>
      <c r="E1575" s="27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 s="9">
        <v>45332</v>
      </c>
      <c r="L1575">
        <f xml:space="preserve"> (交易處理資料__3[[#This Row],[售出工時]] * 60) / 5</f>
        <v>0</v>
      </c>
      <c r="M1575" t="str">
        <f>VLOOKUP(交易處理資料__3[[#This Row],[人員代號]],團隊分組!$B$1:$C$52,2,FALSE)</f>
        <v>查修團隊B</v>
      </c>
      <c r="N1575">
        <f>IF(交易處理資料__3[[#This Row],[上班時間]]=0,0,交易處理資料__3[[#This Row],[售出工時]]/交易處理資料__3[[#This Row],[上班時間]])</f>
        <v>0</v>
      </c>
      <c r="O1575" s="31" t="str">
        <f>IF(交易處理資料__3[[#This Row],[上班時間]]=0,"否","是")</f>
        <v>否</v>
      </c>
    </row>
    <row r="1576" spans="1:15" hidden="1">
      <c r="A1576" t="s">
        <v>75</v>
      </c>
      <c r="B1576" t="s">
        <v>27</v>
      </c>
      <c r="C1576">
        <v>0</v>
      </c>
      <c r="D1576">
        <v>0</v>
      </c>
      <c r="E1576" s="27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 s="9">
        <v>45332</v>
      </c>
      <c r="L1576">
        <f xml:space="preserve"> (交易處理資料__3[[#This Row],[售出工時]] * 60) / 5</f>
        <v>0</v>
      </c>
      <c r="M1576" t="str">
        <f>VLOOKUP(交易處理資料__3[[#This Row],[人員代號]],團隊分組!$B$1:$C$52,2,FALSE)</f>
        <v>快速保養團隊B</v>
      </c>
      <c r="N1576">
        <f>IF(交易處理資料__3[[#This Row],[上班時間]]=0,0,交易處理資料__3[[#This Row],[售出工時]]/交易處理資料__3[[#This Row],[上班時間]])</f>
        <v>0</v>
      </c>
      <c r="O1576" s="31" t="str">
        <f>IF(交易處理資料__3[[#This Row],[上班時間]]=0,"否","是")</f>
        <v>否</v>
      </c>
    </row>
    <row r="1577" spans="1:15" hidden="1">
      <c r="A1577" t="s">
        <v>75</v>
      </c>
      <c r="B1577" t="s">
        <v>28</v>
      </c>
      <c r="C1577">
        <v>0</v>
      </c>
      <c r="D1577">
        <v>0</v>
      </c>
      <c r="E1577" s="2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 s="9">
        <v>45332</v>
      </c>
      <c r="L1577">
        <f xml:space="preserve"> (交易處理資料__3[[#This Row],[售出工時]] * 60) / 5</f>
        <v>0</v>
      </c>
      <c r="M1577" t="str">
        <f>VLOOKUP(交易處理資料__3[[#This Row],[人員代號]],團隊分組!$B$1:$C$52,2,FALSE)</f>
        <v>快速保養團隊A</v>
      </c>
      <c r="N1577">
        <f>IF(交易處理資料__3[[#This Row],[上班時間]]=0,0,交易處理資料__3[[#This Row],[售出工時]]/交易處理資料__3[[#This Row],[上班時間]])</f>
        <v>0</v>
      </c>
      <c r="O1577" s="31" t="str">
        <f>IF(交易處理資料__3[[#This Row],[上班時間]]=0,"否","是")</f>
        <v>否</v>
      </c>
    </row>
    <row r="1578" spans="1:15" hidden="1">
      <c r="A1578" t="s">
        <v>75</v>
      </c>
      <c r="B1578" t="s">
        <v>29</v>
      </c>
      <c r="C1578">
        <v>0</v>
      </c>
      <c r="D1578">
        <v>0</v>
      </c>
      <c r="E1578" s="27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 s="9">
        <v>45332</v>
      </c>
      <c r="L1578">
        <f xml:space="preserve"> (交易處理資料__3[[#This Row],[售出工時]] * 60) / 5</f>
        <v>0</v>
      </c>
      <c r="M1578" t="str">
        <f>VLOOKUP(交易處理資料__3[[#This Row],[人員代號]],團隊分組!$B$1:$C$52,2,FALSE)</f>
        <v>查修團隊B</v>
      </c>
      <c r="N1578">
        <f>IF(交易處理資料__3[[#This Row],[上班時間]]=0,0,交易處理資料__3[[#This Row],[售出工時]]/交易處理資料__3[[#This Row],[上班時間]])</f>
        <v>0</v>
      </c>
      <c r="O1578" s="31" t="str">
        <f>IF(交易處理資料__3[[#This Row],[上班時間]]=0,"否","是")</f>
        <v>否</v>
      </c>
    </row>
    <row r="1579" spans="1:15" hidden="1">
      <c r="A1579" t="s">
        <v>75</v>
      </c>
      <c r="B1579" t="s">
        <v>30</v>
      </c>
      <c r="C1579">
        <v>0</v>
      </c>
      <c r="D1579">
        <v>0</v>
      </c>
      <c r="E1579" s="27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 s="9">
        <v>45332</v>
      </c>
      <c r="L1579">
        <f xml:space="preserve"> (交易處理資料__3[[#This Row],[售出工時]] * 60) / 5</f>
        <v>0</v>
      </c>
      <c r="M1579" t="str">
        <f>VLOOKUP(交易處理資料__3[[#This Row],[人員代號]],團隊分組!$B$1:$C$52,2,FALSE)</f>
        <v>快速保養團隊B</v>
      </c>
      <c r="N1579">
        <f>IF(交易處理資料__3[[#This Row],[上班時間]]=0,0,交易處理資料__3[[#This Row],[售出工時]]/交易處理資料__3[[#This Row],[上班時間]])</f>
        <v>0</v>
      </c>
      <c r="O1579" s="31" t="str">
        <f>IF(交易處理資料__3[[#This Row],[上班時間]]=0,"否","是")</f>
        <v>否</v>
      </c>
    </row>
    <row r="1580" spans="1:15" hidden="1">
      <c r="A1580" t="s">
        <v>75</v>
      </c>
      <c r="B1580" t="s">
        <v>32</v>
      </c>
      <c r="C1580">
        <v>0</v>
      </c>
      <c r="D1580">
        <v>0</v>
      </c>
      <c r="E1580" s="27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 s="9">
        <v>45332</v>
      </c>
      <c r="L1580">
        <f xml:space="preserve"> (交易處理資料__3[[#This Row],[售出工時]] * 60) / 5</f>
        <v>0</v>
      </c>
      <c r="M1580" t="str">
        <f>VLOOKUP(交易處理資料__3[[#This Row],[人員代號]],團隊分組!$B$1:$C$52,2,FALSE)</f>
        <v>快速保養團隊B</v>
      </c>
      <c r="N1580">
        <f>IF(交易處理資料__3[[#This Row],[上班時間]]=0,0,交易處理資料__3[[#This Row],[售出工時]]/交易處理資料__3[[#This Row],[上班時間]])</f>
        <v>0</v>
      </c>
      <c r="O1580" s="31" t="str">
        <f>IF(交易處理資料__3[[#This Row],[上班時間]]=0,"否","是")</f>
        <v>否</v>
      </c>
    </row>
    <row r="1581" spans="1:15">
      <c r="A1581" t="s">
        <v>75</v>
      </c>
      <c r="B1581" t="s">
        <v>33</v>
      </c>
      <c r="C1581">
        <v>0</v>
      </c>
      <c r="D1581">
        <v>0</v>
      </c>
      <c r="E1581" s="27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 s="9">
        <v>45332</v>
      </c>
      <c r="L1581">
        <f xml:space="preserve"> (交易處理資料__3[[#This Row],[售出工時]] * 60) / 5</f>
        <v>0</v>
      </c>
      <c r="M1581" t="str">
        <f>VLOOKUP(交易處理資料__3[[#This Row],[人員代號]],團隊分組!$B$1:$C$52,2,FALSE)</f>
        <v>快速保養團隊B</v>
      </c>
      <c r="N1581">
        <f>IF(交易處理資料__3[[#This Row],[上班時間]]=0,0,交易處理資料__3[[#This Row],[售出工時]]/交易處理資料__3[[#This Row],[上班時間]])</f>
        <v>0</v>
      </c>
      <c r="O1581" s="31" t="str">
        <f>IF(交易處理資料__3[[#This Row],[上班時間]]=0,"否","是")</f>
        <v>否</v>
      </c>
    </row>
    <row r="1582" spans="1:15" hidden="1">
      <c r="A1582" t="s">
        <v>75</v>
      </c>
      <c r="B1582" t="s">
        <v>34</v>
      </c>
      <c r="C1582">
        <v>0</v>
      </c>
      <c r="D1582">
        <v>0</v>
      </c>
      <c r="E1582" s="27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 s="9">
        <v>45332</v>
      </c>
      <c r="L1582">
        <f xml:space="preserve"> (交易處理資料__3[[#This Row],[售出工時]] * 60) / 5</f>
        <v>0</v>
      </c>
      <c r="M1582" t="str">
        <f>VLOOKUP(交易處理資料__3[[#This Row],[人員代號]],團隊分組!$B$1:$C$52,2,FALSE)</f>
        <v>快速保養團隊A</v>
      </c>
      <c r="N1582">
        <f>IF(交易處理資料__3[[#This Row],[上班時間]]=0,0,交易處理資料__3[[#This Row],[售出工時]]/交易處理資料__3[[#This Row],[上班時間]])</f>
        <v>0</v>
      </c>
      <c r="O1582" s="31" t="str">
        <f>IF(交易處理資料__3[[#This Row],[上班時間]]=0,"否","是")</f>
        <v>否</v>
      </c>
    </row>
    <row r="1583" spans="1:15" hidden="1">
      <c r="A1583" t="s">
        <v>75</v>
      </c>
      <c r="B1583" t="s">
        <v>35</v>
      </c>
      <c r="C1583">
        <v>0</v>
      </c>
      <c r="D1583">
        <v>0</v>
      </c>
      <c r="E1583" s="27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 s="9">
        <v>45332</v>
      </c>
      <c r="L1583">
        <f xml:space="preserve"> (交易處理資料__3[[#This Row],[售出工時]] * 60) / 5</f>
        <v>0</v>
      </c>
      <c r="M1583" t="str">
        <f>VLOOKUP(交易處理資料__3[[#This Row],[人員代號]],團隊分組!$B$1:$C$52,2,FALSE)</f>
        <v>查修團隊B</v>
      </c>
      <c r="N1583">
        <f>IF(交易處理資料__3[[#This Row],[上班時間]]=0,0,交易處理資料__3[[#This Row],[售出工時]]/交易處理資料__3[[#This Row],[上班時間]])</f>
        <v>0</v>
      </c>
      <c r="O1583" s="31" t="str">
        <f>IF(交易處理資料__3[[#This Row],[上班時間]]=0,"否","是")</f>
        <v>否</v>
      </c>
    </row>
    <row r="1584" spans="1:15" hidden="1">
      <c r="A1584" t="s">
        <v>75</v>
      </c>
      <c r="B1584" t="s">
        <v>36</v>
      </c>
      <c r="C1584">
        <v>0</v>
      </c>
      <c r="D1584">
        <v>0</v>
      </c>
      <c r="E1584" s="27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 s="9">
        <v>45332</v>
      </c>
      <c r="L1584">
        <f xml:space="preserve"> (交易處理資料__3[[#This Row],[售出工時]] * 60) / 5</f>
        <v>0</v>
      </c>
      <c r="M1584" t="str">
        <f>VLOOKUP(交易處理資料__3[[#This Row],[人員代號]],團隊分組!$B$1:$C$52,2,FALSE)</f>
        <v>查修團隊B</v>
      </c>
      <c r="N1584">
        <f>IF(交易處理資料__3[[#This Row],[上班時間]]=0,0,交易處理資料__3[[#This Row],[售出工時]]/交易處理資料__3[[#This Row],[上班時間]])</f>
        <v>0</v>
      </c>
      <c r="O1584" s="31" t="str">
        <f>IF(交易處理資料__3[[#This Row],[上班時間]]=0,"否","是")</f>
        <v>否</v>
      </c>
    </row>
    <row r="1585" spans="1:15" hidden="1">
      <c r="A1585" t="s">
        <v>75</v>
      </c>
      <c r="B1585" t="s">
        <v>37</v>
      </c>
      <c r="C1585">
        <v>0</v>
      </c>
      <c r="D1585">
        <v>0</v>
      </c>
      <c r="E1585" s="27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 s="9">
        <v>45332</v>
      </c>
      <c r="L1585">
        <f xml:space="preserve"> (交易處理資料__3[[#This Row],[售出工時]] * 60) / 5</f>
        <v>0</v>
      </c>
      <c r="M1585" t="str">
        <f>VLOOKUP(交易處理資料__3[[#This Row],[人員代號]],團隊分組!$B$1:$C$52,2,FALSE)</f>
        <v>查修團隊A</v>
      </c>
      <c r="N1585">
        <f>IF(交易處理資料__3[[#This Row],[上班時間]]=0,0,交易處理資料__3[[#This Row],[售出工時]]/交易處理資料__3[[#This Row],[上班時間]])</f>
        <v>0</v>
      </c>
      <c r="O1585" s="31" t="str">
        <f>IF(交易處理資料__3[[#This Row],[上班時間]]=0,"否","是")</f>
        <v>否</v>
      </c>
    </row>
    <row r="1586" spans="1:15" hidden="1">
      <c r="A1586" t="s">
        <v>75</v>
      </c>
      <c r="B1586" t="s">
        <v>38</v>
      </c>
      <c r="C1586">
        <v>0</v>
      </c>
      <c r="D1586">
        <v>0</v>
      </c>
      <c r="E1586" s="27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 s="9">
        <v>45332</v>
      </c>
      <c r="L1586">
        <f xml:space="preserve"> (交易處理資料__3[[#This Row],[售出工時]] * 60) / 5</f>
        <v>0</v>
      </c>
      <c r="M1586" t="str">
        <f>VLOOKUP(交易處理資料__3[[#This Row],[人員代號]],團隊分組!$B$1:$C$52,2,FALSE)</f>
        <v>快速保養團隊A</v>
      </c>
      <c r="N1586">
        <f>IF(交易處理資料__3[[#This Row],[上班時間]]=0,0,交易處理資料__3[[#This Row],[售出工時]]/交易處理資料__3[[#This Row],[上班時間]])</f>
        <v>0</v>
      </c>
      <c r="O1586" s="31" t="str">
        <f>IF(交易處理資料__3[[#This Row],[上班時間]]=0,"否","是")</f>
        <v>否</v>
      </c>
    </row>
    <row r="1587" spans="1:15" hidden="1">
      <c r="A1587" t="s">
        <v>75</v>
      </c>
      <c r="B1587" t="s">
        <v>39</v>
      </c>
      <c r="C1587">
        <v>0</v>
      </c>
      <c r="D1587">
        <v>0</v>
      </c>
      <c r="E1587" s="2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 s="9">
        <v>45332</v>
      </c>
      <c r="L1587">
        <f xml:space="preserve"> (交易處理資料__3[[#This Row],[售出工時]] * 60) / 5</f>
        <v>0</v>
      </c>
      <c r="M1587" t="str">
        <f>VLOOKUP(交易處理資料__3[[#This Row],[人員代號]],團隊分組!$B$1:$C$52,2,FALSE)</f>
        <v>查修團隊A</v>
      </c>
      <c r="N1587">
        <f>IF(交易處理資料__3[[#This Row],[上班時間]]=0,0,交易處理資料__3[[#This Row],[售出工時]]/交易處理資料__3[[#This Row],[上班時間]])</f>
        <v>0</v>
      </c>
      <c r="O1587" s="31" t="str">
        <f>IF(交易處理資料__3[[#This Row],[上班時間]]=0,"否","是")</f>
        <v>否</v>
      </c>
    </row>
    <row r="1588" spans="1:15" hidden="1">
      <c r="A1588" t="s">
        <v>75</v>
      </c>
      <c r="B1588" t="s">
        <v>40</v>
      </c>
      <c r="C1588">
        <v>0</v>
      </c>
      <c r="D1588">
        <v>0</v>
      </c>
      <c r="E1588" s="27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 s="9">
        <v>45332</v>
      </c>
      <c r="L1588">
        <f xml:space="preserve"> (交易處理資料__3[[#This Row],[售出工時]] * 60) / 5</f>
        <v>0</v>
      </c>
      <c r="M1588" t="str">
        <f>VLOOKUP(交易處理資料__3[[#This Row],[人員代號]],團隊分組!$B$1:$C$52,2,FALSE)</f>
        <v>查修團隊A</v>
      </c>
      <c r="N1588">
        <f>IF(交易處理資料__3[[#This Row],[上班時間]]=0,0,交易處理資料__3[[#This Row],[售出工時]]/交易處理資料__3[[#This Row],[上班時間]])</f>
        <v>0</v>
      </c>
      <c r="O1588" s="31" t="str">
        <f>IF(交易處理資料__3[[#This Row],[上班時間]]=0,"否","是")</f>
        <v>否</v>
      </c>
    </row>
    <row r="1589" spans="1:15" hidden="1">
      <c r="A1589" t="s">
        <v>75</v>
      </c>
      <c r="B1589" t="s">
        <v>41</v>
      </c>
      <c r="C1589">
        <v>0</v>
      </c>
      <c r="D1589">
        <v>0</v>
      </c>
      <c r="E1589" s="27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 s="9">
        <v>45332</v>
      </c>
      <c r="L1589">
        <f xml:space="preserve"> (交易處理資料__3[[#This Row],[售出工時]] * 60) / 5</f>
        <v>0</v>
      </c>
      <c r="M1589" t="str">
        <f>VLOOKUP(交易處理資料__3[[#This Row],[人員代號]],團隊分組!$B$1:$C$52,2,FALSE)</f>
        <v>快速保養團隊A</v>
      </c>
      <c r="N1589">
        <f>IF(交易處理資料__3[[#This Row],[上班時間]]=0,0,交易處理資料__3[[#This Row],[售出工時]]/交易處理資料__3[[#This Row],[上班時間]])</f>
        <v>0</v>
      </c>
      <c r="O1589" s="31" t="str">
        <f>IF(交易處理資料__3[[#This Row],[上班時間]]=0,"否","是")</f>
        <v>否</v>
      </c>
    </row>
    <row r="1590" spans="1:15" hidden="1">
      <c r="A1590" t="s">
        <v>75</v>
      </c>
      <c r="B1590" t="s">
        <v>42</v>
      </c>
      <c r="C1590">
        <v>0</v>
      </c>
      <c r="D1590">
        <v>0</v>
      </c>
      <c r="E1590" s="27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 s="9">
        <v>45332</v>
      </c>
      <c r="L1590">
        <f xml:space="preserve"> (交易處理資料__3[[#This Row],[售出工時]] * 60) / 5</f>
        <v>0</v>
      </c>
      <c r="M1590" t="str">
        <f>VLOOKUP(交易處理資料__3[[#This Row],[人員代號]],團隊分組!$B$1:$C$52,2,FALSE)</f>
        <v>快速保養團隊A</v>
      </c>
      <c r="N1590">
        <f>IF(交易處理資料__3[[#This Row],[上班時間]]=0,0,交易處理資料__3[[#This Row],[售出工時]]/交易處理資料__3[[#This Row],[上班時間]])</f>
        <v>0</v>
      </c>
      <c r="O1590" s="31" t="str">
        <f>IF(交易處理資料__3[[#This Row],[上班時間]]=0,"否","是")</f>
        <v>否</v>
      </c>
    </row>
    <row r="1591" spans="1:15" hidden="1">
      <c r="A1591" t="s">
        <v>75</v>
      </c>
      <c r="B1591" t="s">
        <v>43</v>
      </c>
      <c r="C1591">
        <v>0</v>
      </c>
      <c r="D1591">
        <v>0</v>
      </c>
      <c r="E1591" s="27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 s="9">
        <v>45332</v>
      </c>
      <c r="L1591">
        <f xml:space="preserve"> (交易處理資料__3[[#This Row],[售出工時]] * 60) / 5</f>
        <v>0</v>
      </c>
      <c r="M1591" t="str">
        <f>VLOOKUP(交易處理資料__3[[#This Row],[人員代號]],團隊分組!$B$1:$C$52,2,FALSE)</f>
        <v>查修團隊B</v>
      </c>
      <c r="N1591">
        <f>IF(交易處理資料__3[[#This Row],[上班時間]]=0,0,交易處理資料__3[[#This Row],[售出工時]]/交易處理資料__3[[#This Row],[上班時間]])</f>
        <v>0</v>
      </c>
      <c r="O1591" s="31" t="str">
        <f>IF(交易處理資料__3[[#This Row],[上班時間]]=0,"否","是")</f>
        <v>否</v>
      </c>
    </row>
    <row r="1592" spans="1:15" hidden="1">
      <c r="A1592" t="s">
        <v>75</v>
      </c>
      <c r="B1592" t="s">
        <v>44</v>
      </c>
      <c r="C1592">
        <v>0</v>
      </c>
      <c r="D1592">
        <v>0</v>
      </c>
      <c r="E1592" s="27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 s="9">
        <v>45332</v>
      </c>
      <c r="L1592">
        <f xml:space="preserve"> (交易處理資料__3[[#This Row],[售出工時]] * 60) / 5</f>
        <v>0</v>
      </c>
      <c r="M1592" t="str">
        <f>VLOOKUP(交易處理資料__3[[#This Row],[人員代號]],團隊分組!$B$1:$C$52,2,FALSE)</f>
        <v>快速保養團隊B</v>
      </c>
      <c r="N1592">
        <f>IF(交易處理資料__3[[#This Row],[上班時間]]=0,0,交易處理資料__3[[#This Row],[售出工時]]/交易處理資料__3[[#This Row],[上班時間]])</f>
        <v>0</v>
      </c>
      <c r="O1592" s="31" t="str">
        <f>IF(交易處理資料__3[[#This Row],[上班時間]]=0,"否","是")</f>
        <v>否</v>
      </c>
    </row>
    <row r="1593" spans="1:15" hidden="1">
      <c r="A1593" t="s">
        <v>75</v>
      </c>
      <c r="B1593" t="s">
        <v>45</v>
      </c>
      <c r="C1593">
        <v>0</v>
      </c>
      <c r="D1593">
        <v>0</v>
      </c>
      <c r="E1593" s="27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 s="9">
        <v>45332</v>
      </c>
      <c r="L1593">
        <f xml:space="preserve"> (交易處理資料__3[[#This Row],[售出工時]] * 60) / 5</f>
        <v>0</v>
      </c>
      <c r="M1593" t="str">
        <f>VLOOKUP(交易處理資料__3[[#This Row],[人員代號]],團隊分組!$B$1:$C$52,2,FALSE)</f>
        <v>快速保養團隊A</v>
      </c>
      <c r="N1593">
        <f>IF(交易處理資料__3[[#This Row],[上班時間]]=0,0,交易處理資料__3[[#This Row],[售出工時]]/交易處理資料__3[[#This Row],[上班時間]])</f>
        <v>0</v>
      </c>
      <c r="O1593" s="31" t="str">
        <f>IF(交易處理資料__3[[#This Row],[上班時間]]=0,"否","是")</f>
        <v>否</v>
      </c>
    </row>
    <row r="1594" spans="1:15" hidden="1">
      <c r="A1594" t="s">
        <v>75</v>
      </c>
      <c r="B1594" t="s">
        <v>46</v>
      </c>
      <c r="C1594">
        <v>0</v>
      </c>
      <c r="D1594">
        <v>0</v>
      </c>
      <c r="E1594" s="27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 s="9">
        <v>45332</v>
      </c>
      <c r="L1594">
        <f xml:space="preserve"> (交易處理資料__3[[#This Row],[售出工時]] * 60) / 5</f>
        <v>0</v>
      </c>
      <c r="M1594" t="str">
        <f>VLOOKUP(交易處理資料__3[[#This Row],[人員代號]],團隊分組!$B$1:$C$52,2,FALSE)</f>
        <v>查修團隊B</v>
      </c>
      <c r="N1594">
        <f>IF(交易處理資料__3[[#This Row],[上班時間]]=0,0,交易處理資料__3[[#This Row],[售出工時]]/交易處理資料__3[[#This Row],[上班時間]])</f>
        <v>0</v>
      </c>
      <c r="O1594" s="31" t="str">
        <f>IF(交易處理資料__3[[#This Row],[上班時間]]=0,"否","是")</f>
        <v>否</v>
      </c>
    </row>
    <row r="1595" spans="1:15" hidden="1">
      <c r="A1595" t="s">
        <v>75</v>
      </c>
      <c r="B1595" t="s">
        <v>47</v>
      </c>
      <c r="C1595">
        <v>0</v>
      </c>
      <c r="D1595">
        <v>0</v>
      </c>
      <c r="E1595" s="27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 s="9">
        <v>45332</v>
      </c>
      <c r="L1595">
        <f xml:space="preserve"> (交易處理資料__3[[#This Row],[售出工時]] * 60) / 5</f>
        <v>0</v>
      </c>
      <c r="M1595" t="str">
        <f>VLOOKUP(交易處理資料__3[[#This Row],[人員代號]],團隊分組!$B$1:$C$52,2,FALSE)</f>
        <v>查修團隊B</v>
      </c>
      <c r="N1595">
        <f>IF(交易處理資料__3[[#This Row],[上班時間]]=0,0,交易處理資料__3[[#This Row],[售出工時]]/交易處理資料__3[[#This Row],[上班時間]])</f>
        <v>0</v>
      </c>
      <c r="O1595" s="31" t="str">
        <f>IF(交易處理資料__3[[#This Row],[上班時間]]=0,"否","是")</f>
        <v>否</v>
      </c>
    </row>
    <row r="1596" spans="1:15" hidden="1">
      <c r="A1596" t="s">
        <v>75</v>
      </c>
      <c r="B1596" t="s">
        <v>48</v>
      </c>
      <c r="C1596">
        <v>0</v>
      </c>
      <c r="D1596">
        <v>0</v>
      </c>
      <c r="E1596" s="27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 s="9">
        <v>45332</v>
      </c>
      <c r="L1596">
        <f xml:space="preserve"> (交易處理資料__3[[#This Row],[售出工時]] * 60) / 5</f>
        <v>0</v>
      </c>
      <c r="M1596" t="str">
        <f>VLOOKUP(交易處理資料__3[[#This Row],[人員代號]],團隊分組!$B$1:$C$52,2,FALSE)</f>
        <v>查修團隊A</v>
      </c>
      <c r="N1596">
        <f>IF(交易處理資料__3[[#This Row],[上班時間]]=0,0,交易處理資料__3[[#This Row],[售出工時]]/交易處理資料__3[[#This Row],[上班時間]])</f>
        <v>0</v>
      </c>
      <c r="O1596" s="31" t="str">
        <f>IF(交易處理資料__3[[#This Row],[上班時間]]=0,"否","是")</f>
        <v>否</v>
      </c>
    </row>
    <row r="1597" spans="1:15" hidden="1">
      <c r="A1597" t="s">
        <v>75</v>
      </c>
      <c r="B1597" t="s">
        <v>49</v>
      </c>
      <c r="C1597">
        <v>0</v>
      </c>
      <c r="D1597">
        <v>0</v>
      </c>
      <c r="E1597" s="2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 s="9">
        <v>45332</v>
      </c>
      <c r="L1597">
        <f xml:space="preserve"> (交易處理資料__3[[#This Row],[售出工時]] * 60) / 5</f>
        <v>0</v>
      </c>
      <c r="M1597" t="str">
        <f>VLOOKUP(交易處理資料__3[[#This Row],[人員代號]],團隊分組!$B$1:$C$52,2,FALSE)</f>
        <v>查修團隊A</v>
      </c>
      <c r="N1597">
        <f>IF(交易處理資料__3[[#This Row],[上班時間]]=0,0,交易處理資料__3[[#This Row],[售出工時]]/交易處理資料__3[[#This Row],[上班時間]])</f>
        <v>0</v>
      </c>
      <c r="O1597" s="31" t="str">
        <f>IF(交易處理資料__3[[#This Row],[上班時間]]=0,"否","是")</f>
        <v>否</v>
      </c>
    </row>
    <row r="1598" spans="1:15" hidden="1">
      <c r="A1598" t="s">
        <v>75</v>
      </c>
      <c r="B1598" t="s">
        <v>50</v>
      </c>
      <c r="C1598">
        <v>0</v>
      </c>
      <c r="D1598">
        <v>0</v>
      </c>
      <c r="E1598" s="27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 s="9">
        <v>45332</v>
      </c>
      <c r="L1598">
        <f xml:space="preserve"> (交易處理資料__3[[#This Row],[售出工時]] * 60) / 5</f>
        <v>0</v>
      </c>
      <c r="M1598" t="str">
        <f>VLOOKUP(交易處理資料__3[[#This Row],[人員代號]],團隊分組!$B$1:$C$52,2,FALSE)</f>
        <v>快速保養團隊B</v>
      </c>
      <c r="N1598">
        <f>IF(交易處理資料__3[[#This Row],[上班時間]]=0,0,交易處理資料__3[[#This Row],[售出工時]]/交易處理資料__3[[#This Row],[上班時間]])</f>
        <v>0</v>
      </c>
      <c r="O1598" s="31" t="str">
        <f>IF(交易處理資料__3[[#This Row],[上班時間]]=0,"否","是")</f>
        <v>否</v>
      </c>
    </row>
    <row r="1599" spans="1:15" hidden="1">
      <c r="A1599" t="s">
        <v>75</v>
      </c>
      <c r="B1599" t="s">
        <v>51</v>
      </c>
      <c r="C1599">
        <v>0</v>
      </c>
      <c r="D1599">
        <v>0</v>
      </c>
      <c r="E1599" s="27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 s="9">
        <v>45332</v>
      </c>
      <c r="L1599">
        <f xml:space="preserve"> (交易處理資料__3[[#This Row],[售出工時]] * 60) / 5</f>
        <v>0</v>
      </c>
      <c r="M1599" t="str">
        <f>VLOOKUP(交易處理資料__3[[#This Row],[人員代號]],團隊分組!$B$1:$C$52,2,FALSE)</f>
        <v>無效數據</v>
      </c>
      <c r="N1599">
        <f>IF(交易處理資料__3[[#This Row],[上班時間]]=0,0,交易處理資料__3[[#This Row],[售出工時]]/交易處理資料__3[[#This Row],[上班時間]])</f>
        <v>0</v>
      </c>
      <c r="O1599" s="31" t="str">
        <f>IF(交易處理資料__3[[#This Row],[上班時間]]=0,"否","是")</f>
        <v>否</v>
      </c>
    </row>
    <row r="1600" spans="1:15" hidden="1">
      <c r="A1600" t="s">
        <v>75</v>
      </c>
      <c r="B1600" t="s">
        <v>52</v>
      </c>
      <c r="C1600">
        <v>0</v>
      </c>
      <c r="D1600">
        <v>0</v>
      </c>
      <c r="E1600" s="27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 s="9">
        <v>45332</v>
      </c>
      <c r="L1600">
        <f xml:space="preserve"> (交易處理資料__3[[#This Row],[售出工時]] * 60) / 5</f>
        <v>0</v>
      </c>
      <c r="M1600" t="str">
        <f>VLOOKUP(交易處理資料__3[[#This Row],[人員代號]],團隊分組!$B$1:$C$52,2,FALSE)</f>
        <v>查修團隊B</v>
      </c>
      <c r="N1600">
        <f>IF(交易處理資料__3[[#This Row],[上班時間]]=0,0,交易處理資料__3[[#This Row],[售出工時]]/交易處理資料__3[[#This Row],[上班時間]])</f>
        <v>0</v>
      </c>
      <c r="O1600" s="31" t="str">
        <f>IF(交易處理資料__3[[#This Row],[上班時間]]=0,"否","是")</f>
        <v>否</v>
      </c>
    </row>
    <row r="1601" spans="1:15" hidden="1">
      <c r="A1601" t="s">
        <v>75</v>
      </c>
      <c r="B1601" t="s">
        <v>53</v>
      </c>
      <c r="C1601">
        <v>0</v>
      </c>
      <c r="D1601">
        <v>0</v>
      </c>
      <c r="E1601" s="27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 s="9">
        <v>45332</v>
      </c>
      <c r="L1601">
        <f xml:space="preserve"> (交易處理資料__3[[#This Row],[售出工時]] * 60) / 5</f>
        <v>0</v>
      </c>
      <c r="M1601" t="str">
        <f>VLOOKUP(交易處理資料__3[[#This Row],[人員代號]],團隊分組!$B$1:$C$52,2,FALSE)</f>
        <v>查修團隊A</v>
      </c>
      <c r="N1601">
        <f>IF(交易處理資料__3[[#This Row],[上班時間]]=0,0,交易處理資料__3[[#This Row],[售出工時]]/交易處理資料__3[[#This Row],[上班時間]])</f>
        <v>0</v>
      </c>
      <c r="O1601" s="31" t="str">
        <f>IF(交易處理資料__3[[#This Row],[上班時間]]=0,"否","是")</f>
        <v>否</v>
      </c>
    </row>
    <row r="1602" spans="1:15" hidden="1">
      <c r="A1602" s="10" t="s">
        <v>73</v>
      </c>
      <c r="B1602" t="s">
        <v>1</v>
      </c>
      <c r="C1602">
        <v>0</v>
      </c>
      <c r="D1602">
        <v>0</v>
      </c>
      <c r="E1602" s="27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 s="9">
        <v>45333</v>
      </c>
      <c r="L1602">
        <f xml:space="preserve"> (交易處理資料__3[[#This Row],[售出工時]] * 60) / 5</f>
        <v>0</v>
      </c>
      <c r="M1602" t="str">
        <f>VLOOKUP(交易處理資料__3[[#This Row],[人員代號]],團隊分組!$B$1:$C$52,2,FALSE)</f>
        <v>噴漆維修組</v>
      </c>
      <c r="N1602">
        <f>IF(交易處理資料__3[[#This Row],[上班時間]]=0,0,交易處理資料__3[[#This Row],[售出工時]]/交易處理資料__3[[#This Row],[上班時間]])</f>
        <v>0</v>
      </c>
      <c r="O1602" s="31" t="str">
        <f>IF(交易處理資料__3[[#This Row],[上班時間]]=0,"否","是")</f>
        <v>否</v>
      </c>
    </row>
    <row r="1603" spans="1:15" hidden="1">
      <c r="A1603" s="10" t="s">
        <v>73</v>
      </c>
      <c r="B1603" t="s">
        <v>2</v>
      </c>
      <c r="C1603">
        <v>0</v>
      </c>
      <c r="D1603">
        <v>0</v>
      </c>
      <c r="E1603" s="27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 s="9">
        <v>45333</v>
      </c>
      <c r="L1603">
        <f xml:space="preserve"> (交易處理資料__3[[#This Row],[售出工時]] * 60) / 5</f>
        <v>0</v>
      </c>
      <c r="M1603" t="str">
        <f>VLOOKUP(交易處理資料__3[[#This Row],[人員代號]],團隊分組!$B$1:$C$52,2,FALSE)</f>
        <v>噴漆維修組</v>
      </c>
      <c r="N1603">
        <f>IF(交易處理資料__3[[#This Row],[上班時間]]=0,0,交易處理資料__3[[#This Row],[售出工時]]/交易處理資料__3[[#This Row],[上班時間]])</f>
        <v>0</v>
      </c>
      <c r="O1603" s="31" t="str">
        <f>IF(交易處理資料__3[[#This Row],[上班時間]]=0,"否","是")</f>
        <v>否</v>
      </c>
    </row>
    <row r="1604" spans="1:15" hidden="1">
      <c r="A1604" s="10" t="s">
        <v>73</v>
      </c>
      <c r="B1604" t="s">
        <v>3</v>
      </c>
      <c r="C1604">
        <v>0</v>
      </c>
      <c r="D1604">
        <v>0</v>
      </c>
      <c r="E1604" s="27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 s="9">
        <v>45333</v>
      </c>
      <c r="L1604">
        <f xml:space="preserve"> (交易處理資料__3[[#This Row],[售出工時]] * 60) / 5</f>
        <v>0</v>
      </c>
      <c r="M1604" t="str">
        <f>VLOOKUP(交易處理資料__3[[#This Row],[人員代號]],團隊分組!$B$1:$C$52,2,FALSE)</f>
        <v>噴漆維修組</v>
      </c>
      <c r="N1604">
        <f>IF(交易處理資料__3[[#This Row],[上班時間]]=0,0,交易處理資料__3[[#This Row],[售出工時]]/交易處理資料__3[[#This Row],[上班時間]])</f>
        <v>0</v>
      </c>
      <c r="O1604" s="31" t="str">
        <f>IF(交易處理資料__3[[#This Row],[上班時間]]=0,"否","是")</f>
        <v>否</v>
      </c>
    </row>
    <row r="1605" spans="1:15" hidden="1">
      <c r="A1605" s="10" t="s">
        <v>73</v>
      </c>
      <c r="B1605" t="s">
        <v>4</v>
      </c>
      <c r="C1605">
        <v>0</v>
      </c>
      <c r="D1605">
        <v>0</v>
      </c>
      <c r="E1605" s="27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 s="9">
        <v>45333</v>
      </c>
      <c r="L1605">
        <f xml:space="preserve"> (交易處理資料__3[[#This Row],[售出工時]] * 60) / 5</f>
        <v>0</v>
      </c>
      <c r="M1605" t="str">
        <f>VLOOKUP(交易處理資料__3[[#This Row],[人員代號]],團隊分組!$B$1:$C$52,2,FALSE)</f>
        <v>噴漆維修組</v>
      </c>
      <c r="N1605">
        <f>IF(交易處理資料__3[[#This Row],[上班時間]]=0,0,交易處理資料__3[[#This Row],[售出工時]]/交易處理資料__3[[#This Row],[上班時間]])</f>
        <v>0</v>
      </c>
      <c r="O1605" s="31" t="str">
        <f>IF(交易處理資料__3[[#This Row],[上班時間]]=0,"否","是")</f>
        <v>否</v>
      </c>
    </row>
    <row r="1606" spans="1:15" hidden="1">
      <c r="A1606" s="10" t="s">
        <v>73</v>
      </c>
      <c r="B1606" t="s">
        <v>5</v>
      </c>
      <c r="C1606">
        <v>0</v>
      </c>
      <c r="D1606">
        <v>0</v>
      </c>
      <c r="E1606" s="27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 s="9">
        <v>45333</v>
      </c>
      <c r="L1606">
        <f xml:space="preserve"> (交易處理資料__3[[#This Row],[售出工時]] * 60) / 5</f>
        <v>0</v>
      </c>
      <c r="M1606" t="str">
        <f>VLOOKUP(交易處理資料__3[[#This Row],[人員代號]],團隊分組!$B$1:$C$52,2,FALSE)</f>
        <v>噴漆維修組</v>
      </c>
      <c r="N1606">
        <f>IF(交易處理資料__3[[#This Row],[上班時間]]=0,0,交易處理資料__3[[#This Row],[售出工時]]/交易處理資料__3[[#This Row],[上班時間]])</f>
        <v>0</v>
      </c>
      <c r="O1606" s="31" t="str">
        <f>IF(交易處理資料__3[[#This Row],[上班時間]]=0,"否","是")</f>
        <v>否</v>
      </c>
    </row>
    <row r="1607" spans="1:15" hidden="1">
      <c r="A1607" s="10" t="s">
        <v>73</v>
      </c>
      <c r="B1607" t="s">
        <v>6</v>
      </c>
      <c r="C1607">
        <v>0</v>
      </c>
      <c r="D1607">
        <v>0</v>
      </c>
      <c r="E1607" s="2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 s="9">
        <v>45333</v>
      </c>
      <c r="L1607">
        <f xml:space="preserve"> (交易處理資料__3[[#This Row],[售出工時]] * 60) / 5</f>
        <v>0</v>
      </c>
      <c r="M1607" t="str">
        <f>VLOOKUP(交易處理資料__3[[#This Row],[人員代號]],團隊分組!$B$1:$C$52,2,FALSE)</f>
        <v>噴漆維修組</v>
      </c>
      <c r="N1607">
        <f>IF(交易處理資料__3[[#This Row],[上班時間]]=0,0,交易處理資料__3[[#This Row],[售出工時]]/交易處理資料__3[[#This Row],[上班時間]])</f>
        <v>0</v>
      </c>
      <c r="O1607" s="31" t="str">
        <f>IF(交易處理資料__3[[#This Row],[上班時間]]=0,"否","是")</f>
        <v>否</v>
      </c>
    </row>
    <row r="1608" spans="1:15" hidden="1">
      <c r="A1608" s="10" t="s">
        <v>73</v>
      </c>
      <c r="B1608" t="s">
        <v>7</v>
      </c>
      <c r="C1608">
        <v>0</v>
      </c>
      <c r="D1608">
        <v>0</v>
      </c>
      <c r="E1608" s="27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 s="9">
        <v>45333</v>
      </c>
      <c r="L1608">
        <f xml:space="preserve"> (交易處理資料__3[[#This Row],[售出工時]] * 60) / 5</f>
        <v>0</v>
      </c>
      <c r="M1608" t="str">
        <f>VLOOKUP(交易處理資料__3[[#This Row],[人員代號]],團隊分組!$B$1:$C$52,2,FALSE)</f>
        <v>噴漆維修組</v>
      </c>
      <c r="N1608">
        <f>IF(交易處理資料__3[[#This Row],[上班時間]]=0,0,交易處理資料__3[[#This Row],[售出工時]]/交易處理資料__3[[#This Row],[上班時間]])</f>
        <v>0</v>
      </c>
      <c r="O1608" s="31" t="str">
        <f>IF(交易處理資料__3[[#This Row],[上班時間]]=0,"否","是")</f>
        <v>否</v>
      </c>
    </row>
    <row r="1609" spans="1:15" hidden="1">
      <c r="A1609" s="10" t="s">
        <v>73</v>
      </c>
      <c r="B1609" t="s">
        <v>8</v>
      </c>
      <c r="C1609">
        <v>0</v>
      </c>
      <c r="D1609">
        <v>0</v>
      </c>
      <c r="E1609" s="27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 s="9">
        <v>45333</v>
      </c>
      <c r="L1609">
        <f xml:space="preserve"> (交易處理資料__3[[#This Row],[售出工時]] * 60) / 5</f>
        <v>0</v>
      </c>
      <c r="M1609" t="str">
        <f>VLOOKUP(交易處理資料__3[[#This Row],[人員代號]],團隊分組!$B$1:$C$52,2,FALSE)</f>
        <v>噴漆維修組</v>
      </c>
      <c r="N1609">
        <f>IF(交易處理資料__3[[#This Row],[上班時間]]=0,0,交易處理資料__3[[#This Row],[售出工時]]/交易處理資料__3[[#This Row],[上班時間]])</f>
        <v>0</v>
      </c>
      <c r="O1609" s="31" t="str">
        <f>IF(交易處理資料__3[[#This Row],[上班時間]]=0,"否","是")</f>
        <v>否</v>
      </c>
    </row>
    <row r="1610" spans="1:15" hidden="1">
      <c r="A1610" s="10" t="s">
        <v>73</v>
      </c>
      <c r="B1610" t="s">
        <v>9</v>
      </c>
      <c r="C1610">
        <v>0</v>
      </c>
      <c r="D1610">
        <v>0</v>
      </c>
      <c r="E1610" s="27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 s="9">
        <v>45333</v>
      </c>
      <c r="L1610">
        <f xml:space="preserve"> (交易處理資料__3[[#This Row],[售出工時]] * 60) / 5</f>
        <v>0</v>
      </c>
      <c r="M1610" t="str">
        <f>VLOOKUP(交易處理資料__3[[#This Row],[人員代號]],團隊分組!$B$1:$C$52,2,FALSE)</f>
        <v>噴漆維修組</v>
      </c>
      <c r="N1610">
        <f>IF(交易處理資料__3[[#This Row],[上班時間]]=0,0,交易處理資料__3[[#This Row],[售出工時]]/交易處理資料__3[[#This Row],[上班時間]])</f>
        <v>0</v>
      </c>
      <c r="O1610" s="31" t="str">
        <f>IF(交易處理資料__3[[#This Row],[上班時間]]=0,"否","是")</f>
        <v>否</v>
      </c>
    </row>
    <row r="1611" spans="1:15" hidden="1">
      <c r="A1611" t="s">
        <v>74</v>
      </c>
      <c r="B1611" t="s">
        <v>11</v>
      </c>
      <c r="C1611">
        <v>0</v>
      </c>
      <c r="D1611">
        <v>0</v>
      </c>
      <c r="E1611" s="27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 s="9">
        <v>45333</v>
      </c>
      <c r="L1611">
        <f xml:space="preserve"> (交易處理資料__3[[#This Row],[售出工時]] * 60) / 5</f>
        <v>0</v>
      </c>
      <c r="M1611" t="str">
        <f>VLOOKUP(交易處理資料__3[[#This Row],[人員代號]],團隊分組!$B$1:$C$52,2,FALSE)</f>
        <v>鈑金維修組</v>
      </c>
      <c r="N1611">
        <f>IF(交易處理資料__3[[#This Row],[上班時間]]=0,0,交易處理資料__3[[#This Row],[售出工時]]/交易處理資料__3[[#This Row],[上班時間]])</f>
        <v>0</v>
      </c>
      <c r="O1611" s="31" t="str">
        <f>IF(交易處理資料__3[[#This Row],[上班時間]]=0,"否","是")</f>
        <v>否</v>
      </c>
    </row>
    <row r="1612" spans="1:15" hidden="1">
      <c r="A1612" t="s">
        <v>74</v>
      </c>
      <c r="B1612" t="s">
        <v>12</v>
      </c>
      <c r="C1612">
        <v>0</v>
      </c>
      <c r="D1612">
        <v>0</v>
      </c>
      <c r="E1612" s="27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 s="9">
        <v>45333</v>
      </c>
      <c r="L1612">
        <f xml:space="preserve"> (交易處理資料__3[[#This Row],[售出工時]] * 60) / 5</f>
        <v>0</v>
      </c>
      <c r="M1612" t="str">
        <f>VLOOKUP(交易處理資料__3[[#This Row],[人員代號]],團隊分組!$B$1:$C$52,2,FALSE)</f>
        <v>鈑金維修組</v>
      </c>
      <c r="N1612">
        <f>IF(交易處理資料__3[[#This Row],[上班時間]]=0,0,交易處理資料__3[[#This Row],[售出工時]]/交易處理資料__3[[#This Row],[上班時間]])</f>
        <v>0</v>
      </c>
      <c r="O1612" s="31" t="str">
        <f>IF(交易處理資料__3[[#This Row],[上班時間]]=0,"否","是")</f>
        <v>否</v>
      </c>
    </row>
    <row r="1613" spans="1:15" hidden="1">
      <c r="A1613" t="s">
        <v>74</v>
      </c>
      <c r="B1613" t="s">
        <v>13</v>
      </c>
      <c r="C1613">
        <v>0</v>
      </c>
      <c r="D1613">
        <v>0</v>
      </c>
      <c r="E1613" s="27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 s="9">
        <v>45333</v>
      </c>
      <c r="L1613">
        <f xml:space="preserve"> (交易處理資料__3[[#This Row],[售出工時]] * 60) / 5</f>
        <v>0</v>
      </c>
      <c r="M1613" t="str">
        <f>VLOOKUP(交易處理資料__3[[#This Row],[人員代號]],團隊分組!$B$1:$C$52,2,FALSE)</f>
        <v>鈑金維修組</v>
      </c>
      <c r="N1613">
        <f>IF(交易處理資料__3[[#This Row],[上班時間]]=0,0,交易處理資料__3[[#This Row],[售出工時]]/交易處理資料__3[[#This Row],[上班時間]])</f>
        <v>0</v>
      </c>
      <c r="O1613" s="31" t="str">
        <f>IF(交易處理資料__3[[#This Row],[上班時間]]=0,"否","是")</f>
        <v>否</v>
      </c>
    </row>
    <row r="1614" spans="1:15" hidden="1">
      <c r="A1614" t="s">
        <v>74</v>
      </c>
      <c r="B1614" t="s">
        <v>14</v>
      </c>
      <c r="C1614">
        <v>0</v>
      </c>
      <c r="D1614">
        <v>0</v>
      </c>
      <c r="E1614" s="27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 s="9">
        <v>45333</v>
      </c>
      <c r="L1614">
        <f xml:space="preserve"> (交易處理資料__3[[#This Row],[售出工時]] * 60) / 5</f>
        <v>0</v>
      </c>
      <c r="M1614" t="str">
        <f>VLOOKUP(交易處理資料__3[[#This Row],[人員代號]],團隊分組!$B$1:$C$52,2,FALSE)</f>
        <v>鈑金維修組</v>
      </c>
      <c r="N1614">
        <f>IF(交易處理資料__3[[#This Row],[上班時間]]=0,0,交易處理資料__3[[#This Row],[售出工時]]/交易處理資料__3[[#This Row],[上班時間]])</f>
        <v>0</v>
      </c>
      <c r="O1614" s="31" t="str">
        <f>IF(交易處理資料__3[[#This Row],[上班時間]]=0,"否","是")</f>
        <v>否</v>
      </c>
    </row>
    <row r="1615" spans="1:15" hidden="1">
      <c r="A1615" t="s">
        <v>74</v>
      </c>
      <c r="B1615" t="s">
        <v>15</v>
      </c>
      <c r="C1615">
        <v>0</v>
      </c>
      <c r="D1615">
        <v>0</v>
      </c>
      <c r="E1615" s="27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 s="9">
        <v>45333</v>
      </c>
      <c r="L1615">
        <f xml:space="preserve"> (交易處理資料__3[[#This Row],[售出工時]] * 60) / 5</f>
        <v>0</v>
      </c>
      <c r="M1615" t="str">
        <f>VLOOKUP(交易處理資料__3[[#This Row],[人員代號]],團隊分組!$B$1:$C$52,2,FALSE)</f>
        <v>鈑金維修組</v>
      </c>
      <c r="N1615">
        <f>IF(交易處理資料__3[[#This Row],[上班時間]]=0,0,交易處理資料__3[[#This Row],[售出工時]]/交易處理資料__3[[#This Row],[上班時間]])</f>
        <v>0</v>
      </c>
      <c r="O1615" s="31" t="str">
        <f>IF(交易處理資料__3[[#This Row],[上班時間]]=0,"否","是")</f>
        <v>否</v>
      </c>
    </row>
    <row r="1616" spans="1:15" hidden="1">
      <c r="A1616" t="s">
        <v>75</v>
      </c>
      <c r="B1616" t="s">
        <v>17</v>
      </c>
      <c r="C1616">
        <v>0</v>
      </c>
      <c r="D1616">
        <v>0</v>
      </c>
      <c r="E1616" s="27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 s="9">
        <v>45333</v>
      </c>
      <c r="L1616">
        <f xml:space="preserve"> (交易處理資料__3[[#This Row],[售出工時]] * 60) / 5</f>
        <v>0</v>
      </c>
      <c r="M1616" t="str">
        <f>VLOOKUP(交易處理資料__3[[#This Row],[人員代號]],團隊分組!$B$1:$C$52,2,FALSE)</f>
        <v>快速保養團隊A</v>
      </c>
      <c r="N1616">
        <f>IF(交易處理資料__3[[#This Row],[上班時間]]=0,0,交易處理資料__3[[#This Row],[售出工時]]/交易處理資料__3[[#This Row],[上班時間]])</f>
        <v>0</v>
      </c>
      <c r="O1616" s="31" t="str">
        <f>IF(交易處理資料__3[[#This Row],[上班時間]]=0,"否","是")</f>
        <v>否</v>
      </c>
    </row>
    <row r="1617" spans="1:15" hidden="1">
      <c r="A1617" t="s">
        <v>75</v>
      </c>
      <c r="B1617" t="s">
        <v>18</v>
      </c>
      <c r="C1617">
        <v>0</v>
      </c>
      <c r="D1617">
        <v>0</v>
      </c>
      <c r="E1617" s="2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 s="9">
        <v>45333</v>
      </c>
      <c r="L1617">
        <f xml:space="preserve"> (交易處理資料__3[[#This Row],[售出工時]] * 60) / 5</f>
        <v>0</v>
      </c>
      <c r="M1617" t="str">
        <f>VLOOKUP(交易處理資料__3[[#This Row],[人員代號]],團隊分組!$B$1:$C$52,2,FALSE)</f>
        <v>查修團隊B</v>
      </c>
      <c r="N1617">
        <f>IF(交易處理資料__3[[#This Row],[上班時間]]=0,0,交易處理資料__3[[#This Row],[售出工時]]/交易處理資料__3[[#This Row],[上班時間]])</f>
        <v>0</v>
      </c>
      <c r="O1617" s="31" t="str">
        <f>IF(交易處理資料__3[[#This Row],[上班時間]]=0,"否","是")</f>
        <v>否</v>
      </c>
    </row>
    <row r="1618" spans="1:15" hidden="1">
      <c r="A1618" t="s">
        <v>75</v>
      </c>
      <c r="B1618" t="s">
        <v>19</v>
      </c>
      <c r="C1618">
        <v>0</v>
      </c>
      <c r="D1618">
        <v>0</v>
      </c>
      <c r="E1618" s="27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 s="9">
        <v>45333</v>
      </c>
      <c r="L1618">
        <f xml:space="preserve"> (交易處理資料__3[[#This Row],[售出工時]] * 60) / 5</f>
        <v>0</v>
      </c>
      <c r="M1618" t="str">
        <f>VLOOKUP(交易處理資料__3[[#This Row],[人員代號]],團隊分組!$B$1:$C$52,2,FALSE)</f>
        <v>查修團隊A</v>
      </c>
      <c r="N1618">
        <f>IF(交易處理資料__3[[#This Row],[上班時間]]=0,0,交易處理資料__3[[#This Row],[售出工時]]/交易處理資料__3[[#This Row],[上班時間]])</f>
        <v>0</v>
      </c>
      <c r="O1618" s="31" t="str">
        <f>IF(交易處理資料__3[[#This Row],[上班時間]]=0,"否","是")</f>
        <v>否</v>
      </c>
    </row>
    <row r="1619" spans="1:15" hidden="1">
      <c r="A1619" t="s">
        <v>75</v>
      </c>
      <c r="B1619" t="s">
        <v>20</v>
      </c>
      <c r="C1619">
        <v>0</v>
      </c>
      <c r="D1619">
        <v>0</v>
      </c>
      <c r="E1619" s="27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 s="9">
        <v>45333</v>
      </c>
      <c r="L1619">
        <f xml:space="preserve"> (交易處理資料__3[[#This Row],[售出工時]] * 60) / 5</f>
        <v>0</v>
      </c>
      <c r="M1619" t="str">
        <f>VLOOKUP(交易處理資料__3[[#This Row],[人員代號]],團隊分組!$B$1:$C$52,2,FALSE)</f>
        <v>查修團隊B</v>
      </c>
      <c r="N1619">
        <f>IF(交易處理資料__3[[#This Row],[上班時間]]=0,0,交易處理資料__3[[#This Row],[售出工時]]/交易處理資料__3[[#This Row],[上班時間]])</f>
        <v>0</v>
      </c>
      <c r="O1619" s="31" t="str">
        <f>IF(交易處理資料__3[[#This Row],[上班時間]]=0,"否","是")</f>
        <v>否</v>
      </c>
    </row>
    <row r="1620" spans="1:15" hidden="1">
      <c r="A1620" t="s">
        <v>75</v>
      </c>
      <c r="B1620" t="s">
        <v>21</v>
      </c>
      <c r="C1620">
        <v>0</v>
      </c>
      <c r="D1620">
        <v>0</v>
      </c>
      <c r="E1620" s="27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 s="9">
        <v>45333</v>
      </c>
      <c r="L1620">
        <f xml:space="preserve"> (交易處理資料__3[[#This Row],[售出工時]] * 60) / 5</f>
        <v>0</v>
      </c>
      <c r="M1620" t="str">
        <f>VLOOKUP(交易處理資料__3[[#This Row],[人員代號]],團隊分組!$B$1:$C$52,2,FALSE)</f>
        <v>查修團隊B</v>
      </c>
      <c r="N1620">
        <f>IF(交易處理資料__3[[#This Row],[上班時間]]=0,0,交易處理資料__3[[#This Row],[售出工時]]/交易處理資料__3[[#This Row],[上班時間]])</f>
        <v>0</v>
      </c>
      <c r="O1620" s="31" t="str">
        <f>IF(交易處理資料__3[[#This Row],[上班時間]]=0,"否","是")</f>
        <v>否</v>
      </c>
    </row>
    <row r="1621" spans="1:15" hidden="1">
      <c r="A1621" t="s">
        <v>75</v>
      </c>
      <c r="B1621" t="s">
        <v>22</v>
      </c>
      <c r="C1621">
        <v>0</v>
      </c>
      <c r="D1621">
        <v>0</v>
      </c>
      <c r="E1621" s="27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 s="9">
        <v>45333</v>
      </c>
      <c r="L1621">
        <f xml:space="preserve"> (交易處理資料__3[[#This Row],[售出工時]] * 60) / 5</f>
        <v>0</v>
      </c>
      <c r="M1621" t="str">
        <f>VLOOKUP(交易處理資料__3[[#This Row],[人員代號]],團隊分組!$B$1:$C$52,2,FALSE)</f>
        <v>快速保養團隊A</v>
      </c>
      <c r="N1621">
        <f>IF(交易處理資料__3[[#This Row],[上班時間]]=0,0,交易處理資料__3[[#This Row],[售出工時]]/交易處理資料__3[[#This Row],[上班時間]])</f>
        <v>0</v>
      </c>
      <c r="O1621" s="31" t="str">
        <f>IF(交易處理資料__3[[#This Row],[上班時間]]=0,"否","是")</f>
        <v>否</v>
      </c>
    </row>
    <row r="1622" spans="1:15" hidden="1">
      <c r="A1622" t="s">
        <v>75</v>
      </c>
      <c r="B1622" t="s">
        <v>23</v>
      </c>
      <c r="C1622">
        <v>0</v>
      </c>
      <c r="D1622">
        <v>0</v>
      </c>
      <c r="E1622" s="27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 s="9">
        <v>45333</v>
      </c>
      <c r="L1622">
        <f xml:space="preserve"> (交易處理資料__3[[#This Row],[售出工時]] * 60) / 5</f>
        <v>0</v>
      </c>
      <c r="M1622" t="str">
        <f>VLOOKUP(交易處理資料__3[[#This Row],[人員代號]],團隊分組!$B$1:$C$52,2,FALSE)</f>
        <v>快速保養團隊B</v>
      </c>
      <c r="N1622">
        <f>IF(交易處理資料__3[[#This Row],[上班時間]]=0,0,交易處理資料__3[[#This Row],[售出工時]]/交易處理資料__3[[#This Row],[上班時間]])</f>
        <v>0</v>
      </c>
      <c r="O1622" s="31" t="str">
        <f>IF(交易處理資料__3[[#This Row],[上班時間]]=0,"否","是")</f>
        <v>否</v>
      </c>
    </row>
    <row r="1623" spans="1:15" hidden="1">
      <c r="A1623" t="s">
        <v>75</v>
      </c>
      <c r="B1623" t="s">
        <v>24</v>
      </c>
      <c r="C1623">
        <v>0</v>
      </c>
      <c r="D1623">
        <v>0</v>
      </c>
      <c r="E1623" s="27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 s="9">
        <v>45333</v>
      </c>
      <c r="L1623">
        <f xml:space="preserve"> (交易處理資料__3[[#This Row],[售出工時]] * 60) / 5</f>
        <v>0</v>
      </c>
      <c r="M1623" t="str">
        <f>VLOOKUP(交易處理資料__3[[#This Row],[人員代號]],團隊分組!$B$1:$C$52,2,FALSE)</f>
        <v>快速保養團隊A</v>
      </c>
      <c r="N1623">
        <f>IF(交易處理資料__3[[#This Row],[上班時間]]=0,0,交易處理資料__3[[#This Row],[售出工時]]/交易處理資料__3[[#This Row],[上班時間]])</f>
        <v>0</v>
      </c>
      <c r="O1623" s="31" t="str">
        <f>IF(交易處理資料__3[[#This Row],[上班時間]]=0,"否","是")</f>
        <v>否</v>
      </c>
    </row>
    <row r="1624" spans="1:15" hidden="1">
      <c r="A1624" t="s">
        <v>75</v>
      </c>
      <c r="B1624" t="s">
        <v>25</v>
      </c>
      <c r="C1624">
        <v>0</v>
      </c>
      <c r="D1624">
        <v>0</v>
      </c>
      <c r="E1624" s="27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 s="9">
        <v>45333</v>
      </c>
      <c r="L1624">
        <f xml:space="preserve"> (交易處理資料__3[[#This Row],[售出工時]] * 60) / 5</f>
        <v>0</v>
      </c>
      <c r="M1624" t="str">
        <f>VLOOKUP(交易處理資料__3[[#This Row],[人員代號]],團隊分組!$B$1:$C$52,2,FALSE)</f>
        <v>查修團隊A</v>
      </c>
      <c r="N1624">
        <f>IF(交易處理資料__3[[#This Row],[上班時間]]=0,0,交易處理資料__3[[#This Row],[售出工時]]/交易處理資料__3[[#This Row],[上班時間]])</f>
        <v>0</v>
      </c>
      <c r="O1624" s="31" t="str">
        <f>IF(交易處理資料__3[[#This Row],[上班時間]]=0,"否","是")</f>
        <v>否</v>
      </c>
    </row>
    <row r="1625" spans="1:15" hidden="1">
      <c r="A1625" t="s">
        <v>75</v>
      </c>
      <c r="B1625" t="s">
        <v>26</v>
      </c>
      <c r="C1625">
        <v>0</v>
      </c>
      <c r="D1625">
        <v>0</v>
      </c>
      <c r="E1625" s="27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 s="9">
        <v>45333</v>
      </c>
      <c r="L1625">
        <f xml:space="preserve"> (交易處理資料__3[[#This Row],[售出工時]] * 60) / 5</f>
        <v>0</v>
      </c>
      <c r="M1625" t="str">
        <f>VLOOKUP(交易處理資料__3[[#This Row],[人員代號]],團隊分組!$B$1:$C$52,2,FALSE)</f>
        <v>查修團隊B</v>
      </c>
      <c r="N1625">
        <f>IF(交易處理資料__3[[#This Row],[上班時間]]=0,0,交易處理資料__3[[#This Row],[售出工時]]/交易處理資料__3[[#This Row],[上班時間]])</f>
        <v>0</v>
      </c>
      <c r="O1625" s="31" t="str">
        <f>IF(交易處理資料__3[[#This Row],[上班時間]]=0,"否","是")</f>
        <v>否</v>
      </c>
    </row>
    <row r="1626" spans="1:15" hidden="1">
      <c r="A1626" t="s">
        <v>75</v>
      </c>
      <c r="B1626" t="s">
        <v>27</v>
      </c>
      <c r="C1626">
        <v>0</v>
      </c>
      <c r="D1626">
        <v>0</v>
      </c>
      <c r="E1626" s="27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 s="9">
        <v>45333</v>
      </c>
      <c r="L1626">
        <f xml:space="preserve"> (交易處理資料__3[[#This Row],[售出工時]] * 60) / 5</f>
        <v>0</v>
      </c>
      <c r="M1626" t="str">
        <f>VLOOKUP(交易處理資料__3[[#This Row],[人員代號]],團隊分組!$B$1:$C$52,2,FALSE)</f>
        <v>快速保養團隊B</v>
      </c>
      <c r="N1626">
        <f>IF(交易處理資料__3[[#This Row],[上班時間]]=0,0,交易處理資料__3[[#This Row],[售出工時]]/交易處理資料__3[[#This Row],[上班時間]])</f>
        <v>0</v>
      </c>
      <c r="O1626" s="31" t="str">
        <f>IF(交易處理資料__3[[#This Row],[上班時間]]=0,"否","是")</f>
        <v>否</v>
      </c>
    </row>
    <row r="1627" spans="1:15" hidden="1">
      <c r="A1627" t="s">
        <v>75</v>
      </c>
      <c r="B1627" t="s">
        <v>28</v>
      </c>
      <c r="C1627">
        <v>0</v>
      </c>
      <c r="D1627">
        <v>0</v>
      </c>
      <c r="E1627" s="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 s="9">
        <v>45333</v>
      </c>
      <c r="L1627">
        <f xml:space="preserve"> (交易處理資料__3[[#This Row],[售出工時]] * 60) / 5</f>
        <v>0</v>
      </c>
      <c r="M1627" t="str">
        <f>VLOOKUP(交易處理資料__3[[#This Row],[人員代號]],團隊分組!$B$1:$C$52,2,FALSE)</f>
        <v>快速保養團隊A</v>
      </c>
      <c r="N1627">
        <f>IF(交易處理資料__3[[#This Row],[上班時間]]=0,0,交易處理資料__3[[#This Row],[售出工時]]/交易處理資料__3[[#This Row],[上班時間]])</f>
        <v>0</v>
      </c>
      <c r="O1627" s="31" t="str">
        <f>IF(交易處理資料__3[[#This Row],[上班時間]]=0,"否","是")</f>
        <v>否</v>
      </c>
    </row>
    <row r="1628" spans="1:15" hidden="1">
      <c r="A1628" t="s">
        <v>75</v>
      </c>
      <c r="B1628" t="s">
        <v>29</v>
      </c>
      <c r="C1628">
        <v>0</v>
      </c>
      <c r="D1628">
        <v>0</v>
      </c>
      <c r="E1628" s="27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 s="9">
        <v>45333</v>
      </c>
      <c r="L1628">
        <f xml:space="preserve"> (交易處理資料__3[[#This Row],[售出工時]] * 60) / 5</f>
        <v>0</v>
      </c>
      <c r="M1628" t="str">
        <f>VLOOKUP(交易處理資料__3[[#This Row],[人員代號]],團隊分組!$B$1:$C$52,2,FALSE)</f>
        <v>查修團隊B</v>
      </c>
      <c r="N1628">
        <f>IF(交易處理資料__3[[#This Row],[上班時間]]=0,0,交易處理資料__3[[#This Row],[售出工時]]/交易處理資料__3[[#This Row],[上班時間]])</f>
        <v>0</v>
      </c>
      <c r="O1628" s="31" t="str">
        <f>IF(交易處理資料__3[[#This Row],[上班時間]]=0,"否","是")</f>
        <v>否</v>
      </c>
    </row>
    <row r="1629" spans="1:15" hidden="1">
      <c r="A1629" t="s">
        <v>75</v>
      </c>
      <c r="B1629" t="s">
        <v>30</v>
      </c>
      <c r="C1629">
        <v>0</v>
      </c>
      <c r="D1629">
        <v>0</v>
      </c>
      <c r="E1629" s="27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 s="9">
        <v>45333</v>
      </c>
      <c r="L1629">
        <f xml:space="preserve"> (交易處理資料__3[[#This Row],[售出工時]] * 60) / 5</f>
        <v>0</v>
      </c>
      <c r="M1629" t="str">
        <f>VLOOKUP(交易處理資料__3[[#This Row],[人員代號]],團隊分組!$B$1:$C$52,2,FALSE)</f>
        <v>快速保養團隊B</v>
      </c>
      <c r="N1629">
        <f>IF(交易處理資料__3[[#This Row],[上班時間]]=0,0,交易處理資料__3[[#This Row],[售出工時]]/交易處理資料__3[[#This Row],[上班時間]])</f>
        <v>0</v>
      </c>
      <c r="O1629" s="31" t="str">
        <f>IF(交易處理資料__3[[#This Row],[上班時間]]=0,"否","是")</f>
        <v>否</v>
      </c>
    </row>
    <row r="1630" spans="1:15" hidden="1">
      <c r="A1630" t="s">
        <v>75</v>
      </c>
      <c r="B1630" t="s">
        <v>32</v>
      </c>
      <c r="C1630">
        <v>0</v>
      </c>
      <c r="D1630">
        <v>0</v>
      </c>
      <c r="E1630" s="27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 s="9">
        <v>45333</v>
      </c>
      <c r="L1630">
        <f xml:space="preserve"> (交易處理資料__3[[#This Row],[售出工時]] * 60) / 5</f>
        <v>0</v>
      </c>
      <c r="M1630" t="str">
        <f>VLOOKUP(交易處理資料__3[[#This Row],[人員代號]],團隊分組!$B$1:$C$52,2,FALSE)</f>
        <v>快速保養團隊B</v>
      </c>
      <c r="N1630">
        <f>IF(交易處理資料__3[[#This Row],[上班時間]]=0,0,交易處理資料__3[[#This Row],[售出工時]]/交易處理資料__3[[#This Row],[上班時間]])</f>
        <v>0</v>
      </c>
      <c r="O1630" s="31" t="str">
        <f>IF(交易處理資料__3[[#This Row],[上班時間]]=0,"否","是")</f>
        <v>否</v>
      </c>
    </row>
    <row r="1631" spans="1:15">
      <c r="A1631" t="s">
        <v>75</v>
      </c>
      <c r="B1631" t="s">
        <v>33</v>
      </c>
      <c r="C1631">
        <v>0</v>
      </c>
      <c r="D1631">
        <v>0</v>
      </c>
      <c r="E1631" s="27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 s="9">
        <v>45333</v>
      </c>
      <c r="L1631">
        <f xml:space="preserve"> (交易處理資料__3[[#This Row],[售出工時]] * 60) / 5</f>
        <v>0</v>
      </c>
      <c r="M1631" t="str">
        <f>VLOOKUP(交易處理資料__3[[#This Row],[人員代號]],團隊分組!$B$1:$C$52,2,FALSE)</f>
        <v>快速保養團隊B</v>
      </c>
      <c r="N1631">
        <f>IF(交易處理資料__3[[#This Row],[上班時間]]=0,0,交易處理資料__3[[#This Row],[售出工時]]/交易處理資料__3[[#This Row],[上班時間]])</f>
        <v>0</v>
      </c>
      <c r="O1631" s="31" t="str">
        <f>IF(交易處理資料__3[[#This Row],[上班時間]]=0,"否","是")</f>
        <v>否</v>
      </c>
    </row>
    <row r="1632" spans="1:15" hidden="1">
      <c r="A1632" t="s">
        <v>75</v>
      </c>
      <c r="B1632" t="s">
        <v>34</v>
      </c>
      <c r="C1632">
        <v>0</v>
      </c>
      <c r="D1632">
        <v>0</v>
      </c>
      <c r="E1632" s="27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 s="9">
        <v>45333</v>
      </c>
      <c r="L1632">
        <f xml:space="preserve"> (交易處理資料__3[[#This Row],[售出工時]] * 60) / 5</f>
        <v>0</v>
      </c>
      <c r="M1632" t="str">
        <f>VLOOKUP(交易處理資料__3[[#This Row],[人員代號]],團隊分組!$B$1:$C$52,2,FALSE)</f>
        <v>快速保養團隊A</v>
      </c>
      <c r="N1632">
        <f>IF(交易處理資料__3[[#This Row],[上班時間]]=0,0,交易處理資料__3[[#This Row],[售出工時]]/交易處理資料__3[[#This Row],[上班時間]])</f>
        <v>0</v>
      </c>
      <c r="O1632" s="31" t="str">
        <f>IF(交易處理資料__3[[#This Row],[上班時間]]=0,"否","是")</f>
        <v>否</v>
      </c>
    </row>
    <row r="1633" spans="1:15" hidden="1">
      <c r="A1633" t="s">
        <v>75</v>
      </c>
      <c r="B1633" t="s">
        <v>35</v>
      </c>
      <c r="C1633">
        <v>0</v>
      </c>
      <c r="D1633">
        <v>0</v>
      </c>
      <c r="E1633" s="27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 s="9">
        <v>45333</v>
      </c>
      <c r="L1633">
        <f xml:space="preserve"> (交易處理資料__3[[#This Row],[售出工時]] * 60) / 5</f>
        <v>0</v>
      </c>
      <c r="M1633" t="str">
        <f>VLOOKUP(交易處理資料__3[[#This Row],[人員代號]],團隊分組!$B$1:$C$52,2,FALSE)</f>
        <v>查修團隊B</v>
      </c>
      <c r="N1633">
        <f>IF(交易處理資料__3[[#This Row],[上班時間]]=0,0,交易處理資料__3[[#This Row],[售出工時]]/交易處理資料__3[[#This Row],[上班時間]])</f>
        <v>0</v>
      </c>
      <c r="O1633" s="31" t="str">
        <f>IF(交易處理資料__3[[#This Row],[上班時間]]=0,"否","是")</f>
        <v>否</v>
      </c>
    </row>
    <row r="1634" spans="1:15" hidden="1">
      <c r="A1634" t="s">
        <v>75</v>
      </c>
      <c r="B1634" t="s">
        <v>36</v>
      </c>
      <c r="C1634">
        <v>0</v>
      </c>
      <c r="D1634">
        <v>0</v>
      </c>
      <c r="E1634" s="27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 s="9">
        <v>45333</v>
      </c>
      <c r="L1634">
        <f xml:space="preserve"> (交易處理資料__3[[#This Row],[售出工時]] * 60) / 5</f>
        <v>0</v>
      </c>
      <c r="M1634" t="str">
        <f>VLOOKUP(交易處理資料__3[[#This Row],[人員代號]],團隊分組!$B$1:$C$52,2,FALSE)</f>
        <v>查修團隊B</v>
      </c>
      <c r="N1634">
        <f>IF(交易處理資料__3[[#This Row],[上班時間]]=0,0,交易處理資料__3[[#This Row],[售出工時]]/交易處理資料__3[[#This Row],[上班時間]])</f>
        <v>0</v>
      </c>
      <c r="O1634" s="31" t="str">
        <f>IF(交易處理資料__3[[#This Row],[上班時間]]=0,"否","是")</f>
        <v>否</v>
      </c>
    </row>
    <row r="1635" spans="1:15" hidden="1">
      <c r="A1635" t="s">
        <v>75</v>
      </c>
      <c r="B1635" t="s">
        <v>37</v>
      </c>
      <c r="C1635">
        <v>0</v>
      </c>
      <c r="D1635">
        <v>0</v>
      </c>
      <c r="E1635" s="27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 s="9">
        <v>45333</v>
      </c>
      <c r="L1635">
        <f xml:space="preserve"> (交易處理資料__3[[#This Row],[售出工時]] * 60) / 5</f>
        <v>0</v>
      </c>
      <c r="M1635" t="str">
        <f>VLOOKUP(交易處理資料__3[[#This Row],[人員代號]],團隊分組!$B$1:$C$52,2,FALSE)</f>
        <v>查修團隊A</v>
      </c>
      <c r="N1635">
        <f>IF(交易處理資料__3[[#This Row],[上班時間]]=0,0,交易處理資料__3[[#This Row],[售出工時]]/交易處理資料__3[[#This Row],[上班時間]])</f>
        <v>0</v>
      </c>
      <c r="O1635" s="31" t="str">
        <f>IF(交易處理資料__3[[#This Row],[上班時間]]=0,"否","是")</f>
        <v>否</v>
      </c>
    </row>
    <row r="1636" spans="1:15" hidden="1">
      <c r="A1636" t="s">
        <v>75</v>
      </c>
      <c r="B1636" t="s">
        <v>38</v>
      </c>
      <c r="C1636">
        <v>0</v>
      </c>
      <c r="D1636">
        <v>0</v>
      </c>
      <c r="E1636" s="27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 s="9">
        <v>45333</v>
      </c>
      <c r="L1636">
        <f xml:space="preserve"> (交易處理資料__3[[#This Row],[售出工時]] * 60) / 5</f>
        <v>0</v>
      </c>
      <c r="M1636" t="str">
        <f>VLOOKUP(交易處理資料__3[[#This Row],[人員代號]],團隊分組!$B$1:$C$52,2,FALSE)</f>
        <v>快速保養團隊A</v>
      </c>
      <c r="N1636">
        <f>IF(交易處理資料__3[[#This Row],[上班時間]]=0,0,交易處理資料__3[[#This Row],[售出工時]]/交易處理資料__3[[#This Row],[上班時間]])</f>
        <v>0</v>
      </c>
      <c r="O1636" s="31" t="str">
        <f>IF(交易處理資料__3[[#This Row],[上班時間]]=0,"否","是")</f>
        <v>否</v>
      </c>
    </row>
    <row r="1637" spans="1:15" hidden="1">
      <c r="A1637" t="s">
        <v>75</v>
      </c>
      <c r="B1637" t="s">
        <v>39</v>
      </c>
      <c r="C1637">
        <v>0</v>
      </c>
      <c r="D1637">
        <v>0</v>
      </c>
      <c r="E1637" s="2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 s="9">
        <v>45333</v>
      </c>
      <c r="L1637">
        <f xml:space="preserve"> (交易處理資料__3[[#This Row],[售出工時]] * 60) / 5</f>
        <v>0</v>
      </c>
      <c r="M1637" t="str">
        <f>VLOOKUP(交易處理資料__3[[#This Row],[人員代號]],團隊分組!$B$1:$C$52,2,FALSE)</f>
        <v>查修團隊A</v>
      </c>
      <c r="N1637">
        <f>IF(交易處理資料__3[[#This Row],[上班時間]]=0,0,交易處理資料__3[[#This Row],[售出工時]]/交易處理資料__3[[#This Row],[上班時間]])</f>
        <v>0</v>
      </c>
      <c r="O1637" s="31" t="str">
        <f>IF(交易處理資料__3[[#This Row],[上班時間]]=0,"否","是")</f>
        <v>否</v>
      </c>
    </row>
    <row r="1638" spans="1:15" hidden="1">
      <c r="A1638" t="s">
        <v>75</v>
      </c>
      <c r="B1638" t="s">
        <v>40</v>
      </c>
      <c r="C1638">
        <v>0</v>
      </c>
      <c r="D1638">
        <v>0</v>
      </c>
      <c r="E1638" s="27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 s="9">
        <v>45333</v>
      </c>
      <c r="L1638">
        <f xml:space="preserve"> (交易處理資料__3[[#This Row],[售出工時]] * 60) / 5</f>
        <v>0</v>
      </c>
      <c r="M1638" t="str">
        <f>VLOOKUP(交易處理資料__3[[#This Row],[人員代號]],團隊分組!$B$1:$C$52,2,FALSE)</f>
        <v>查修團隊A</v>
      </c>
      <c r="N1638">
        <f>IF(交易處理資料__3[[#This Row],[上班時間]]=0,0,交易處理資料__3[[#This Row],[售出工時]]/交易處理資料__3[[#This Row],[上班時間]])</f>
        <v>0</v>
      </c>
      <c r="O1638" s="31" t="str">
        <f>IF(交易處理資料__3[[#This Row],[上班時間]]=0,"否","是")</f>
        <v>否</v>
      </c>
    </row>
    <row r="1639" spans="1:15" hidden="1">
      <c r="A1639" t="s">
        <v>75</v>
      </c>
      <c r="B1639" t="s">
        <v>41</v>
      </c>
      <c r="C1639">
        <v>0</v>
      </c>
      <c r="D1639">
        <v>0</v>
      </c>
      <c r="E1639" s="27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 s="9">
        <v>45333</v>
      </c>
      <c r="L1639">
        <f xml:space="preserve"> (交易處理資料__3[[#This Row],[售出工時]] * 60) / 5</f>
        <v>0</v>
      </c>
      <c r="M1639" t="str">
        <f>VLOOKUP(交易處理資料__3[[#This Row],[人員代號]],團隊分組!$B$1:$C$52,2,FALSE)</f>
        <v>快速保養團隊A</v>
      </c>
      <c r="N1639">
        <f>IF(交易處理資料__3[[#This Row],[上班時間]]=0,0,交易處理資料__3[[#This Row],[售出工時]]/交易處理資料__3[[#This Row],[上班時間]])</f>
        <v>0</v>
      </c>
      <c r="O1639" s="31" t="str">
        <f>IF(交易處理資料__3[[#This Row],[上班時間]]=0,"否","是")</f>
        <v>否</v>
      </c>
    </row>
    <row r="1640" spans="1:15" hidden="1">
      <c r="A1640" t="s">
        <v>75</v>
      </c>
      <c r="B1640" t="s">
        <v>42</v>
      </c>
      <c r="C1640">
        <v>0</v>
      </c>
      <c r="D1640">
        <v>0</v>
      </c>
      <c r="E1640" s="27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 s="9">
        <v>45333</v>
      </c>
      <c r="L1640">
        <f xml:space="preserve"> (交易處理資料__3[[#This Row],[售出工時]] * 60) / 5</f>
        <v>0</v>
      </c>
      <c r="M1640" t="str">
        <f>VLOOKUP(交易處理資料__3[[#This Row],[人員代號]],團隊分組!$B$1:$C$52,2,FALSE)</f>
        <v>快速保養團隊A</v>
      </c>
      <c r="N1640">
        <f>IF(交易處理資料__3[[#This Row],[上班時間]]=0,0,交易處理資料__3[[#This Row],[售出工時]]/交易處理資料__3[[#This Row],[上班時間]])</f>
        <v>0</v>
      </c>
      <c r="O1640" s="31" t="str">
        <f>IF(交易處理資料__3[[#This Row],[上班時間]]=0,"否","是")</f>
        <v>否</v>
      </c>
    </row>
    <row r="1641" spans="1:15" hidden="1">
      <c r="A1641" t="s">
        <v>75</v>
      </c>
      <c r="B1641" t="s">
        <v>43</v>
      </c>
      <c r="C1641">
        <v>0</v>
      </c>
      <c r="D1641">
        <v>0</v>
      </c>
      <c r="E1641" s="27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 s="9">
        <v>45333</v>
      </c>
      <c r="L1641">
        <f xml:space="preserve"> (交易處理資料__3[[#This Row],[售出工時]] * 60) / 5</f>
        <v>0</v>
      </c>
      <c r="M1641" t="str">
        <f>VLOOKUP(交易處理資料__3[[#This Row],[人員代號]],團隊分組!$B$1:$C$52,2,FALSE)</f>
        <v>查修團隊B</v>
      </c>
      <c r="N1641">
        <f>IF(交易處理資料__3[[#This Row],[上班時間]]=0,0,交易處理資料__3[[#This Row],[售出工時]]/交易處理資料__3[[#This Row],[上班時間]])</f>
        <v>0</v>
      </c>
      <c r="O1641" s="31" t="str">
        <f>IF(交易處理資料__3[[#This Row],[上班時間]]=0,"否","是")</f>
        <v>否</v>
      </c>
    </row>
    <row r="1642" spans="1:15" hidden="1">
      <c r="A1642" t="s">
        <v>75</v>
      </c>
      <c r="B1642" t="s">
        <v>44</v>
      </c>
      <c r="C1642">
        <v>0</v>
      </c>
      <c r="D1642">
        <v>0</v>
      </c>
      <c r="E1642" s="27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 s="9">
        <v>45333</v>
      </c>
      <c r="L1642">
        <f xml:space="preserve"> (交易處理資料__3[[#This Row],[售出工時]] * 60) / 5</f>
        <v>0</v>
      </c>
      <c r="M1642" t="str">
        <f>VLOOKUP(交易處理資料__3[[#This Row],[人員代號]],團隊分組!$B$1:$C$52,2,FALSE)</f>
        <v>快速保養團隊B</v>
      </c>
      <c r="N1642">
        <f>IF(交易處理資料__3[[#This Row],[上班時間]]=0,0,交易處理資料__3[[#This Row],[售出工時]]/交易處理資料__3[[#This Row],[上班時間]])</f>
        <v>0</v>
      </c>
      <c r="O1642" s="31" t="str">
        <f>IF(交易處理資料__3[[#This Row],[上班時間]]=0,"否","是")</f>
        <v>否</v>
      </c>
    </row>
    <row r="1643" spans="1:15" hidden="1">
      <c r="A1643" t="s">
        <v>75</v>
      </c>
      <c r="B1643" t="s">
        <v>45</v>
      </c>
      <c r="C1643">
        <v>0</v>
      </c>
      <c r="D1643">
        <v>0</v>
      </c>
      <c r="E1643" s="27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 s="9">
        <v>45333</v>
      </c>
      <c r="L1643">
        <f xml:space="preserve"> (交易處理資料__3[[#This Row],[售出工時]] * 60) / 5</f>
        <v>0</v>
      </c>
      <c r="M1643" t="str">
        <f>VLOOKUP(交易處理資料__3[[#This Row],[人員代號]],團隊分組!$B$1:$C$52,2,FALSE)</f>
        <v>快速保養團隊A</v>
      </c>
      <c r="N1643">
        <f>IF(交易處理資料__3[[#This Row],[上班時間]]=0,0,交易處理資料__3[[#This Row],[售出工時]]/交易處理資料__3[[#This Row],[上班時間]])</f>
        <v>0</v>
      </c>
      <c r="O1643" s="31" t="str">
        <f>IF(交易處理資料__3[[#This Row],[上班時間]]=0,"否","是")</f>
        <v>否</v>
      </c>
    </row>
    <row r="1644" spans="1:15" hidden="1">
      <c r="A1644" t="s">
        <v>75</v>
      </c>
      <c r="B1644" t="s">
        <v>46</v>
      </c>
      <c r="C1644">
        <v>0</v>
      </c>
      <c r="D1644">
        <v>0</v>
      </c>
      <c r="E1644" s="27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 s="9">
        <v>45333</v>
      </c>
      <c r="L1644">
        <f xml:space="preserve"> (交易處理資料__3[[#This Row],[售出工時]] * 60) / 5</f>
        <v>0</v>
      </c>
      <c r="M1644" t="str">
        <f>VLOOKUP(交易處理資料__3[[#This Row],[人員代號]],團隊分組!$B$1:$C$52,2,FALSE)</f>
        <v>查修團隊B</v>
      </c>
      <c r="N1644">
        <f>IF(交易處理資料__3[[#This Row],[上班時間]]=0,0,交易處理資料__3[[#This Row],[售出工時]]/交易處理資料__3[[#This Row],[上班時間]])</f>
        <v>0</v>
      </c>
      <c r="O1644" s="31" t="str">
        <f>IF(交易處理資料__3[[#This Row],[上班時間]]=0,"否","是")</f>
        <v>否</v>
      </c>
    </row>
    <row r="1645" spans="1:15" hidden="1">
      <c r="A1645" t="s">
        <v>75</v>
      </c>
      <c r="B1645" t="s">
        <v>47</v>
      </c>
      <c r="C1645">
        <v>0</v>
      </c>
      <c r="D1645">
        <v>0</v>
      </c>
      <c r="E1645" s="27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 s="9">
        <v>45333</v>
      </c>
      <c r="L1645">
        <f xml:space="preserve"> (交易處理資料__3[[#This Row],[售出工時]] * 60) / 5</f>
        <v>0</v>
      </c>
      <c r="M1645" t="str">
        <f>VLOOKUP(交易處理資料__3[[#This Row],[人員代號]],團隊分組!$B$1:$C$52,2,FALSE)</f>
        <v>查修團隊B</v>
      </c>
      <c r="N1645">
        <f>IF(交易處理資料__3[[#This Row],[上班時間]]=0,0,交易處理資料__3[[#This Row],[售出工時]]/交易處理資料__3[[#This Row],[上班時間]])</f>
        <v>0</v>
      </c>
      <c r="O1645" s="31" t="str">
        <f>IF(交易處理資料__3[[#This Row],[上班時間]]=0,"否","是")</f>
        <v>否</v>
      </c>
    </row>
    <row r="1646" spans="1:15" hidden="1">
      <c r="A1646" t="s">
        <v>75</v>
      </c>
      <c r="B1646" t="s">
        <v>48</v>
      </c>
      <c r="C1646">
        <v>0</v>
      </c>
      <c r="D1646">
        <v>0</v>
      </c>
      <c r="E1646" s="27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 s="9">
        <v>45333</v>
      </c>
      <c r="L1646">
        <f xml:space="preserve"> (交易處理資料__3[[#This Row],[售出工時]] * 60) / 5</f>
        <v>0</v>
      </c>
      <c r="M1646" t="str">
        <f>VLOOKUP(交易處理資料__3[[#This Row],[人員代號]],團隊分組!$B$1:$C$52,2,FALSE)</f>
        <v>查修團隊A</v>
      </c>
      <c r="N1646">
        <f>IF(交易處理資料__3[[#This Row],[上班時間]]=0,0,交易處理資料__3[[#This Row],[售出工時]]/交易處理資料__3[[#This Row],[上班時間]])</f>
        <v>0</v>
      </c>
      <c r="O1646" s="31" t="str">
        <f>IF(交易處理資料__3[[#This Row],[上班時間]]=0,"否","是")</f>
        <v>否</v>
      </c>
    </row>
    <row r="1647" spans="1:15" hidden="1">
      <c r="A1647" t="s">
        <v>75</v>
      </c>
      <c r="B1647" t="s">
        <v>49</v>
      </c>
      <c r="C1647">
        <v>0</v>
      </c>
      <c r="D1647">
        <v>0</v>
      </c>
      <c r="E1647" s="2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 s="9">
        <v>45333</v>
      </c>
      <c r="L1647">
        <f xml:space="preserve"> (交易處理資料__3[[#This Row],[售出工時]] * 60) / 5</f>
        <v>0</v>
      </c>
      <c r="M1647" t="str">
        <f>VLOOKUP(交易處理資料__3[[#This Row],[人員代號]],團隊分組!$B$1:$C$52,2,FALSE)</f>
        <v>查修團隊A</v>
      </c>
      <c r="N1647">
        <f>IF(交易處理資料__3[[#This Row],[上班時間]]=0,0,交易處理資料__3[[#This Row],[售出工時]]/交易處理資料__3[[#This Row],[上班時間]])</f>
        <v>0</v>
      </c>
      <c r="O1647" s="31" t="str">
        <f>IF(交易處理資料__3[[#This Row],[上班時間]]=0,"否","是")</f>
        <v>否</v>
      </c>
    </row>
    <row r="1648" spans="1:15" hidden="1">
      <c r="A1648" t="s">
        <v>75</v>
      </c>
      <c r="B1648" t="s">
        <v>50</v>
      </c>
      <c r="C1648">
        <v>0</v>
      </c>
      <c r="D1648">
        <v>0</v>
      </c>
      <c r="E1648" s="27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 s="9">
        <v>45333</v>
      </c>
      <c r="L1648">
        <f xml:space="preserve"> (交易處理資料__3[[#This Row],[售出工時]] * 60) / 5</f>
        <v>0</v>
      </c>
      <c r="M1648" t="str">
        <f>VLOOKUP(交易處理資料__3[[#This Row],[人員代號]],團隊分組!$B$1:$C$52,2,FALSE)</f>
        <v>快速保養團隊B</v>
      </c>
      <c r="N1648">
        <f>IF(交易處理資料__3[[#This Row],[上班時間]]=0,0,交易處理資料__3[[#This Row],[售出工時]]/交易處理資料__3[[#This Row],[上班時間]])</f>
        <v>0</v>
      </c>
      <c r="O1648" s="31" t="str">
        <f>IF(交易處理資料__3[[#This Row],[上班時間]]=0,"否","是")</f>
        <v>否</v>
      </c>
    </row>
    <row r="1649" spans="1:15" hidden="1">
      <c r="A1649" t="s">
        <v>75</v>
      </c>
      <c r="B1649" t="s">
        <v>51</v>
      </c>
      <c r="C1649">
        <v>0</v>
      </c>
      <c r="D1649">
        <v>0</v>
      </c>
      <c r="E1649" s="27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 s="9">
        <v>45333</v>
      </c>
      <c r="L1649">
        <f xml:space="preserve"> (交易處理資料__3[[#This Row],[售出工時]] * 60) / 5</f>
        <v>0</v>
      </c>
      <c r="M1649" t="str">
        <f>VLOOKUP(交易處理資料__3[[#This Row],[人員代號]],團隊分組!$B$1:$C$52,2,FALSE)</f>
        <v>無效數據</v>
      </c>
      <c r="N1649">
        <f>IF(交易處理資料__3[[#This Row],[上班時間]]=0,0,交易處理資料__3[[#This Row],[售出工時]]/交易處理資料__3[[#This Row],[上班時間]])</f>
        <v>0</v>
      </c>
      <c r="O1649" s="31" t="str">
        <f>IF(交易處理資料__3[[#This Row],[上班時間]]=0,"否","是")</f>
        <v>否</v>
      </c>
    </row>
    <row r="1650" spans="1:15" hidden="1">
      <c r="A1650" t="s">
        <v>75</v>
      </c>
      <c r="B1650" t="s">
        <v>52</v>
      </c>
      <c r="C1650">
        <v>0</v>
      </c>
      <c r="D1650">
        <v>0</v>
      </c>
      <c r="E1650" s="27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 s="9">
        <v>45333</v>
      </c>
      <c r="L1650">
        <f xml:space="preserve"> (交易處理資料__3[[#This Row],[售出工時]] * 60) / 5</f>
        <v>0</v>
      </c>
      <c r="M1650" t="str">
        <f>VLOOKUP(交易處理資料__3[[#This Row],[人員代號]],團隊分組!$B$1:$C$52,2,FALSE)</f>
        <v>查修團隊B</v>
      </c>
      <c r="N1650">
        <f>IF(交易處理資料__3[[#This Row],[上班時間]]=0,0,交易處理資料__3[[#This Row],[售出工時]]/交易處理資料__3[[#This Row],[上班時間]])</f>
        <v>0</v>
      </c>
      <c r="O1650" s="31" t="str">
        <f>IF(交易處理資料__3[[#This Row],[上班時間]]=0,"否","是")</f>
        <v>否</v>
      </c>
    </row>
    <row r="1651" spans="1:15" hidden="1">
      <c r="A1651" t="s">
        <v>75</v>
      </c>
      <c r="B1651" t="s">
        <v>53</v>
      </c>
      <c r="C1651">
        <v>0</v>
      </c>
      <c r="D1651">
        <v>0</v>
      </c>
      <c r="E1651" s="27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 s="9">
        <v>45333</v>
      </c>
      <c r="L1651">
        <f xml:space="preserve"> (交易處理資料__3[[#This Row],[售出工時]] * 60) / 5</f>
        <v>0</v>
      </c>
      <c r="M1651" t="str">
        <f>VLOOKUP(交易處理資料__3[[#This Row],[人員代號]],團隊分組!$B$1:$C$52,2,FALSE)</f>
        <v>查修團隊A</v>
      </c>
      <c r="N1651">
        <f>IF(交易處理資料__3[[#This Row],[上班時間]]=0,0,交易處理資料__3[[#This Row],[售出工時]]/交易處理資料__3[[#This Row],[上班時間]])</f>
        <v>0</v>
      </c>
      <c r="O1651" s="31" t="str">
        <f>IF(交易處理資料__3[[#This Row],[上班時間]]=0,"否","是")</f>
        <v>否</v>
      </c>
    </row>
    <row r="1652" spans="1:15" hidden="1">
      <c r="A1652" s="10" t="s">
        <v>73</v>
      </c>
      <c r="B1652" t="s">
        <v>1</v>
      </c>
      <c r="C1652">
        <v>0</v>
      </c>
      <c r="D1652">
        <v>0</v>
      </c>
      <c r="E1652" s="27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 s="9">
        <v>45334</v>
      </c>
      <c r="L1652">
        <f xml:space="preserve"> (交易處理資料__3[[#This Row],[售出工時]] * 60) / 5</f>
        <v>0</v>
      </c>
      <c r="M1652" t="str">
        <f>VLOOKUP(交易處理資料__3[[#This Row],[人員代號]],團隊分組!$B$1:$C$52,2,FALSE)</f>
        <v>噴漆維修組</v>
      </c>
      <c r="N1652">
        <f>IF(交易處理資料__3[[#This Row],[上班時間]]=0,0,交易處理資料__3[[#This Row],[售出工時]]/交易處理資料__3[[#This Row],[上班時間]])</f>
        <v>0</v>
      </c>
      <c r="O1652" s="31" t="str">
        <f>IF(交易處理資料__3[[#This Row],[上班時間]]=0,"否","是")</f>
        <v>否</v>
      </c>
    </row>
    <row r="1653" spans="1:15" hidden="1">
      <c r="A1653" s="10" t="s">
        <v>73</v>
      </c>
      <c r="B1653" t="s">
        <v>2</v>
      </c>
      <c r="C1653">
        <v>0</v>
      </c>
      <c r="D1653">
        <v>0</v>
      </c>
      <c r="E1653" s="27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 s="9">
        <v>45334</v>
      </c>
      <c r="L1653">
        <f xml:space="preserve"> (交易處理資料__3[[#This Row],[售出工時]] * 60) / 5</f>
        <v>0</v>
      </c>
      <c r="M1653" t="str">
        <f>VLOOKUP(交易處理資料__3[[#This Row],[人員代號]],團隊分組!$B$1:$C$52,2,FALSE)</f>
        <v>噴漆維修組</v>
      </c>
      <c r="N1653">
        <f>IF(交易處理資料__3[[#This Row],[上班時間]]=0,0,交易處理資料__3[[#This Row],[售出工時]]/交易處理資料__3[[#This Row],[上班時間]])</f>
        <v>0</v>
      </c>
      <c r="O1653" s="31" t="str">
        <f>IF(交易處理資料__3[[#This Row],[上班時間]]=0,"否","是")</f>
        <v>否</v>
      </c>
    </row>
    <row r="1654" spans="1:15" hidden="1">
      <c r="A1654" s="10" t="s">
        <v>73</v>
      </c>
      <c r="B1654" t="s">
        <v>3</v>
      </c>
      <c r="C1654">
        <v>0</v>
      </c>
      <c r="D1654">
        <v>0</v>
      </c>
      <c r="E1654" s="27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 s="9">
        <v>45334</v>
      </c>
      <c r="L1654">
        <f xml:space="preserve"> (交易處理資料__3[[#This Row],[售出工時]] * 60) / 5</f>
        <v>0</v>
      </c>
      <c r="M1654" t="str">
        <f>VLOOKUP(交易處理資料__3[[#This Row],[人員代號]],團隊分組!$B$1:$C$52,2,FALSE)</f>
        <v>噴漆維修組</v>
      </c>
      <c r="N1654">
        <f>IF(交易處理資料__3[[#This Row],[上班時間]]=0,0,交易處理資料__3[[#This Row],[售出工時]]/交易處理資料__3[[#This Row],[上班時間]])</f>
        <v>0</v>
      </c>
      <c r="O1654" s="31" t="str">
        <f>IF(交易處理資料__3[[#This Row],[上班時間]]=0,"否","是")</f>
        <v>否</v>
      </c>
    </row>
    <row r="1655" spans="1:15" hidden="1">
      <c r="A1655" s="10" t="s">
        <v>73</v>
      </c>
      <c r="B1655" t="s">
        <v>4</v>
      </c>
      <c r="C1655">
        <v>0</v>
      </c>
      <c r="D1655">
        <v>0</v>
      </c>
      <c r="E1655" s="27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 s="9">
        <v>45334</v>
      </c>
      <c r="L1655">
        <f xml:space="preserve"> (交易處理資料__3[[#This Row],[售出工時]] * 60) / 5</f>
        <v>0</v>
      </c>
      <c r="M1655" t="str">
        <f>VLOOKUP(交易處理資料__3[[#This Row],[人員代號]],團隊分組!$B$1:$C$52,2,FALSE)</f>
        <v>噴漆維修組</v>
      </c>
      <c r="N1655">
        <f>IF(交易處理資料__3[[#This Row],[上班時間]]=0,0,交易處理資料__3[[#This Row],[售出工時]]/交易處理資料__3[[#This Row],[上班時間]])</f>
        <v>0</v>
      </c>
      <c r="O1655" s="31" t="str">
        <f>IF(交易處理資料__3[[#This Row],[上班時間]]=0,"否","是")</f>
        <v>否</v>
      </c>
    </row>
    <row r="1656" spans="1:15" hidden="1">
      <c r="A1656" s="10" t="s">
        <v>73</v>
      </c>
      <c r="B1656" t="s">
        <v>5</v>
      </c>
      <c r="C1656">
        <v>0</v>
      </c>
      <c r="D1656">
        <v>0</v>
      </c>
      <c r="E1656" s="27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 s="9">
        <v>45334</v>
      </c>
      <c r="L1656">
        <f xml:space="preserve"> (交易處理資料__3[[#This Row],[售出工時]] * 60) / 5</f>
        <v>0</v>
      </c>
      <c r="M1656" t="str">
        <f>VLOOKUP(交易處理資料__3[[#This Row],[人員代號]],團隊分組!$B$1:$C$52,2,FALSE)</f>
        <v>噴漆維修組</v>
      </c>
      <c r="N1656">
        <f>IF(交易處理資料__3[[#This Row],[上班時間]]=0,0,交易處理資料__3[[#This Row],[售出工時]]/交易處理資料__3[[#This Row],[上班時間]])</f>
        <v>0</v>
      </c>
      <c r="O1656" s="31" t="str">
        <f>IF(交易處理資料__3[[#This Row],[上班時間]]=0,"否","是")</f>
        <v>否</v>
      </c>
    </row>
    <row r="1657" spans="1:15" hidden="1">
      <c r="A1657" s="10" t="s">
        <v>73</v>
      </c>
      <c r="B1657" t="s">
        <v>6</v>
      </c>
      <c r="C1657">
        <v>0</v>
      </c>
      <c r="D1657">
        <v>0</v>
      </c>
      <c r="E1657" s="2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 s="9">
        <v>45334</v>
      </c>
      <c r="L1657">
        <f xml:space="preserve"> (交易處理資料__3[[#This Row],[售出工時]] * 60) / 5</f>
        <v>0</v>
      </c>
      <c r="M1657" t="str">
        <f>VLOOKUP(交易處理資料__3[[#This Row],[人員代號]],團隊分組!$B$1:$C$52,2,FALSE)</f>
        <v>噴漆維修組</v>
      </c>
      <c r="N1657">
        <f>IF(交易處理資料__3[[#This Row],[上班時間]]=0,0,交易處理資料__3[[#This Row],[售出工時]]/交易處理資料__3[[#This Row],[上班時間]])</f>
        <v>0</v>
      </c>
      <c r="O1657" s="31" t="str">
        <f>IF(交易處理資料__3[[#This Row],[上班時間]]=0,"否","是")</f>
        <v>否</v>
      </c>
    </row>
    <row r="1658" spans="1:15" hidden="1">
      <c r="A1658" s="10" t="s">
        <v>73</v>
      </c>
      <c r="B1658" t="s">
        <v>7</v>
      </c>
      <c r="C1658">
        <v>0</v>
      </c>
      <c r="D1658">
        <v>0</v>
      </c>
      <c r="E1658" s="27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 s="9">
        <v>45334</v>
      </c>
      <c r="L1658">
        <f xml:space="preserve"> (交易處理資料__3[[#This Row],[售出工時]] * 60) / 5</f>
        <v>0</v>
      </c>
      <c r="M1658" t="str">
        <f>VLOOKUP(交易處理資料__3[[#This Row],[人員代號]],團隊分組!$B$1:$C$52,2,FALSE)</f>
        <v>噴漆維修組</v>
      </c>
      <c r="N1658">
        <f>IF(交易處理資料__3[[#This Row],[上班時間]]=0,0,交易處理資料__3[[#This Row],[售出工時]]/交易處理資料__3[[#This Row],[上班時間]])</f>
        <v>0</v>
      </c>
      <c r="O1658" s="31" t="str">
        <f>IF(交易處理資料__3[[#This Row],[上班時間]]=0,"否","是")</f>
        <v>否</v>
      </c>
    </row>
    <row r="1659" spans="1:15" hidden="1">
      <c r="A1659" s="10" t="s">
        <v>73</v>
      </c>
      <c r="B1659" t="s">
        <v>8</v>
      </c>
      <c r="C1659">
        <v>0</v>
      </c>
      <c r="D1659">
        <v>0</v>
      </c>
      <c r="E1659" s="27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 s="9">
        <v>45334</v>
      </c>
      <c r="L1659">
        <f xml:space="preserve"> (交易處理資料__3[[#This Row],[售出工時]] * 60) / 5</f>
        <v>0</v>
      </c>
      <c r="M1659" t="str">
        <f>VLOOKUP(交易處理資料__3[[#This Row],[人員代號]],團隊分組!$B$1:$C$52,2,FALSE)</f>
        <v>噴漆維修組</v>
      </c>
      <c r="N1659">
        <f>IF(交易處理資料__3[[#This Row],[上班時間]]=0,0,交易處理資料__3[[#This Row],[售出工時]]/交易處理資料__3[[#This Row],[上班時間]])</f>
        <v>0</v>
      </c>
      <c r="O1659" s="31" t="str">
        <f>IF(交易處理資料__3[[#This Row],[上班時間]]=0,"否","是")</f>
        <v>否</v>
      </c>
    </row>
    <row r="1660" spans="1:15" hidden="1">
      <c r="A1660" s="10" t="s">
        <v>73</v>
      </c>
      <c r="B1660" t="s">
        <v>9</v>
      </c>
      <c r="C1660">
        <v>0</v>
      </c>
      <c r="D1660">
        <v>0</v>
      </c>
      <c r="E1660" s="27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 s="9">
        <v>45334</v>
      </c>
      <c r="L1660">
        <f xml:space="preserve"> (交易處理資料__3[[#This Row],[售出工時]] * 60) / 5</f>
        <v>0</v>
      </c>
      <c r="M1660" t="str">
        <f>VLOOKUP(交易處理資料__3[[#This Row],[人員代號]],團隊分組!$B$1:$C$52,2,FALSE)</f>
        <v>噴漆維修組</v>
      </c>
      <c r="N1660">
        <f>IF(交易處理資料__3[[#This Row],[上班時間]]=0,0,交易處理資料__3[[#This Row],[售出工時]]/交易處理資料__3[[#This Row],[上班時間]])</f>
        <v>0</v>
      </c>
      <c r="O1660" s="31" t="str">
        <f>IF(交易處理資料__3[[#This Row],[上班時間]]=0,"否","是")</f>
        <v>否</v>
      </c>
    </row>
    <row r="1661" spans="1:15" hidden="1">
      <c r="A1661" t="s">
        <v>74</v>
      </c>
      <c r="B1661" t="s">
        <v>11</v>
      </c>
      <c r="C1661">
        <v>0</v>
      </c>
      <c r="D1661">
        <v>0</v>
      </c>
      <c r="E1661" s="27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 s="9">
        <v>45334</v>
      </c>
      <c r="L1661">
        <f xml:space="preserve"> (交易處理資料__3[[#This Row],[售出工時]] * 60) / 5</f>
        <v>0</v>
      </c>
      <c r="M1661" t="str">
        <f>VLOOKUP(交易處理資料__3[[#This Row],[人員代號]],團隊分組!$B$1:$C$52,2,FALSE)</f>
        <v>鈑金維修組</v>
      </c>
      <c r="N1661">
        <f>IF(交易處理資料__3[[#This Row],[上班時間]]=0,0,交易處理資料__3[[#This Row],[售出工時]]/交易處理資料__3[[#This Row],[上班時間]])</f>
        <v>0</v>
      </c>
      <c r="O1661" s="31" t="str">
        <f>IF(交易處理資料__3[[#This Row],[上班時間]]=0,"否","是")</f>
        <v>否</v>
      </c>
    </row>
    <row r="1662" spans="1:15" hidden="1">
      <c r="A1662" t="s">
        <v>74</v>
      </c>
      <c r="B1662" t="s">
        <v>12</v>
      </c>
      <c r="C1662">
        <v>0</v>
      </c>
      <c r="D1662">
        <v>0</v>
      </c>
      <c r="E1662" s="27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 s="9">
        <v>45334</v>
      </c>
      <c r="L1662">
        <f xml:space="preserve"> (交易處理資料__3[[#This Row],[售出工時]] * 60) / 5</f>
        <v>0</v>
      </c>
      <c r="M1662" t="str">
        <f>VLOOKUP(交易處理資料__3[[#This Row],[人員代號]],團隊分組!$B$1:$C$52,2,FALSE)</f>
        <v>鈑金維修組</v>
      </c>
      <c r="N1662">
        <f>IF(交易處理資料__3[[#This Row],[上班時間]]=0,0,交易處理資料__3[[#This Row],[售出工時]]/交易處理資料__3[[#This Row],[上班時間]])</f>
        <v>0</v>
      </c>
      <c r="O1662" s="31" t="str">
        <f>IF(交易處理資料__3[[#This Row],[上班時間]]=0,"否","是")</f>
        <v>否</v>
      </c>
    </row>
    <row r="1663" spans="1:15" hidden="1">
      <c r="A1663" t="s">
        <v>74</v>
      </c>
      <c r="B1663" t="s">
        <v>13</v>
      </c>
      <c r="C1663">
        <v>0</v>
      </c>
      <c r="D1663">
        <v>0</v>
      </c>
      <c r="E1663" s="27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 s="9">
        <v>45334</v>
      </c>
      <c r="L1663">
        <f xml:space="preserve"> (交易處理資料__3[[#This Row],[售出工時]] * 60) / 5</f>
        <v>0</v>
      </c>
      <c r="M1663" t="str">
        <f>VLOOKUP(交易處理資料__3[[#This Row],[人員代號]],團隊分組!$B$1:$C$52,2,FALSE)</f>
        <v>鈑金維修組</v>
      </c>
      <c r="N1663">
        <f>IF(交易處理資料__3[[#This Row],[上班時間]]=0,0,交易處理資料__3[[#This Row],[售出工時]]/交易處理資料__3[[#This Row],[上班時間]])</f>
        <v>0</v>
      </c>
      <c r="O1663" s="31" t="str">
        <f>IF(交易處理資料__3[[#This Row],[上班時間]]=0,"否","是")</f>
        <v>否</v>
      </c>
    </row>
    <row r="1664" spans="1:15" hidden="1">
      <c r="A1664" t="s">
        <v>74</v>
      </c>
      <c r="B1664" t="s">
        <v>14</v>
      </c>
      <c r="C1664">
        <v>0</v>
      </c>
      <c r="D1664">
        <v>0</v>
      </c>
      <c r="E1664" s="27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 s="9">
        <v>45334</v>
      </c>
      <c r="L1664">
        <f xml:space="preserve"> (交易處理資料__3[[#This Row],[售出工時]] * 60) / 5</f>
        <v>0</v>
      </c>
      <c r="M1664" t="str">
        <f>VLOOKUP(交易處理資料__3[[#This Row],[人員代號]],團隊分組!$B$1:$C$52,2,FALSE)</f>
        <v>鈑金維修組</v>
      </c>
      <c r="N1664">
        <f>IF(交易處理資料__3[[#This Row],[上班時間]]=0,0,交易處理資料__3[[#This Row],[售出工時]]/交易處理資料__3[[#This Row],[上班時間]])</f>
        <v>0</v>
      </c>
      <c r="O1664" s="31" t="str">
        <f>IF(交易處理資料__3[[#This Row],[上班時間]]=0,"否","是")</f>
        <v>否</v>
      </c>
    </row>
    <row r="1665" spans="1:15" hidden="1">
      <c r="A1665" t="s">
        <v>74</v>
      </c>
      <c r="B1665" t="s">
        <v>15</v>
      </c>
      <c r="C1665">
        <v>0</v>
      </c>
      <c r="D1665">
        <v>0</v>
      </c>
      <c r="E1665" s="27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 s="9">
        <v>45334</v>
      </c>
      <c r="L1665">
        <f xml:space="preserve"> (交易處理資料__3[[#This Row],[售出工時]] * 60) / 5</f>
        <v>0</v>
      </c>
      <c r="M1665" t="str">
        <f>VLOOKUP(交易處理資料__3[[#This Row],[人員代號]],團隊分組!$B$1:$C$52,2,FALSE)</f>
        <v>鈑金維修組</v>
      </c>
      <c r="N1665">
        <f>IF(交易處理資料__3[[#This Row],[上班時間]]=0,0,交易處理資料__3[[#This Row],[售出工時]]/交易處理資料__3[[#This Row],[上班時間]])</f>
        <v>0</v>
      </c>
      <c r="O1665" s="31" t="str">
        <f>IF(交易處理資料__3[[#This Row],[上班時間]]=0,"否","是")</f>
        <v>否</v>
      </c>
    </row>
    <row r="1666" spans="1:15" hidden="1">
      <c r="A1666" t="s">
        <v>75</v>
      </c>
      <c r="B1666" t="s">
        <v>17</v>
      </c>
      <c r="C1666">
        <v>0</v>
      </c>
      <c r="D1666">
        <v>0</v>
      </c>
      <c r="E1666" s="27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 s="9">
        <v>45334</v>
      </c>
      <c r="L1666">
        <f xml:space="preserve"> (交易處理資料__3[[#This Row],[售出工時]] * 60) / 5</f>
        <v>0</v>
      </c>
      <c r="M1666" t="str">
        <f>VLOOKUP(交易處理資料__3[[#This Row],[人員代號]],團隊分組!$B$1:$C$52,2,FALSE)</f>
        <v>快速保養團隊A</v>
      </c>
      <c r="N1666">
        <f>IF(交易處理資料__3[[#This Row],[上班時間]]=0,0,交易處理資料__3[[#This Row],[售出工時]]/交易處理資料__3[[#This Row],[上班時間]])</f>
        <v>0</v>
      </c>
      <c r="O1666" s="31" t="str">
        <f>IF(交易處理資料__3[[#This Row],[上班時間]]=0,"否","是")</f>
        <v>否</v>
      </c>
    </row>
    <row r="1667" spans="1:15" hidden="1">
      <c r="A1667" t="s">
        <v>75</v>
      </c>
      <c r="B1667" t="s">
        <v>18</v>
      </c>
      <c r="C1667">
        <v>0</v>
      </c>
      <c r="D1667">
        <v>0</v>
      </c>
      <c r="E1667" s="2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 s="9">
        <v>45334</v>
      </c>
      <c r="L1667">
        <f xml:space="preserve"> (交易處理資料__3[[#This Row],[售出工時]] * 60) / 5</f>
        <v>0</v>
      </c>
      <c r="M1667" t="str">
        <f>VLOOKUP(交易處理資料__3[[#This Row],[人員代號]],團隊分組!$B$1:$C$52,2,FALSE)</f>
        <v>查修團隊B</v>
      </c>
      <c r="N1667">
        <f>IF(交易處理資料__3[[#This Row],[上班時間]]=0,0,交易處理資料__3[[#This Row],[售出工時]]/交易處理資料__3[[#This Row],[上班時間]])</f>
        <v>0</v>
      </c>
      <c r="O1667" s="31" t="str">
        <f>IF(交易處理資料__3[[#This Row],[上班時間]]=0,"否","是")</f>
        <v>否</v>
      </c>
    </row>
    <row r="1668" spans="1:15" hidden="1">
      <c r="A1668" t="s">
        <v>75</v>
      </c>
      <c r="B1668" t="s">
        <v>19</v>
      </c>
      <c r="C1668">
        <v>0</v>
      </c>
      <c r="D1668">
        <v>0</v>
      </c>
      <c r="E1668" s="27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 s="9">
        <v>45334</v>
      </c>
      <c r="L1668">
        <f xml:space="preserve"> (交易處理資料__3[[#This Row],[售出工時]] * 60) / 5</f>
        <v>0</v>
      </c>
      <c r="M1668" t="str">
        <f>VLOOKUP(交易處理資料__3[[#This Row],[人員代號]],團隊分組!$B$1:$C$52,2,FALSE)</f>
        <v>查修團隊A</v>
      </c>
      <c r="N1668">
        <f>IF(交易處理資料__3[[#This Row],[上班時間]]=0,0,交易處理資料__3[[#This Row],[售出工時]]/交易處理資料__3[[#This Row],[上班時間]])</f>
        <v>0</v>
      </c>
      <c r="O1668" s="31" t="str">
        <f>IF(交易處理資料__3[[#This Row],[上班時間]]=0,"否","是")</f>
        <v>否</v>
      </c>
    </row>
    <row r="1669" spans="1:15" hidden="1">
      <c r="A1669" t="s">
        <v>75</v>
      </c>
      <c r="B1669" t="s">
        <v>20</v>
      </c>
      <c r="C1669">
        <v>0</v>
      </c>
      <c r="D1669">
        <v>0</v>
      </c>
      <c r="E1669" s="27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 s="9">
        <v>45334</v>
      </c>
      <c r="L1669">
        <f xml:space="preserve"> (交易處理資料__3[[#This Row],[售出工時]] * 60) / 5</f>
        <v>0</v>
      </c>
      <c r="M1669" t="str">
        <f>VLOOKUP(交易處理資料__3[[#This Row],[人員代號]],團隊分組!$B$1:$C$52,2,FALSE)</f>
        <v>查修團隊B</v>
      </c>
      <c r="N1669">
        <f>IF(交易處理資料__3[[#This Row],[上班時間]]=0,0,交易處理資料__3[[#This Row],[售出工時]]/交易處理資料__3[[#This Row],[上班時間]])</f>
        <v>0</v>
      </c>
      <c r="O1669" s="31" t="str">
        <f>IF(交易處理資料__3[[#This Row],[上班時間]]=0,"否","是")</f>
        <v>否</v>
      </c>
    </row>
    <row r="1670" spans="1:15" hidden="1">
      <c r="A1670" t="s">
        <v>75</v>
      </c>
      <c r="B1670" t="s">
        <v>21</v>
      </c>
      <c r="C1670">
        <v>0</v>
      </c>
      <c r="D1670">
        <v>0</v>
      </c>
      <c r="E1670" s="27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 s="9">
        <v>45334</v>
      </c>
      <c r="L1670">
        <f xml:space="preserve"> (交易處理資料__3[[#This Row],[售出工時]] * 60) / 5</f>
        <v>0</v>
      </c>
      <c r="M1670" t="str">
        <f>VLOOKUP(交易處理資料__3[[#This Row],[人員代號]],團隊分組!$B$1:$C$52,2,FALSE)</f>
        <v>查修團隊B</v>
      </c>
      <c r="N1670">
        <f>IF(交易處理資料__3[[#This Row],[上班時間]]=0,0,交易處理資料__3[[#This Row],[售出工時]]/交易處理資料__3[[#This Row],[上班時間]])</f>
        <v>0</v>
      </c>
      <c r="O1670" s="31" t="str">
        <f>IF(交易處理資料__3[[#This Row],[上班時間]]=0,"否","是")</f>
        <v>否</v>
      </c>
    </row>
    <row r="1671" spans="1:15" hidden="1">
      <c r="A1671" t="s">
        <v>75</v>
      </c>
      <c r="B1671" t="s">
        <v>22</v>
      </c>
      <c r="C1671">
        <v>0</v>
      </c>
      <c r="D1671">
        <v>0</v>
      </c>
      <c r="E1671" s="27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 s="9">
        <v>45334</v>
      </c>
      <c r="L1671">
        <f xml:space="preserve"> (交易處理資料__3[[#This Row],[售出工時]] * 60) / 5</f>
        <v>0</v>
      </c>
      <c r="M1671" t="str">
        <f>VLOOKUP(交易處理資料__3[[#This Row],[人員代號]],團隊分組!$B$1:$C$52,2,FALSE)</f>
        <v>快速保養團隊A</v>
      </c>
      <c r="N1671">
        <f>IF(交易處理資料__3[[#This Row],[上班時間]]=0,0,交易處理資料__3[[#This Row],[售出工時]]/交易處理資料__3[[#This Row],[上班時間]])</f>
        <v>0</v>
      </c>
      <c r="O1671" s="31" t="str">
        <f>IF(交易處理資料__3[[#This Row],[上班時間]]=0,"否","是")</f>
        <v>否</v>
      </c>
    </row>
    <row r="1672" spans="1:15" hidden="1">
      <c r="A1672" t="s">
        <v>75</v>
      </c>
      <c r="B1672" t="s">
        <v>23</v>
      </c>
      <c r="C1672">
        <v>0</v>
      </c>
      <c r="D1672">
        <v>0</v>
      </c>
      <c r="E1672" s="27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 s="9">
        <v>45334</v>
      </c>
      <c r="L1672">
        <f xml:space="preserve"> (交易處理資料__3[[#This Row],[售出工時]] * 60) / 5</f>
        <v>0</v>
      </c>
      <c r="M1672" t="str">
        <f>VLOOKUP(交易處理資料__3[[#This Row],[人員代號]],團隊分組!$B$1:$C$52,2,FALSE)</f>
        <v>快速保養團隊B</v>
      </c>
      <c r="N1672">
        <f>IF(交易處理資料__3[[#This Row],[上班時間]]=0,0,交易處理資料__3[[#This Row],[售出工時]]/交易處理資料__3[[#This Row],[上班時間]])</f>
        <v>0</v>
      </c>
      <c r="O1672" s="31" t="str">
        <f>IF(交易處理資料__3[[#This Row],[上班時間]]=0,"否","是")</f>
        <v>否</v>
      </c>
    </row>
    <row r="1673" spans="1:15" hidden="1">
      <c r="A1673" t="s">
        <v>75</v>
      </c>
      <c r="B1673" t="s">
        <v>24</v>
      </c>
      <c r="C1673">
        <v>0</v>
      </c>
      <c r="D1673">
        <v>0</v>
      </c>
      <c r="E1673" s="27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 s="9">
        <v>45334</v>
      </c>
      <c r="L1673">
        <f xml:space="preserve"> (交易處理資料__3[[#This Row],[售出工時]] * 60) / 5</f>
        <v>0</v>
      </c>
      <c r="M1673" t="str">
        <f>VLOOKUP(交易處理資料__3[[#This Row],[人員代號]],團隊分組!$B$1:$C$52,2,FALSE)</f>
        <v>快速保養團隊A</v>
      </c>
      <c r="N1673">
        <f>IF(交易處理資料__3[[#This Row],[上班時間]]=0,0,交易處理資料__3[[#This Row],[售出工時]]/交易處理資料__3[[#This Row],[上班時間]])</f>
        <v>0</v>
      </c>
      <c r="O1673" s="31" t="str">
        <f>IF(交易處理資料__3[[#This Row],[上班時間]]=0,"否","是")</f>
        <v>否</v>
      </c>
    </row>
    <row r="1674" spans="1:15" hidden="1">
      <c r="A1674" t="s">
        <v>75</v>
      </c>
      <c r="B1674" t="s">
        <v>25</v>
      </c>
      <c r="C1674">
        <v>0</v>
      </c>
      <c r="D1674">
        <v>0</v>
      </c>
      <c r="E1674" s="27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 s="9">
        <v>45334</v>
      </c>
      <c r="L1674">
        <f xml:space="preserve"> (交易處理資料__3[[#This Row],[售出工時]] * 60) / 5</f>
        <v>0</v>
      </c>
      <c r="M1674" t="str">
        <f>VLOOKUP(交易處理資料__3[[#This Row],[人員代號]],團隊分組!$B$1:$C$52,2,FALSE)</f>
        <v>查修團隊A</v>
      </c>
      <c r="N1674">
        <f>IF(交易處理資料__3[[#This Row],[上班時間]]=0,0,交易處理資料__3[[#This Row],[售出工時]]/交易處理資料__3[[#This Row],[上班時間]])</f>
        <v>0</v>
      </c>
      <c r="O1674" s="31" t="str">
        <f>IF(交易處理資料__3[[#This Row],[上班時間]]=0,"否","是")</f>
        <v>否</v>
      </c>
    </row>
    <row r="1675" spans="1:15" hidden="1">
      <c r="A1675" t="s">
        <v>75</v>
      </c>
      <c r="B1675" t="s">
        <v>26</v>
      </c>
      <c r="C1675">
        <v>0</v>
      </c>
      <c r="D1675">
        <v>0</v>
      </c>
      <c r="E1675" s="27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 s="9">
        <v>45334</v>
      </c>
      <c r="L1675">
        <f xml:space="preserve"> (交易處理資料__3[[#This Row],[售出工時]] * 60) / 5</f>
        <v>0</v>
      </c>
      <c r="M1675" t="str">
        <f>VLOOKUP(交易處理資料__3[[#This Row],[人員代號]],團隊分組!$B$1:$C$52,2,FALSE)</f>
        <v>查修團隊B</v>
      </c>
      <c r="N1675">
        <f>IF(交易處理資料__3[[#This Row],[上班時間]]=0,0,交易處理資料__3[[#This Row],[售出工時]]/交易處理資料__3[[#This Row],[上班時間]])</f>
        <v>0</v>
      </c>
      <c r="O1675" s="31" t="str">
        <f>IF(交易處理資料__3[[#This Row],[上班時間]]=0,"否","是")</f>
        <v>否</v>
      </c>
    </row>
    <row r="1676" spans="1:15" hidden="1">
      <c r="A1676" t="s">
        <v>75</v>
      </c>
      <c r="B1676" t="s">
        <v>27</v>
      </c>
      <c r="C1676">
        <v>0</v>
      </c>
      <c r="D1676">
        <v>0</v>
      </c>
      <c r="E1676" s="27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 s="9">
        <v>45334</v>
      </c>
      <c r="L1676">
        <f xml:space="preserve"> (交易處理資料__3[[#This Row],[售出工時]] * 60) / 5</f>
        <v>0</v>
      </c>
      <c r="M1676" t="str">
        <f>VLOOKUP(交易處理資料__3[[#This Row],[人員代號]],團隊分組!$B$1:$C$52,2,FALSE)</f>
        <v>快速保養團隊B</v>
      </c>
      <c r="N1676">
        <f>IF(交易處理資料__3[[#This Row],[上班時間]]=0,0,交易處理資料__3[[#This Row],[售出工時]]/交易處理資料__3[[#This Row],[上班時間]])</f>
        <v>0</v>
      </c>
      <c r="O1676" s="31" t="str">
        <f>IF(交易處理資料__3[[#This Row],[上班時間]]=0,"否","是")</f>
        <v>否</v>
      </c>
    </row>
    <row r="1677" spans="1:15" hidden="1">
      <c r="A1677" t="s">
        <v>75</v>
      </c>
      <c r="B1677" t="s">
        <v>28</v>
      </c>
      <c r="C1677">
        <v>0</v>
      </c>
      <c r="D1677">
        <v>0</v>
      </c>
      <c r="E1677" s="2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 s="9">
        <v>45334</v>
      </c>
      <c r="L1677">
        <f xml:space="preserve"> (交易處理資料__3[[#This Row],[售出工時]] * 60) / 5</f>
        <v>0</v>
      </c>
      <c r="M1677" t="str">
        <f>VLOOKUP(交易處理資料__3[[#This Row],[人員代號]],團隊分組!$B$1:$C$52,2,FALSE)</f>
        <v>快速保養團隊A</v>
      </c>
      <c r="N1677">
        <f>IF(交易處理資料__3[[#This Row],[上班時間]]=0,0,交易處理資料__3[[#This Row],[售出工時]]/交易處理資料__3[[#This Row],[上班時間]])</f>
        <v>0</v>
      </c>
      <c r="O1677" s="31" t="str">
        <f>IF(交易處理資料__3[[#This Row],[上班時間]]=0,"否","是")</f>
        <v>否</v>
      </c>
    </row>
    <row r="1678" spans="1:15" hidden="1">
      <c r="A1678" t="s">
        <v>75</v>
      </c>
      <c r="B1678" t="s">
        <v>29</v>
      </c>
      <c r="C1678">
        <v>0</v>
      </c>
      <c r="D1678">
        <v>0</v>
      </c>
      <c r="E1678" s="27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 s="9">
        <v>45334</v>
      </c>
      <c r="L1678">
        <f xml:space="preserve"> (交易處理資料__3[[#This Row],[售出工時]] * 60) / 5</f>
        <v>0</v>
      </c>
      <c r="M1678" t="str">
        <f>VLOOKUP(交易處理資料__3[[#This Row],[人員代號]],團隊分組!$B$1:$C$52,2,FALSE)</f>
        <v>查修團隊B</v>
      </c>
      <c r="N1678">
        <f>IF(交易處理資料__3[[#This Row],[上班時間]]=0,0,交易處理資料__3[[#This Row],[售出工時]]/交易處理資料__3[[#This Row],[上班時間]])</f>
        <v>0</v>
      </c>
      <c r="O1678" s="31" t="str">
        <f>IF(交易處理資料__3[[#This Row],[上班時間]]=0,"否","是")</f>
        <v>否</v>
      </c>
    </row>
    <row r="1679" spans="1:15" hidden="1">
      <c r="A1679" t="s">
        <v>75</v>
      </c>
      <c r="B1679" t="s">
        <v>30</v>
      </c>
      <c r="C1679">
        <v>0</v>
      </c>
      <c r="D1679">
        <v>0</v>
      </c>
      <c r="E1679" s="27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 s="9">
        <v>45334</v>
      </c>
      <c r="L1679">
        <f xml:space="preserve"> (交易處理資料__3[[#This Row],[售出工時]] * 60) / 5</f>
        <v>0</v>
      </c>
      <c r="M1679" t="str">
        <f>VLOOKUP(交易處理資料__3[[#This Row],[人員代號]],團隊分組!$B$1:$C$52,2,FALSE)</f>
        <v>快速保養團隊B</v>
      </c>
      <c r="N1679">
        <f>IF(交易處理資料__3[[#This Row],[上班時間]]=0,0,交易處理資料__3[[#This Row],[售出工時]]/交易處理資料__3[[#This Row],[上班時間]])</f>
        <v>0</v>
      </c>
      <c r="O1679" s="31" t="str">
        <f>IF(交易處理資料__3[[#This Row],[上班時間]]=0,"否","是")</f>
        <v>否</v>
      </c>
    </row>
    <row r="1680" spans="1:15" hidden="1">
      <c r="A1680" t="s">
        <v>75</v>
      </c>
      <c r="B1680" t="s">
        <v>32</v>
      </c>
      <c r="C1680">
        <v>0</v>
      </c>
      <c r="D1680">
        <v>0</v>
      </c>
      <c r="E1680" s="27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 s="9">
        <v>45334</v>
      </c>
      <c r="L1680">
        <f xml:space="preserve"> (交易處理資料__3[[#This Row],[售出工時]] * 60) / 5</f>
        <v>0</v>
      </c>
      <c r="M1680" t="str">
        <f>VLOOKUP(交易處理資料__3[[#This Row],[人員代號]],團隊分組!$B$1:$C$52,2,FALSE)</f>
        <v>快速保養團隊B</v>
      </c>
      <c r="N1680">
        <f>IF(交易處理資料__3[[#This Row],[上班時間]]=0,0,交易處理資料__3[[#This Row],[售出工時]]/交易處理資料__3[[#This Row],[上班時間]])</f>
        <v>0</v>
      </c>
      <c r="O1680" s="31" t="str">
        <f>IF(交易處理資料__3[[#This Row],[上班時間]]=0,"否","是")</f>
        <v>否</v>
      </c>
    </row>
    <row r="1681" spans="1:15">
      <c r="A1681" t="s">
        <v>75</v>
      </c>
      <c r="B1681" t="s">
        <v>33</v>
      </c>
      <c r="C1681">
        <v>0</v>
      </c>
      <c r="D1681">
        <v>0</v>
      </c>
      <c r="E1681" s="27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 s="9">
        <v>45334</v>
      </c>
      <c r="L1681">
        <f xml:space="preserve"> (交易處理資料__3[[#This Row],[售出工時]] * 60) / 5</f>
        <v>0</v>
      </c>
      <c r="M1681" t="str">
        <f>VLOOKUP(交易處理資料__3[[#This Row],[人員代號]],團隊分組!$B$1:$C$52,2,FALSE)</f>
        <v>快速保養團隊B</v>
      </c>
      <c r="N1681">
        <f>IF(交易處理資料__3[[#This Row],[上班時間]]=0,0,交易處理資料__3[[#This Row],[售出工時]]/交易處理資料__3[[#This Row],[上班時間]])</f>
        <v>0</v>
      </c>
      <c r="O1681" s="31" t="str">
        <f>IF(交易處理資料__3[[#This Row],[上班時間]]=0,"否","是")</f>
        <v>否</v>
      </c>
    </row>
    <row r="1682" spans="1:15" hidden="1">
      <c r="A1682" t="s">
        <v>75</v>
      </c>
      <c r="B1682" t="s">
        <v>34</v>
      </c>
      <c r="C1682">
        <v>0</v>
      </c>
      <c r="D1682">
        <v>0</v>
      </c>
      <c r="E1682" s="27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 s="9">
        <v>45334</v>
      </c>
      <c r="L1682">
        <f xml:space="preserve"> (交易處理資料__3[[#This Row],[售出工時]] * 60) / 5</f>
        <v>0</v>
      </c>
      <c r="M1682" t="str">
        <f>VLOOKUP(交易處理資料__3[[#This Row],[人員代號]],團隊分組!$B$1:$C$52,2,FALSE)</f>
        <v>快速保養團隊A</v>
      </c>
      <c r="N1682">
        <f>IF(交易處理資料__3[[#This Row],[上班時間]]=0,0,交易處理資料__3[[#This Row],[售出工時]]/交易處理資料__3[[#This Row],[上班時間]])</f>
        <v>0</v>
      </c>
      <c r="O1682" s="31" t="str">
        <f>IF(交易處理資料__3[[#This Row],[上班時間]]=0,"否","是")</f>
        <v>否</v>
      </c>
    </row>
    <row r="1683" spans="1:15" hidden="1">
      <c r="A1683" t="s">
        <v>75</v>
      </c>
      <c r="B1683" t="s">
        <v>35</v>
      </c>
      <c r="C1683">
        <v>0</v>
      </c>
      <c r="D1683">
        <v>0</v>
      </c>
      <c r="E1683" s="27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 s="9">
        <v>45334</v>
      </c>
      <c r="L1683">
        <f xml:space="preserve"> (交易處理資料__3[[#This Row],[售出工時]] * 60) / 5</f>
        <v>0</v>
      </c>
      <c r="M1683" t="str">
        <f>VLOOKUP(交易處理資料__3[[#This Row],[人員代號]],團隊分組!$B$1:$C$52,2,FALSE)</f>
        <v>查修團隊B</v>
      </c>
      <c r="N1683">
        <f>IF(交易處理資料__3[[#This Row],[上班時間]]=0,0,交易處理資料__3[[#This Row],[售出工時]]/交易處理資料__3[[#This Row],[上班時間]])</f>
        <v>0</v>
      </c>
      <c r="O1683" s="31" t="str">
        <f>IF(交易處理資料__3[[#This Row],[上班時間]]=0,"否","是")</f>
        <v>否</v>
      </c>
    </row>
    <row r="1684" spans="1:15" hidden="1">
      <c r="A1684" t="s">
        <v>75</v>
      </c>
      <c r="B1684" t="s">
        <v>36</v>
      </c>
      <c r="C1684">
        <v>0</v>
      </c>
      <c r="D1684">
        <v>0</v>
      </c>
      <c r="E1684" s="27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 s="9">
        <v>45334</v>
      </c>
      <c r="L1684">
        <f xml:space="preserve"> (交易處理資料__3[[#This Row],[售出工時]] * 60) / 5</f>
        <v>0</v>
      </c>
      <c r="M1684" t="str">
        <f>VLOOKUP(交易處理資料__3[[#This Row],[人員代號]],團隊分組!$B$1:$C$52,2,FALSE)</f>
        <v>查修團隊B</v>
      </c>
      <c r="N1684">
        <f>IF(交易處理資料__3[[#This Row],[上班時間]]=0,0,交易處理資料__3[[#This Row],[售出工時]]/交易處理資料__3[[#This Row],[上班時間]])</f>
        <v>0</v>
      </c>
      <c r="O1684" s="31" t="str">
        <f>IF(交易處理資料__3[[#This Row],[上班時間]]=0,"否","是")</f>
        <v>否</v>
      </c>
    </row>
    <row r="1685" spans="1:15" hidden="1">
      <c r="A1685" t="s">
        <v>75</v>
      </c>
      <c r="B1685" t="s">
        <v>37</v>
      </c>
      <c r="C1685">
        <v>0</v>
      </c>
      <c r="D1685">
        <v>0</v>
      </c>
      <c r="E1685" s="27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 s="9">
        <v>45334</v>
      </c>
      <c r="L1685">
        <f xml:space="preserve"> (交易處理資料__3[[#This Row],[售出工時]] * 60) / 5</f>
        <v>0</v>
      </c>
      <c r="M1685" t="str">
        <f>VLOOKUP(交易處理資料__3[[#This Row],[人員代號]],團隊分組!$B$1:$C$52,2,FALSE)</f>
        <v>查修團隊A</v>
      </c>
      <c r="N1685">
        <f>IF(交易處理資料__3[[#This Row],[上班時間]]=0,0,交易處理資料__3[[#This Row],[售出工時]]/交易處理資料__3[[#This Row],[上班時間]])</f>
        <v>0</v>
      </c>
      <c r="O1685" s="31" t="str">
        <f>IF(交易處理資料__3[[#This Row],[上班時間]]=0,"否","是")</f>
        <v>否</v>
      </c>
    </row>
    <row r="1686" spans="1:15" hidden="1">
      <c r="A1686" t="s">
        <v>75</v>
      </c>
      <c r="B1686" t="s">
        <v>38</v>
      </c>
      <c r="C1686">
        <v>0</v>
      </c>
      <c r="D1686">
        <v>0</v>
      </c>
      <c r="E1686" s="27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 s="9">
        <v>45334</v>
      </c>
      <c r="L1686">
        <f xml:space="preserve"> (交易處理資料__3[[#This Row],[售出工時]] * 60) / 5</f>
        <v>0</v>
      </c>
      <c r="M1686" t="str">
        <f>VLOOKUP(交易處理資料__3[[#This Row],[人員代號]],團隊分組!$B$1:$C$52,2,FALSE)</f>
        <v>快速保養團隊A</v>
      </c>
      <c r="N1686">
        <f>IF(交易處理資料__3[[#This Row],[上班時間]]=0,0,交易處理資料__3[[#This Row],[售出工時]]/交易處理資料__3[[#This Row],[上班時間]])</f>
        <v>0</v>
      </c>
      <c r="O1686" s="31" t="str">
        <f>IF(交易處理資料__3[[#This Row],[上班時間]]=0,"否","是")</f>
        <v>否</v>
      </c>
    </row>
    <row r="1687" spans="1:15" hidden="1">
      <c r="A1687" t="s">
        <v>75</v>
      </c>
      <c r="B1687" t="s">
        <v>39</v>
      </c>
      <c r="C1687">
        <v>0</v>
      </c>
      <c r="D1687">
        <v>0</v>
      </c>
      <c r="E1687" s="2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 s="9">
        <v>45334</v>
      </c>
      <c r="L1687">
        <f xml:space="preserve"> (交易處理資料__3[[#This Row],[售出工時]] * 60) / 5</f>
        <v>0</v>
      </c>
      <c r="M1687" t="str">
        <f>VLOOKUP(交易處理資料__3[[#This Row],[人員代號]],團隊分組!$B$1:$C$52,2,FALSE)</f>
        <v>查修團隊A</v>
      </c>
      <c r="N1687">
        <f>IF(交易處理資料__3[[#This Row],[上班時間]]=0,0,交易處理資料__3[[#This Row],[售出工時]]/交易處理資料__3[[#This Row],[上班時間]])</f>
        <v>0</v>
      </c>
      <c r="O1687" s="31" t="str">
        <f>IF(交易處理資料__3[[#This Row],[上班時間]]=0,"否","是")</f>
        <v>否</v>
      </c>
    </row>
    <row r="1688" spans="1:15" hidden="1">
      <c r="A1688" t="s">
        <v>75</v>
      </c>
      <c r="B1688" t="s">
        <v>40</v>
      </c>
      <c r="C1688">
        <v>0</v>
      </c>
      <c r="D1688">
        <v>0</v>
      </c>
      <c r="E1688" s="27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 s="9">
        <v>45334</v>
      </c>
      <c r="L1688">
        <f xml:space="preserve"> (交易處理資料__3[[#This Row],[售出工時]] * 60) / 5</f>
        <v>0</v>
      </c>
      <c r="M1688" t="str">
        <f>VLOOKUP(交易處理資料__3[[#This Row],[人員代號]],團隊分組!$B$1:$C$52,2,FALSE)</f>
        <v>查修團隊A</v>
      </c>
      <c r="N1688">
        <f>IF(交易處理資料__3[[#This Row],[上班時間]]=0,0,交易處理資料__3[[#This Row],[售出工時]]/交易處理資料__3[[#This Row],[上班時間]])</f>
        <v>0</v>
      </c>
      <c r="O1688" s="31" t="str">
        <f>IF(交易處理資料__3[[#This Row],[上班時間]]=0,"否","是")</f>
        <v>否</v>
      </c>
    </row>
    <row r="1689" spans="1:15" hidden="1">
      <c r="A1689" t="s">
        <v>75</v>
      </c>
      <c r="B1689" t="s">
        <v>41</v>
      </c>
      <c r="C1689">
        <v>0</v>
      </c>
      <c r="D1689">
        <v>0</v>
      </c>
      <c r="E1689" s="27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 s="9">
        <v>45334</v>
      </c>
      <c r="L1689">
        <f xml:space="preserve"> (交易處理資料__3[[#This Row],[售出工時]] * 60) / 5</f>
        <v>0</v>
      </c>
      <c r="M1689" t="str">
        <f>VLOOKUP(交易處理資料__3[[#This Row],[人員代號]],團隊分組!$B$1:$C$52,2,FALSE)</f>
        <v>快速保養團隊A</v>
      </c>
      <c r="N1689">
        <f>IF(交易處理資料__3[[#This Row],[上班時間]]=0,0,交易處理資料__3[[#This Row],[售出工時]]/交易處理資料__3[[#This Row],[上班時間]])</f>
        <v>0</v>
      </c>
      <c r="O1689" s="31" t="str">
        <f>IF(交易處理資料__3[[#This Row],[上班時間]]=0,"否","是")</f>
        <v>否</v>
      </c>
    </row>
    <row r="1690" spans="1:15" hidden="1">
      <c r="A1690" t="s">
        <v>75</v>
      </c>
      <c r="B1690" t="s">
        <v>42</v>
      </c>
      <c r="C1690">
        <v>0</v>
      </c>
      <c r="D1690">
        <v>0</v>
      </c>
      <c r="E1690" s="27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 s="9">
        <v>45334</v>
      </c>
      <c r="L1690">
        <f xml:space="preserve"> (交易處理資料__3[[#This Row],[售出工時]] * 60) / 5</f>
        <v>0</v>
      </c>
      <c r="M1690" t="str">
        <f>VLOOKUP(交易處理資料__3[[#This Row],[人員代號]],團隊分組!$B$1:$C$52,2,FALSE)</f>
        <v>快速保養團隊A</v>
      </c>
      <c r="N1690">
        <f>IF(交易處理資料__3[[#This Row],[上班時間]]=0,0,交易處理資料__3[[#This Row],[售出工時]]/交易處理資料__3[[#This Row],[上班時間]])</f>
        <v>0</v>
      </c>
      <c r="O1690" s="31" t="str">
        <f>IF(交易處理資料__3[[#This Row],[上班時間]]=0,"否","是")</f>
        <v>否</v>
      </c>
    </row>
    <row r="1691" spans="1:15" hidden="1">
      <c r="A1691" t="s">
        <v>75</v>
      </c>
      <c r="B1691" t="s">
        <v>43</v>
      </c>
      <c r="C1691">
        <v>0</v>
      </c>
      <c r="D1691">
        <v>0</v>
      </c>
      <c r="E1691" s="27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 s="9">
        <v>45334</v>
      </c>
      <c r="L1691">
        <f xml:space="preserve"> (交易處理資料__3[[#This Row],[售出工時]] * 60) / 5</f>
        <v>0</v>
      </c>
      <c r="M1691" t="str">
        <f>VLOOKUP(交易處理資料__3[[#This Row],[人員代號]],團隊分組!$B$1:$C$52,2,FALSE)</f>
        <v>查修團隊B</v>
      </c>
      <c r="N1691">
        <f>IF(交易處理資料__3[[#This Row],[上班時間]]=0,0,交易處理資料__3[[#This Row],[售出工時]]/交易處理資料__3[[#This Row],[上班時間]])</f>
        <v>0</v>
      </c>
      <c r="O1691" s="31" t="str">
        <f>IF(交易處理資料__3[[#This Row],[上班時間]]=0,"否","是")</f>
        <v>否</v>
      </c>
    </row>
    <row r="1692" spans="1:15" hidden="1">
      <c r="A1692" t="s">
        <v>75</v>
      </c>
      <c r="B1692" t="s">
        <v>44</v>
      </c>
      <c r="C1692">
        <v>0</v>
      </c>
      <c r="D1692">
        <v>0</v>
      </c>
      <c r="E1692" s="27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 s="9">
        <v>45334</v>
      </c>
      <c r="L1692">
        <f xml:space="preserve"> (交易處理資料__3[[#This Row],[售出工時]] * 60) / 5</f>
        <v>0</v>
      </c>
      <c r="M1692" t="str">
        <f>VLOOKUP(交易處理資料__3[[#This Row],[人員代號]],團隊分組!$B$1:$C$52,2,FALSE)</f>
        <v>快速保養團隊B</v>
      </c>
      <c r="N1692">
        <f>IF(交易處理資料__3[[#This Row],[上班時間]]=0,0,交易處理資料__3[[#This Row],[售出工時]]/交易處理資料__3[[#This Row],[上班時間]])</f>
        <v>0</v>
      </c>
      <c r="O1692" s="31" t="str">
        <f>IF(交易處理資料__3[[#This Row],[上班時間]]=0,"否","是")</f>
        <v>否</v>
      </c>
    </row>
    <row r="1693" spans="1:15" hidden="1">
      <c r="A1693" t="s">
        <v>75</v>
      </c>
      <c r="B1693" t="s">
        <v>45</v>
      </c>
      <c r="C1693">
        <v>0</v>
      </c>
      <c r="D1693">
        <v>0</v>
      </c>
      <c r="E1693" s="27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 s="9">
        <v>45334</v>
      </c>
      <c r="L1693">
        <f xml:space="preserve"> (交易處理資料__3[[#This Row],[售出工時]] * 60) / 5</f>
        <v>0</v>
      </c>
      <c r="M1693" t="str">
        <f>VLOOKUP(交易處理資料__3[[#This Row],[人員代號]],團隊分組!$B$1:$C$52,2,FALSE)</f>
        <v>快速保養團隊A</v>
      </c>
      <c r="N1693">
        <f>IF(交易處理資料__3[[#This Row],[上班時間]]=0,0,交易處理資料__3[[#This Row],[售出工時]]/交易處理資料__3[[#This Row],[上班時間]])</f>
        <v>0</v>
      </c>
      <c r="O1693" s="31" t="str">
        <f>IF(交易處理資料__3[[#This Row],[上班時間]]=0,"否","是")</f>
        <v>否</v>
      </c>
    </row>
    <row r="1694" spans="1:15" hidden="1">
      <c r="A1694" t="s">
        <v>75</v>
      </c>
      <c r="B1694" t="s">
        <v>46</v>
      </c>
      <c r="C1694">
        <v>0</v>
      </c>
      <c r="D1694">
        <v>0</v>
      </c>
      <c r="E1694" s="27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 s="9">
        <v>45334</v>
      </c>
      <c r="L1694">
        <f xml:space="preserve"> (交易處理資料__3[[#This Row],[售出工時]] * 60) / 5</f>
        <v>0</v>
      </c>
      <c r="M1694" t="str">
        <f>VLOOKUP(交易處理資料__3[[#This Row],[人員代號]],團隊分組!$B$1:$C$52,2,FALSE)</f>
        <v>查修團隊B</v>
      </c>
      <c r="N1694">
        <f>IF(交易處理資料__3[[#This Row],[上班時間]]=0,0,交易處理資料__3[[#This Row],[售出工時]]/交易處理資料__3[[#This Row],[上班時間]])</f>
        <v>0</v>
      </c>
      <c r="O1694" s="31" t="str">
        <f>IF(交易處理資料__3[[#This Row],[上班時間]]=0,"否","是")</f>
        <v>否</v>
      </c>
    </row>
    <row r="1695" spans="1:15" hidden="1">
      <c r="A1695" t="s">
        <v>75</v>
      </c>
      <c r="B1695" t="s">
        <v>47</v>
      </c>
      <c r="C1695">
        <v>0</v>
      </c>
      <c r="D1695">
        <v>0</v>
      </c>
      <c r="E1695" s="27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 s="9">
        <v>45334</v>
      </c>
      <c r="L1695">
        <f xml:space="preserve"> (交易處理資料__3[[#This Row],[售出工時]] * 60) / 5</f>
        <v>0</v>
      </c>
      <c r="M1695" t="str">
        <f>VLOOKUP(交易處理資料__3[[#This Row],[人員代號]],團隊分組!$B$1:$C$52,2,FALSE)</f>
        <v>查修團隊B</v>
      </c>
      <c r="N1695">
        <f>IF(交易處理資料__3[[#This Row],[上班時間]]=0,0,交易處理資料__3[[#This Row],[售出工時]]/交易處理資料__3[[#This Row],[上班時間]])</f>
        <v>0</v>
      </c>
      <c r="O1695" s="31" t="str">
        <f>IF(交易處理資料__3[[#This Row],[上班時間]]=0,"否","是")</f>
        <v>否</v>
      </c>
    </row>
    <row r="1696" spans="1:15" hidden="1">
      <c r="A1696" t="s">
        <v>75</v>
      </c>
      <c r="B1696" t="s">
        <v>48</v>
      </c>
      <c r="C1696">
        <v>0</v>
      </c>
      <c r="D1696">
        <v>0</v>
      </c>
      <c r="E1696" s="27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 s="9">
        <v>45334</v>
      </c>
      <c r="L1696">
        <f xml:space="preserve"> (交易處理資料__3[[#This Row],[售出工時]] * 60) / 5</f>
        <v>0</v>
      </c>
      <c r="M1696" t="str">
        <f>VLOOKUP(交易處理資料__3[[#This Row],[人員代號]],團隊分組!$B$1:$C$52,2,FALSE)</f>
        <v>查修團隊A</v>
      </c>
      <c r="N1696">
        <f>IF(交易處理資料__3[[#This Row],[上班時間]]=0,0,交易處理資料__3[[#This Row],[售出工時]]/交易處理資料__3[[#This Row],[上班時間]])</f>
        <v>0</v>
      </c>
      <c r="O1696" s="31" t="str">
        <f>IF(交易處理資料__3[[#This Row],[上班時間]]=0,"否","是")</f>
        <v>否</v>
      </c>
    </row>
    <row r="1697" spans="1:15" hidden="1">
      <c r="A1697" t="s">
        <v>75</v>
      </c>
      <c r="B1697" t="s">
        <v>49</v>
      </c>
      <c r="C1697">
        <v>0</v>
      </c>
      <c r="D1697">
        <v>0</v>
      </c>
      <c r="E1697" s="2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 s="9">
        <v>45334</v>
      </c>
      <c r="L1697">
        <f xml:space="preserve"> (交易處理資料__3[[#This Row],[售出工時]] * 60) / 5</f>
        <v>0</v>
      </c>
      <c r="M1697" t="str">
        <f>VLOOKUP(交易處理資料__3[[#This Row],[人員代號]],團隊分組!$B$1:$C$52,2,FALSE)</f>
        <v>查修團隊A</v>
      </c>
      <c r="N1697">
        <f>IF(交易處理資料__3[[#This Row],[上班時間]]=0,0,交易處理資料__3[[#This Row],[售出工時]]/交易處理資料__3[[#This Row],[上班時間]])</f>
        <v>0</v>
      </c>
      <c r="O1697" s="31" t="str">
        <f>IF(交易處理資料__3[[#This Row],[上班時間]]=0,"否","是")</f>
        <v>否</v>
      </c>
    </row>
    <row r="1698" spans="1:15" hidden="1">
      <c r="A1698" t="s">
        <v>75</v>
      </c>
      <c r="B1698" t="s">
        <v>50</v>
      </c>
      <c r="C1698">
        <v>0</v>
      </c>
      <c r="D1698">
        <v>0</v>
      </c>
      <c r="E1698" s="27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 s="9">
        <v>45334</v>
      </c>
      <c r="L1698">
        <f xml:space="preserve"> (交易處理資料__3[[#This Row],[售出工時]] * 60) / 5</f>
        <v>0</v>
      </c>
      <c r="M1698" t="str">
        <f>VLOOKUP(交易處理資料__3[[#This Row],[人員代號]],團隊分組!$B$1:$C$52,2,FALSE)</f>
        <v>快速保養團隊B</v>
      </c>
      <c r="N1698">
        <f>IF(交易處理資料__3[[#This Row],[上班時間]]=0,0,交易處理資料__3[[#This Row],[售出工時]]/交易處理資料__3[[#This Row],[上班時間]])</f>
        <v>0</v>
      </c>
      <c r="O1698" s="31" t="str">
        <f>IF(交易處理資料__3[[#This Row],[上班時間]]=0,"否","是")</f>
        <v>否</v>
      </c>
    </row>
    <row r="1699" spans="1:15" hidden="1">
      <c r="A1699" t="s">
        <v>75</v>
      </c>
      <c r="B1699" t="s">
        <v>51</v>
      </c>
      <c r="C1699">
        <v>0</v>
      </c>
      <c r="D1699">
        <v>0</v>
      </c>
      <c r="E1699" s="27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 s="9">
        <v>45334</v>
      </c>
      <c r="L1699">
        <f xml:space="preserve"> (交易處理資料__3[[#This Row],[售出工時]] * 60) / 5</f>
        <v>0</v>
      </c>
      <c r="M1699" t="str">
        <f>VLOOKUP(交易處理資料__3[[#This Row],[人員代號]],團隊分組!$B$1:$C$52,2,FALSE)</f>
        <v>無效數據</v>
      </c>
      <c r="N1699">
        <f>IF(交易處理資料__3[[#This Row],[上班時間]]=0,0,交易處理資料__3[[#This Row],[售出工時]]/交易處理資料__3[[#This Row],[上班時間]])</f>
        <v>0</v>
      </c>
      <c r="O1699" s="31" t="str">
        <f>IF(交易處理資料__3[[#This Row],[上班時間]]=0,"否","是")</f>
        <v>否</v>
      </c>
    </row>
    <row r="1700" spans="1:15" hidden="1">
      <c r="A1700" t="s">
        <v>75</v>
      </c>
      <c r="B1700" t="s">
        <v>52</v>
      </c>
      <c r="C1700">
        <v>0</v>
      </c>
      <c r="D1700">
        <v>0</v>
      </c>
      <c r="E1700" s="27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 s="9">
        <v>45334</v>
      </c>
      <c r="L1700">
        <f xml:space="preserve"> (交易處理資料__3[[#This Row],[售出工時]] * 60) / 5</f>
        <v>0</v>
      </c>
      <c r="M1700" t="str">
        <f>VLOOKUP(交易處理資料__3[[#This Row],[人員代號]],團隊分組!$B$1:$C$52,2,FALSE)</f>
        <v>查修團隊B</v>
      </c>
      <c r="N1700">
        <f>IF(交易處理資料__3[[#This Row],[上班時間]]=0,0,交易處理資料__3[[#This Row],[售出工時]]/交易處理資料__3[[#This Row],[上班時間]])</f>
        <v>0</v>
      </c>
      <c r="O1700" s="31" t="str">
        <f>IF(交易處理資料__3[[#This Row],[上班時間]]=0,"否","是")</f>
        <v>否</v>
      </c>
    </row>
    <row r="1701" spans="1:15" hidden="1">
      <c r="A1701" t="s">
        <v>75</v>
      </c>
      <c r="B1701" t="s">
        <v>53</v>
      </c>
      <c r="C1701">
        <v>0</v>
      </c>
      <c r="D1701">
        <v>0</v>
      </c>
      <c r="E1701" s="27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 s="9">
        <v>45334</v>
      </c>
      <c r="L1701">
        <f xml:space="preserve"> (交易處理資料__3[[#This Row],[售出工時]] * 60) / 5</f>
        <v>0</v>
      </c>
      <c r="M1701" t="str">
        <f>VLOOKUP(交易處理資料__3[[#This Row],[人員代號]],團隊分組!$B$1:$C$52,2,FALSE)</f>
        <v>查修團隊A</v>
      </c>
      <c r="N1701">
        <f>IF(交易處理資料__3[[#This Row],[上班時間]]=0,0,交易處理資料__3[[#This Row],[售出工時]]/交易處理資料__3[[#This Row],[上班時間]])</f>
        <v>0</v>
      </c>
      <c r="O1701" s="31" t="str">
        <f>IF(交易處理資料__3[[#This Row],[上班時間]]=0,"否","是")</f>
        <v>否</v>
      </c>
    </row>
    <row r="1702" spans="1:15" hidden="1">
      <c r="A1702" s="10" t="s">
        <v>73</v>
      </c>
      <c r="B1702" t="s">
        <v>1</v>
      </c>
      <c r="C1702">
        <v>0</v>
      </c>
      <c r="D1702">
        <v>0</v>
      </c>
      <c r="E1702" s="27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 s="9">
        <v>45335</v>
      </c>
      <c r="L1702">
        <f xml:space="preserve"> (交易處理資料__3[[#This Row],[售出工時]] * 60) / 5</f>
        <v>0</v>
      </c>
      <c r="M1702" t="str">
        <f>VLOOKUP(交易處理資料__3[[#This Row],[人員代號]],團隊分組!$B$1:$C$52,2,FALSE)</f>
        <v>噴漆維修組</v>
      </c>
      <c r="N1702">
        <f>IF(交易處理資料__3[[#This Row],[上班時間]]=0,0,交易處理資料__3[[#This Row],[售出工時]]/交易處理資料__3[[#This Row],[上班時間]])</f>
        <v>0</v>
      </c>
      <c r="O1702" s="31" t="str">
        <f>IF(交易處理資料__3[[#This Row],[上班時間]]=0,"否","是")</f>
        <v>否</v>
      </c>
    </row>
    <row r="1703" spans="1:15" hidden="1">
      <c r="A1703" s="10" t="s">
        <v>73</v>
      </c>
      <c r="B1703" t="s">
        <v>2</v>
      </c>
      <c r="C1703">
        <v>0</v>
      </c>
      <c r="D1703">
        <v>0</v>
      </c>
      <c r="E1703" s="27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 s="9">
        <v>45335</v>
      </c>
      <c r="L1703">
        <f xml:space="preserve"> (交易處理資料__3[[#This Row],[售出工時]] * 60) / 5</f>
        <v>0</v>
      </c>
      <c r="M1703" t="str">
        <f>VLOOKUP(交易處理資料__3[[#This Row],[人員代號]],團隊分組!$B$1:$C$52,2,FALSE)</f>
        <v>噴漆維修組</v>
      </c>
      <c r="N1703">
        <f>IF(交易處理資料__3[[#This Row],[上班時間]]=0,0,交易處理資料__3[[#This Row],[售出工時]]/交易處理資料__3[[#This Row],[上班時間]])</f>
        <v>0</v>
      </c>
      <c r="O1703" s="31" t="str">
        <f>IF(交易處理資料__3[[#This Row],[上班時間]]=0,"否","是")</f>
        <v>否</v>
      </c>
    </row>
    <row r="1704" spans="1:15" hidden="1">
      <c r="A1704" s="10" t="s">
        <v>73</v>
      </c>
      <c r="B1704" t="s">
        <v>3</v>
      </c>
      <c r="C1704">
        <v>0</v>
      </c>
      <c r="D1704">
        <v>0</v>
      </c>
      <c r="E1704" s="27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 s="9">
        <v>45335</v>
      </c>
      <c r="L1704">
        <f xml:space="preserve"> (交易處理資料__3[[#This Row],[售出工時]] * 60) / 5</f>
        <v>0</v>
      </c>
      <c r="M1704" t="str">
        <f>VLOOKUP(交易處理資料__3[[#This Row],[人員代號]],團隊分組!$B$1:$C$52,2,FALSE)</f>
        <v>噴漆維修組</v>
      </c>
      <c r="N1704">
        <f>IF(交易處理資料__3[[#This Row],[上班時間]]=0,0,交易處理資料__3[[#This Row],[售出工時]]/交易處理資料__3[[#This Row],[上班時間]])</f>
        <v>0</v>
      </c>
      <c r="O1704" s="31" t="str">
        <f>IF(交易處理資料__3[[#This Row],[上班時間]]=0,"否","是")</f>
        <v>否</v>
      </c>
    </row>
    <row r="1705" spans="1:15" hidden="1">
      <c r="A1705" s="10" t="s">
        <v>73</v>
      </c>
      <c r="B1705" t="s">
        <v>4</v>
      </c>
      <c r="C1705">
        <v>0</v>
      </c>
      <c r="D1705">
        <v>0</v>
      </c>
      <c r="E1705" s="27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 s="9">
        <v>45335</v>
      </c>
      <c r="L1705">
        <f xml:space="preserve"> (交易處理資料__3[[#This Row],[售出工時]] * 60) / 5</f>
        <v>0</v>
      </c>
      <c r="M1705" t="str">
        <f>VLOOKUP(交易處理資料__3[[#This Row],[人員代號]],團隊分組!$B$1:$C$52,2,FALSE)</f>
        <v>噴漆維修組</v>
      </c>
      <c r="N1705">
        <f>IF(交易處理資料__3[[#This Row],[上班時間]]=0,0,交易處理資料__3[[#This Row],[售出工時]]/交易處理資料__3[[#This Row],[上班時間]])</f>
        <v>0</v>
      </c>
      <c r="O1705" s="31" t="str">
        <f>IF(交易處理資料__3[[#This Row],[上班時間]]=0,"否","是")</f>
        <v>否</v>
      </c>
    </row>
    <row r="1706" spans="1:15" hidden="1">
      <c r="A1706" s="10" t="s">
        <v>73</v>
      </c>
      <c r="B1706" t="s">
        <v>5</v>
      </c>
      <c r="C1706">
        <v>0</v>
      </c>
      <c r="D1706">
        <v>0</v>
      </c>
      <c r="E1706" s="27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 s="9">
        <v>45335</v>
      </c>
      <c r="L1706">
        <f xml:space="preserve"> (交易處理資料__3[[#This Row],[售出工時]] * 60) / 5</f>
        <v>0</v>
      </c>
      <c r="M1706" t="str">
        <f>VLOOKUP(交易處理資料__3[[#This Row],[人員代號]],團隊分組!$B$1:$C$52,2,FALSE)</f>
        <v>噴漆維修組</v>
      </c>
      <c r="N1706">
        <f>IF(交易處理資料__3[[#This Row],[上班時間]]=0,0,交易處理資料__3[[#This Row],[售出工時]]/交易處理資料__3[[#This Row],[上班時間]])</f>
        <v>0</v>
      </c>
      <c r="O1706" s="31" t="str">
        <f>IF(交易處理資料__3[[#This Row],[上班時間]]=0,"否","是")</f>
        <v>否</v>
      </c>
    </row>
    <row r="1707" spans="1:15" hidden="1">
      <c r="A1707" s="10" t="s">
        <v>73</v>
      </c>
      <c r="B1707" t="s">
        <v>6</v>
      </c>
      <c r="C1707">
        <v>0</v>
      </c>
      <c r="D1707">
        <v>0</v>
      </c>
      <c r="E1707" s="2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 s="9">
        <v>45335</v>
      </c>
      <c r="L1707">
        <f xml:space="preserve"> (交易處理資料__3[[#This Row],[售出工時]] * 60) / 5</f>
        <v>0</v>
      </c>
      <c r="M1707" t="str">
        <f>VLOOKUP(交易處理資料__3[[#This Row],[人員代號]],團隊分組!$B$1:$C$52,2,FALSE)</f>
        <v>噴漆維修組</v>
      </c>
      <c r="N1707">
        <f>IF(交易處理資料__3[[#This Row],[上班時間]]=0,0,交易處理資料__3[[#This Row],[售出工時]]/交易處理資料__3[[#This Row],[上班時間]])</f>
        <v>0</v>
      </c>
      <c r="O1707" s="31" t="str">
        <f>IF(交易處理資料__3[[#This Row],[上班時間]]=0,"否","是")</f>
        <v>否</v>
      </c>
    </row>
    <row r="1708" spans="1:15" hidden="1">
      <c r="A1708" s="10" t="s">
        <v>73</v>
      </c>
      <c r="B1708" t="s">
        <v>7</v>
      </c>
      <c r="C1708">
        <v>0</v>
      </c>
      <c r="D1708">
        <v>0</v>
      </c>
      <c r="E1708" s="27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 s="9">
        <v>45335</v>
      </c>
      <c r="L1708">
        <f xml:space="preserve"> (交易處理資料__3[[#This Row],[售出工時]] * 60) / 5</f>
        <v>0</v>
      </c>
      <c r="M1708" t="str">
        <f>VLOOKUP(交易處理資料__3[[#This Row],[人員代號]],團隊分組!$B$1:$C$52,2,FALSE)</f>
        <v>噴漆維修組</v>
      </c>
      <c r="N1708">
        <f>IF(交易處理資料__3[[#This Row],[上班時間]]=0,0,交易處理資料__3[[#This Row],[售出工時]]/交易處理資料__3[[#This Row],[上班時間]])</f>
        <v>0</v>
      </c>
      <c r="O1708" s="31" t="str">
        <f>IF(交易處理資料__3[[#This Row],[上班時間]]=0,"否","是")</f>
        <v>否</v>
      </c>
    </row>
    <row r="1709" spans="1:15" hidden="1">
      <c r="A1709" s="10" t="s">
        <v>73</v>
      </c>
      <c r="B1709" t="s">
        <v>8</v>
      </c>
      <c r="C1709">
        <v>0</v>
      </c>
      <c r="D1709">
        <v>0</v>
      </c>
      <c r="E1709" s="27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 s="9">
        <v>45335</v>
      </c>
      <c r="L1709">
        <f xml:space="preserve"> (交易處理資料__3[[#This Row],[售出工時]] * 60) / 5</f>
        <v>0</v>
      </c>
      <c r="M1709" t="str">
        <f>VLOOKUP(交易處理資料__3[[#This Row],[人員代號]],團隊分組!$B$1:$C$52,2,FALSE)</f>
        <v>噴漆維修組</v>
      </c>
      <c r="N1709">
        <f>IF(交易處理資料__3[[#This Row],[上班時間]]=0,0,交易處理資料__3[[#This Row],[售出工時]]/交易處理資料__3[[#This Row],[上班時間]])</f>
        <v>0</v>
      </c>
      <c r="O1709" s="31" t="str">
        <f>IF(交易處理資料__3[[#This Row],[上班時間]]=0,"否","是")</f>
        <v>否</v>
      </c>
    </row>
    <row r="1710" spans="1:15" hidden="1">
      <c r="A1710" s="10" t="s">
        <v>73</v>
      </c>
      <c r="B1710" t="s">
        <v>9</v>
      </c>
      <c r="C1710">
        <v>0</v>
      </c>
      <c r="D1710">
        <v>0</v>
      </c>
      <c r="E1710" s="27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 s="9">
        <v>45335</v>
      </c>
      <c r="L1710">
        <f xml:space="preserve"> (交易處理資料__3[[#This Row],[售出工時]] * 60) / 5</f>
        <v>0</v>
      </c>
      <c r="M1710" t="str">
        <f>VLOOKUP(交易處理資料__3[[#This Row],[人員代號]],團隊分組!$B$1:$C$52,2,FALSE)</f>
        <v>噴漆維修組</v>
      </c>
      <c r="N1710">
        <f>IF(交易處理資料__3[[#This Row],[上班時間]]=0,0,交易處理資料__3[[#This Row],[售出工時]]/交易處理資料__3[[#This Row],[上班時間]])</f>
        <v>0</v>
      </c>
      <c r="O1710" s="31" t="str">
        <f>IF(交易處理資料__3[[#This Row],[上班時間]]=0,"否","是")</f>
        <v>否</v>
      </c>
    </row>
    <row r="1711" spans="1:15" hidden="1">
      <c r="A1711" t="s">
        <v>74</v>
      </c>
      <c r="B1711" t="s">
        <v>11</v>
      </c>
      <c r="C1711">
        <v>0</v>
      </c>
      <c r="D1711">
        <v>0</v>
      </c>
      <c r="E1711" s="27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 s="9">
        <v>45335</v>
      </c>
      <c r="L1711">
        <f xml:space="preserve"> (交易處理資料__3[[#This Row],[售出工時]] * 60) / 5</f>
        <v>0</v>
      </c>
      <c r="M1711" t="str">
        <f>VLOOKUP(交易處理資料__3[[#This Row],[人員代號]],團隊分組!$B$1:$C$52,2,FALSE)</f>
        <v>鈑金維修組</v>
      </c>
      <c r="N1711">
        <f>IF(交易處理資料__3[[#This Row],[上班時間]]=0,0,交易處理資料__3[[#This Row],[售出工時]]/交易處理資料__3[[#This Row],[上班時間]])</f>
        <v>0</v>
      </c>
      <c r="O1711" s="31" t="str">
        <f>IF(交易處理資料__3[[#This Row],[上班時間]]=0,"否","是")</f>
        <v>否</v>
      </c>
    </row>
    <row r="1712" spans="1:15" hidden="1">
      <c r="A1712" t="s">
        <v>74</v>
      </c>
      <c r="B1712" t="s">
        <v>12</v>
      </c>
      <c r="C1712">
        <v>0</v>
      </c>
      <c r="D1712">
        <v>0</v>
      </c>
      <c r="E1712" s="27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 s="9">
        <v>45335</v>
      </c>
      <c r="L1712">
        <f xml:space="preserve"> (交易處理資料__3[[#This Row],[售出工時]] * 60) / 5</f>
        <v>0</v>
      </c>
      <c r="M1712" t="str">
        <f>VLOOKUP(交易處理資料__3[[#This Row],[人員代號]],團隊分組!$B$1:$C$52,2,FALSE)</f>
        <v>鈑金維修組</v>
      </c>
      <c r="N1712">
        <f>IF(交易處理資料__3[[#This Row],[上班時間]]=0,0,交易處理資料__3[[#This Row],[售出工時]]/交易處理資料__3[[#This Row],[上班時間]])</f>
        <v>0</v>
      </c>
      <c r="O1712" s="31" t="str">
        <f>IF(交易處理資料__3[[#This Row],[上班時間]]=0,"否","是")</f>
        <v>否</v>
      </c>
    </row>
    <row r="1713" spans="1:15" hidden="1">
      <c r="A1713" t="s">
        <v>74</v>
      </c>
      <c r="B1713" t="s">
        <v>13</v>
      </c>
      <c r="C1713">
        <v>0</v>
      </c>
      <c r="D1713">
        <v>0</v>
      </c>
      <c r="E1713" s="27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 s="9">
        <v>45335</v>
      </c>
      <c r="L1713">
        <f xml:space="preserve"> (交易處理資料__3[[#This Row],[售出工時]] * 60) / 5</f>
        <v>0</v>
      </c>
      <c r="M1713" t="str">
        <f>VLOOKUP(交易處理資料__3[[#This Row],[人員代號]],團隊分組!$B$1:$C$52,2,FALSE)</f>
        <v>鈑金維修組</v>
      </c>
      <c r="N1713">
        <f>IF(交易處理資料__3[[#This Row],[上班時間]]=0,0,交易處理資料__3[[#This Row],[售出工時]]/交易處理資料__3[[#This Row],[上班時間]])</f>
        <v>0</v>
      </c>
      <c r="O1713" s="31" t="str">
        <f>IF(交易處理資料__3[[#This Row],[上班時間]]=0,"否","是")</f>
        <v>否</v>
      </c>
    </row>
    <row r="1714" spans="1:15" hidden="1">
      <c r="A1714" t="s">
        <v>74</v>
      </c>
      <c r="B1714" t="s">
        <v>14</v>
      </c>
      <c r="C1714">
        <v>0</v>
      </c>
      <c r="D1714">
        <v>0</v>
      </c>
      <c r="E1714" s="27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 s="9">
        <v>45335</v>
      </c>
      <c r="L1714">
        <f xml:space="preserve"> (交易處理資料__3[[#This Row],[售出工時]] * 60) / 5</f>
        <v>0</v>
      </c>
      <c r="M1714" t="str">
        <f>VLOOKUP(交易處理資料__3[[#This Row],[人員代號]],團隊分組!$B$1:$C$52,2,FALSE)</f>
        <v>鈑金維修組</v>
      </c>
      <c r="N1714">
        <f>IF(交易處理資料__3[[#This Row],[上班時間]]=0,0,交易處理資料__3[[#This Row],[售出工時]]/交易處理資料__3[[#This Row],[上班時間]])</f>
        <v>0</v>
      </c>
      <c r="O1714" s="31" t="str">
        <f>IF(交易處理資料__3[[#This Row],[上班時間]]=0,"否","是")</f>
        <v>否</v>
      </c>
    </row>
    <row r="1715" spans="1:15" hidden="1">
      <c r="A1715" t="s">
        <v>74</v>
      </c>
      <c r="B1715" t="s">
        <v>15</v>
      </c>
      <c r="C1715">
        <v>0</v>
      </c>
      <c r="D1715">
        <v>0</v>
      </c>
      <c r="E1715" s="27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 s="9">
        <v>45335</v>
      </c>
      <c r="L1715">
        <f xml:space="preserve"> (交易處理資料__3[[#This Row],[售出工時]] * 60) / 5</f>
        <v>0</v>
      </c>
      <c r="M1715" t="str">
        <f>VLOOKUP(交易處理資料__3[[#This Row],[人員代號]],團隊分組!$B$1:$C$52,2,FALSE)</f>
        <v>鈑金維修組</v>
      </c>
      <c r="N1715">
        <f>IF(交易處理資料__3[[#This Row],[上班時間]]=0,0,交易處理資料__3[[#This Row],[售出工時]]/交易處理資料__3[[#This Row],[上班時間]])</f>
        <v>0</v>
      </c>
      <c r="O1715" s="31" t="str">
        <f>IF(交易處理資料__3[[#This Row],[上班時間]]=0,"否","是")</f>
        <v>否</v>
      </c>
    </row>
    <row r="1716" spans="1:15" hidden="1">
      <c r="A1716" t="s">
        <v>75</v>
      </c>
      <c r="B1716" t="s">
        <v>17</v>
      </c>
      <c r="C1716">
        <v>0</v>
      </c>
      <c r="D1716">
        <v>0</v>
      </c>
      <c r="E1716" s="27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 s="9">
        <v>45335</v>
      </c>
      <c r="L1716">
        <f xml:space="preserve"> (交易處理資料__3[[#This Row],[售出工時]] * 60) / 5</f>
        <v>0</v>
      </c>
      <c r="M1716" t="str">
        <f>VLOOKUP(交易處理資料__3[[#This Row],[人員代號]],團隊分組!$B$1:$C$52,2,FALSE)</f>
        <v>快速保養團隊A</v>
      </c>
      <c r="N1716">
        <f>IF(交易處理資料__3[[#This Row],[上班時間]]=0,0,交易處理資料__3[[#This Row],[售出工時]]/交易處理資料__3[[#This Row],[上班時間]])</f>
        <v>0</v>
      </c>
      <c r="O1716" s="31" t="str">
        <f>IF(交易處理資料__3[[#This Row],[上班時間]]=0,"否","是")</f>
        <v>否</v>
      </c>
    </row>
    <row r="1717" spans="1:15" hidden="1">
      <c r="A1717" t="s">
        <v>75</v>
      </c>
      <c r="B1717" t="s">
        <v>18</v>
      </c>
      <c r="C1717">
        <v>0</v>
      </c>
      <c r="D1717">
        <v>0</v>
      </c>
      <c r="E1717" s="2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 s="9">
        <v>45335</v>
      </c>
      <c r="L1717">
        <f xml:space="preserve"> (交易處理資料__3[[#This Row],[售出工時]] * 60) / 5</f>
        <v>0</v>
      </c>
      <c r="M1717" t="str">
        <f>VLOOKUP(交易處理資料__3[[#This Row],[人員代號]],團隊分組!$B$1:$C$52,2,FALSE)</f>
        <v>查修團隊B</v>
      </c>
      <c r="N1717">
        <f>IF(交易處理資料__3[[#This Row],[上班時間]]=0,0,交易處理資料__3[[#This Row],[售出工時]]/交易處理資料__3[[#This Row],[上班時間]])</f>
        <v>0</v>
      </c>
      <c r="O1717" s="31" t="str">
        <f>IF(交易處理資料__3[[#This Row],[上班時間]]=0,"否","是")</f>
        <v>否</v>
      </c>
    </row>
    <row r="1718" spans="1:15" hidden="1">
      <c r="A1718" t="s">
        <v>75</v>
      </c>
      <c r="B1718" t="s">
        <v>19</v>
      </c>
      <c r="C1718">
        <v>0</v>
      </c>
      <c r="D1718">
        <v>0</v>
      </c>
      <c r="E1718" s="27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 s="9">
        <v>45335</v>
      </c>
      <c r="L1718">
        <f xml:space="preserve"> (交易處理資料__3[[#This Row],[售出工時]] * 60) / 5</f>
        <v>0</v>
      </c>
      <c r="M1718" t="str">
        <f>VLOOKUP(交易處理資料__3[[#This Row],[人員代號]],團隊分組!$B$1:$C$52,2,FALSE)</f>
        <v>查修團隊A</v>
      </c>
      <c r="N1718">
        <f>IF(交易處理資料__3[[#This Row],[上班時間]]=0,0,交易處理資料__3[[#This Row],[售出工時]]/交易處理資料__3[[#This Row],[上班時間]])</f>
        <v>0</v>
      </c>
      <c r="O1718" s="31" t="str">
        <f>IF(交易處理資料__3[[#This Row],[上班時間]]=0,"否","是")</f>
        <v>否</v>
      </c>
    </row>
    <row r="1719" spans="1:15" hidden="1">
      <c r="A1719" t="s">
        <v>75</v>
      </c>
      <c r="B1719" t="s">
        <v>20</v>
      </c>
      <c r="C1719">
        <v>0</v>
      </c>
      <c r="D1719">
        <v>0</v>
      </c>
      <c r="E1719" s="27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 s="9">
        <v>45335</v>
      </c>
      <c r="L1719">
        <f xml:space="preserve"> (交易處理資料__3[[#This Row],[售出工時]] * 60) / 5</f>
        <v>0</v>
      </c>
      <c r="M1719" t="str">
        <f>VLOOKUP(交易處理資料__3[[#This Row],[人員代號]],團隊分組!$B$1:$C$52,2,FALSE)</f>
        <v>查修團隊B</v>
      </c>
      <c r="N1719">
        <f>IF(交易處理資料__3[[#This Row],[上班時間]]=0,0,交易處理資料__3[[#This Row],[售出工時]]/交易處理資料__3[[#This Row],[上班時間]])</f>
        <v>0</v>
      </c>
      <c r="O1719" s="31" t="str">
        <f>IF(交易處理資料__3[[#This Row],[上班時間]]=0,"否","是")</f>
        <v>否</v>
      </c>
    </row>
    <row r="1720" spans="1:15" hidden="1">
      <c r="A1720" t="s">
        <v>75</v>
      </c>
      <c r="B1720" t="s">
        <v>21</v>
      </c>
      <c r="C1720">
        <v>0</v>
      </c>
      <c r="D1720">
        <v>0</v>
      </c>
      <c r="E1720" s="27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 s="9">
        <v>45335</v>
      </c>
      <c r="L1720">
        <f xml:space="preserve"> (交易處理資料__3[[#This Row],[售出工時]] * 60) / 5</f>
        <v>0</v>
      </c>
      <c r="M1720" t="str">
        <f>VLOOKUP(交易處理資料__3[[#This Row],[人員代號]],團隊分組!$B$1:$C$52,2,FALSE)</f>
        <v>查修團隊B</v>
      </c>
      <c r="N1720">
        <f>IF(交易處理資料__3[[#This Row],[上班時間]]=0,0,交易處理資料__3[[#This Row],[售出工時]]/交易處理資料__3[[#This Row],[上班時間]])</f>
        <v>0</v>
      </c>
      <c r="O1720" s="31" t="str">
        <f>IF(交易處理資料__3[[#This Row],[上班時間]]=0,"否","是")</f>
        <v>否</v>
      </c>
    </row>
    <row r="1721" spans="1:15" hidden="1">
      <c r="A1721" t="s">
        <v>75</v>
      </c>
      <c r="B1721" t="s">
        <v>22</v>
      </c>
      <c r="C1721">
        <v>0</v>
      </c>
      <c r="D1721">
        <v>0</v>
      </c>
      <c r="E1721" s="27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 s="9">
        <v>45335</v>
      </c>
      <c r="L1721">
        <f xml:space="preserve"> (交易處理資料__3[[#This Row],[售出工時]] * 60) / 5</f>
        <v>0</v>
      </c>
      <c r="M1721" t="str">
        <f>VLOOKUP(交易處理資料__3[[#This Row],[人員代號]],團隊分組!$B$1:$C$52,2,FALSE)</f>
        <v>快速保養團隊A</v>
      </c>
      <c r="N1721">
        <f>IF(交易處理資料__3[[#This Row],[上班時間]]=0,0,交易處理資料__3[[#This Row],[售出工時]]/交易處理資料__3[[#This Row],[上班時間]])</f>
        <v>0</v>
      </c>
      <c r="O1721" s="31" t="str">
        <f>IF(交易處理資料__3[[#This Row],[上班時間]]=0,"否","是")</f>
        <v>否</v>
      </c>
    </row>
    <row r="1722" spans="1:15" hidden="1">
      <c r="A1722" t="s">
        <v>75</v>
      </c>
      <c r="B1722" t="s">
        <v>23</v>
      </c>
      <c r="C1722">
        <v>0</v>
      </c>
      <c r="D1722">
        <v>0</v>
      </c>
      <c r="E1722" s="27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 s="9">
        <v>45335</v>
      </c>
      <c r="L1722">
        <f xml:space="preserve"> (交易處理資料__3[[#This Row],[售出工時]] * 60) / 5</f>
        <v>0</v>
      </c>
      <c r="M1722" t="str">
        <f>VLOOKUP(交易處理資料__3[[#This Row],[人員代號]],團隊分組!$B$1:$C$52,2,FALSE)</f>
        <v>快速保養團隊B</v>
      </c>
      <c r="N1722">
        <f>IF(交易處理資料__3[[#This Row],[上班時間]]=0,0,交易處理資料__3[[#This Row],[售出工時]]/交易處理資料__3[[#This Row],[上班時間]])</f>
        <v>0</v>
      </c>
      <c r="O1722" s="31" t="str">
        <f>IF(交易處理資料__3[[#This Row],[上班時間]]=0,"否","是")</f>
        <v>否</v>
      </c>
    </row>
    <row r="1723" spans="1:15" hidden="1">
      <c r="A1723" t="s">
        <v>75</v>
      </c>
      <c r="B1723" t="s">
        <v>24</v>
      </c>
      <c r="C1723">
        <v>0</v>
      </c>
      <c r="D1723">
        <v>0</v>
      </c>
      <c r="E1723" s="27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 s="9">
        <v>45335</v>
      </c>
      <c r="L1723">
        <f xml:space="preserve"> (交易處理資料__3[[#This Row],[售出工時]] * 60) / 5</f>
        <v>0</v>
      </c>
      <c r="M1723" t="str">
        <f>VLOOKUP(交易處理資料__3[[#This Row],[人員代號]],團隊分組!$B$1:$C$52,2,FALSE)</f>
        <v>快速保養團隊A</v>
      </c>
      <c r="N1723">
        <f>IF(交易處理資料__3[[#This Row],[上班時間]]=0,0,交易處理資料__3[[#This Row],[售出工時]]/交易處理資料__3[[#This Row],[上班時間]])</f>
        <v>0</v>
      </c>
      <c r="O1723" s="31" t="str">
        <f>IF(交易處理資料__3[[#This Row],[上班時間]]=0,"否","是")</f>
        <v>否</v>
      </c>
    </row>
    <row r="1724" spans="1:15" hidden="1">
      <c r="A1724" t="s">
        <v>75</v>
      </c>
      <c r="B1724" t="s">
        <v>25</v>
      </c>
      <c r="C1724">
        <v>0</v>
      </c>
      <c r="D1724">
        <v>0</v>
      </c>
      <c r="E1724" s="27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 s="9">
        <v>45335</v>
      </c>
      <c r="L1724">
        <f xml:space="preserve"> (交易處理資料__3[[#This Row],[售出工時]] * 60) / 5</f>
        <v>0</v>
      </c>
      <c r="M1724" t="str">
        <f>VLOOKUP(交易處理資料__3[[#This Row],[人員代號]],團隊分組!$B$1:$C$52,2,FALSE)</f>
        <v>查修團隊A</v>
      </c>
      <c r="N1724">
        <f>IF(交易處理資料__3[[#This Row],[上班時間]]=0,0,交易處理資料__3[[#This Row],[售出工時]]/交易處理資料__3[[#This Row],[上班時間]])</f>
        <v>0</v>
      </c>
      <c r="O1724" s="31" t="str">
        <f>IF(交易處理資料__3[[#This Row],[上班時間]]=0,"否","是")</f>
        <v>否</v>
      </c>
    </row>
    <row r="1725" spans="1:15" hidden="1">
      <c r="A1725" t="s">
        <v>75</v>
      </c>
      <c r="B1725" t="s">
        <v>26</v>
      </c>
      <c r="C1725">
        <v>0</v>
      </c>
      <c r="D1725">
        <v>0</v>
      </c>
      <c r="E1725" s="27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 s="9">
        <v>45335</v>
      </c>
      <c r="L1725">
        <f xml:space="preserve"> (交易處理資料__3[[#This Row],[售出工時]] * 60) / 5</f>
        <v>0</v>
      </c>
      <c r="M1725" t="str">
        <f>VLOOKUP(交易處理資料__3[[#This Row],[人員代號]],團隊分組!$B$1:$C$52,2,FALSE)</f>
        <v>查修團隊B</v>
      </c>
      <c r="N1725">
        <f>IF(交易處理資料__3[[#This Row],[上班時間]]=0,0,交易處理資料__3[[#This Row],[售出工時]]/交易處理資料__3[[#This Row],[上班時間]])</f>
        <v>0</v>
      </c>
      <c r="O1725" s="31" t="str">
        <f>IF(交易處理資料__3[[#This Row],[上班時間]]=0,"否","是")</f>
        <v>否</v>
      </c>
    </row>
    <row r="1726" spans="1:15" hidden="1">
      <c r="A1726" t="s">
        <v>75</v>
      </c>
      <c r="B1726" t="s">
        <v>27</v>
      </c>
      <c r="C1726">
        <v>0</v>
      </c>
      <c r="D1726">
        <v>0</v>
      </c>
      <c r="E1726" s="27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 s="9">
        <v>45335</v>
      </c>
      <c r="L1726">
        <f xml:space="preserve"> (交易處理資料__3[[#This Row],[售出工時]] * 60) / 5</f>
        <v>0</v>
      </c>
      <c r="M1726" t="str">
        <f>VLOOKUP(交易處理資料__3[[#This Row],[人員代號]],團隊分組!$B$1:$C$52,2,FALSE)</f>
        <v>快速保養團隊B</v>
      </c>
      <c r="N1726">
        <f>IF(交易處理資料__3[[#This Row],[上班時間]]=0,0,交易處理資料__3[[#This Row],[售出工時]]/交易處理資料__3[[#This Row],[上班時間]])</f>
        <v>0</v>
      </c>
      <c r="O1726" s="31" t="str">
        <f>IF(交易處理資料__3[[#This Row],[上班時間]]=0,"否","是")</f>
        <v>否</v>
      </c>
    </row>
    <row r="1727" spans="1:15" hidden="1">
      <c r="A1727" t="s">
        <v>75</v>
      </c>
      <c r="B1727" t="s">
        <v>28</v>
      </c>
      <c r="C1727">
        <v>0</v>
      </c>
      <c r="D1727">
        <v>0</v>
      </c>
      <c r="E1727" s="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 s="9">
        <v>45335</v>
      </c>
      <c r="L1727">
        <f xml:space="preserve"> (交易處理資料__3[[#This Row],[售出工時]] * 60) / 5</f>
        <v>0</v>
      </c>
      <c r="M1727" t="str">
        <f>VLOOKUP(交易處理資料__3[[#This Row],[人員代號]],團隊分組!$B$1:$C$52,2,FALSE)</f>
        <v>快速保養團隊A</v>
      </c>
      <c r="N1727">
        <f>IF(交易處理資料__3[[#This Row],[上班時間]]=0,0,交易處理資料__3[[#This Row],[售出工時]]/交易處理資料__3[[#This Row],[上班時間]])</f>
        <v>0</v>
      </c>
      <c r="O1727" s="31" t="str">
        <f>IF(交易處理資料__3[[#This Row],[上班時間]]=0,"否","是")</f>
        <v>否</v>
      </c>
    </row>
    <row r="1728" spans="1:15" hidden="1">
      <c r="A1728" t="s">
        <v>75</v>
      </c>
      <c r="B1728" t="s">
        <v>29</v>
      </c>
      <c r="C1728">
        <v>0</v>
      </c>
      <c r="D1728">
        <v>0</v>
      </c>
      <c r="E1728" s="27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 s="9">
        <v>45335</v>
      </c>
      <c r="L1728">
        <f xml:space="preserve"> (交易處理資料__3[[#This Row],[售出工時]] * 60) / 5</f>
        <v>0</v>
      </c>
      <c r="M1728" t="str">
        <f>VLOOKUP(交易處理資料__3[[#This Row],[人員代號]],團隊分組!$B$1:$C$52,2,FALSE)</f>
        <v>查修團隊B</v>
      </c>
      <c r="N1728">
        <f>IF(交易處理資料__3[[#This Row],[上班時間]]=0,0,交易處理資料__3[[#This Row],[售出工時]]/交易處理資料__3[[#This Row],[上班時間]])</f>
        <v>0</v>
      </c>
      <c r="O1728" s="31" t="str">
        <f>IF(交易處理資料__3[[#This Row],[上班時間]]=0,"否","是")</f>
        <v>否</v>
      </c>
    </row>
    <row r="1729" spans="1:15" hidden="1">
      <c r="A1729" t="s">
        <v>75</v>
      </c>
      <c r="B1729" t="s">
        <v>30</v>
      </c>
      <c r="C1729">
        <v>0</v>
      </c>
      <c r="D1729">
        <v>0</v>
      </c>
      <c r="E1729" s="27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 s="9">
        <v>45335</v>
      </c>
      <c r="L1729">
        <f xml:space="preserve"> (交易處理資料__3[[#This Row],[售出工時]] * 60) / 5</f>
        <v>0</v>
      </c>
      <c r="M1729" t="str">
        <f>VLOOKUP(交易處理資料__3[[#This Row],[人員代號]],團隊分組!$B$1:$C$52,2,FALSE)</f>
        <v>快速保養團隊B</v>
      </c>
      <c r="N1729">
        <f>IF(交易處理資料__3[[#This Row],[上班時間]]=0,0,交易處理資料__3[[#This Row],[售出工時]]/交易處理資料__3[[#This Row],[上班時間]])</f>
        <v>0</v>
      </c>
      <c r="O1729" s="31" t="str">
        <f>IF(交易處理資料__3[[#This Row],[上班時間]]=0,"否","是")</f>
        <v>否</v>
      </c>
    </row>
    <row r="1730" spans="1:15" hidden="1">
      <c r="A1730" t="s">
        <v>75</v>
      </c>
      <c r="B1730" t="s">
        <v>32</v>
      </c>
      <c r="C1730">
        <v>0</v>
      </c>
      <c r="D1730">
        <v>0</v>
      </c>
      <c r="E1730" s="27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 s="9">
        <v>45335</v>
      </c>
      <c r="L1730">
        <f xml:space="preserve"> (交易處理資料__3[[#This Row],[售出工時]] * 60) / 5</f>
        <v>0</v>
      </c>
      <c r="M1730" t="str">
        <f>VLOOKUP(交易處理資料__3[[#This Row],[人員代號]],團隊分組!$B$1:$C$52,2,FALSE)</f>
        <v>快速保養團隊B</v>
      </c>
      <c r="N1730">
        <f>IF(交易處理資料__3[[#This Row],[上班時間]]=0,0,交易處理資料__3[[#This Row],[售出工時]]/交易處理資料__3[[#This Row],[上班時間]])</f>
        <v>0</v>
      </c>
      <c r="O1730" s="31" t="str">
        <f>IF(交易處理資料__3[[#This Row],[上班時間]]=0,"否","是")</f>
        <v>否</v>
      </c>
    </row>
    <row r="1731" spans="1:15">
      <c r="A1731" t="s">
        <v>75</v>
      </c>
      <c r="B1731" t="s">
        <v>33</v>
      </c>
      <c r="C1731">
        <v>0</v>
      </c>
      <c r="D1731">
        <v>0</v>
      </c>
      <c r="E1731" s="27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 s="9">
        <v>45335</v>
      </c>
      <c r="L1731">
        <f xml:space="preserve"> (交易處理資料__3[[#This Row],[售出工時]] * 60) / 5</f>
        <v>0</v>
      </c>
      <c r="M1731" t="str">
        <f>VLOOKUP(交易處理資料__3[[#This Row],[人員代號]],團隊分組!$B$1:$C$52,2,FALSE)</f>
        <v>快速保養團隊B</v>
      </c>
      <c r="N1731">
        <f>IF(交易處理資料__3[[#This Row],[上班時間]]=0,0,交易處理資料__3[[#This Row],[售出工時]]/交易處理資料__3[[#This Row],[上班時間]])</f>
        <v>0</v>
      </c>
      <c r="O1731" s="31" t="str">
        <f>IF(交易處理資料__3[[#This Row],[上班時間]]=0,"否","是")</f>
        <v>否</v>
      </c>
    </row>
    <row r="1732" spans="1:15" hidden="1">
      <c r="A1732" t="s">
        <v>75</v>
      </c>
      <c r="B1732" t="s">
        <v>34</v>
      </c>
      <c r="C1732">
        <v>0</v>
      </c>
      <c r="D1732">
        <v>0</v>
      </c>
      <c r="E1732" s="27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 s="9">
        <v>45335</v>
      </c>
      <c r="L1732">
        <f xml:space="preserve"> (交易處理資料__3[[#This Row],[售出工時]] * 60) / 5</f>
        <v>0</v>
      </c>
      <c r="M1732" t="str">
        <f>VLOOKUP(交易處理資料__3[[#This Row],[人員代號]],團隊分組!$B$1:$C$52,2,FALSE)</f>
        <v>快速保養團隊A</v>
      </c>
      <c r="N1732">
        <f>IF(交易處理資料__3[[#This Row],[上班時間]]=0,0,交易處理資料__3[[#This Row],[售出工時]]/交易處理資料__3[[#This Row],[上班時間]])</f>
        <v>0</v>
      </c>
      <c r="O1732" s="31" t="str">
        <f>IF(交易處理資料__3[[#This Row],[上班時間]]=0,"否","是")</f>
        <v>否</v>
      </c>
    </row>
    <row r="1733" spans="1:15" hidden="1">
      <c r="A1733" t="s">
        <v>75</v>
      </c>
      <c r="B1733" t="s">
        <v>35</v>
      </c>
      <c r="C1733">
        <v>0</v>
      </c>
      <c r="D1733">
        <v>0</v>
      </c>
      <c r="E1733" s="27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 s="9">
        <v>45335</v>
      </c>
      <c r="L1733">
        <f xml:space="preserve"> (交易處理資料__3[[#This Row],[售出工時]] * 60) / 5</f>
        <v>0</v>
      </c>
      <c r="M1733" t="str">
        <f>VLOOKUP(交易處理資料__3[[#This Row],[人員代號]],團隊分組!$B$1:$C$52,2,FALSE)</f>
        <v>查修團隊B</v>
      </c>
      <c r="N1733">
        <f>IF(交易處理資料__3[[#This Row],[上班時間]]=0,0,交易處理資料__3[[#This Row],[售出工時]]/交易處理資料__3[[#This Row],[上班時間]])</f>
        <v>0</v>
      </c>
      <c r="O1733" s="31" t="str">
        <f>IF(交易處理資料__3[[#This Row],[上班時間]]=0,"否","是")</f>
        <v>否</v>
      </c>
    </row>
    <row r="1734" spans="1:15" hidden="1">
      <c r="A1734" t="s">
        <v>75</v>
      </c>
      <c r="B1734" t="s">
        <v>36</v>
      </c>
      <c r="C1734">
        <v>0</v>
      </c>
      <c r="D1734">
        <v>0</v>
      </c>
      <c r="E1734" s="27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 s="9">
        <v>45335</v>
      </c>
      <c r="L1734">
        <f xml:space="preserve"> (交易處理資料__3[[#This Row],[售出工時]] * 60) / 5</f>
        <v>0</v>
      </c>
      <c r="M1734" t="str">
        <f>VLOOKUP(交易處理資料__3[[#This Row],[人員代號]],團隊分組!$B$1:$C$52,2,FALSE)</f>
        <v>查修團隊B</v>
      </c>
      <c r="N1734">
        <f>IF(交易處理資料__3[[#This Row],[上班時間]]=0,0,交易處理資料__3[[#This Row],[售出工時]]/交易處理資料__3[[#This Row],[上班時間]])</f>
        <v>0</v>
      </c>
      <c r="O1734" s="31" t="str">
        <f>IF(交易處理資料__3[[#This Row],[上班時間]]=0,"否","是")</f>
        <v>否</v>
      </c>
    </row>
    <row r="1735" spans="1:15" hidden="1">
      <c r="A1735" t="s">
        <v>75</v>
      </c>
      <c r="B1735" t="s">
        <v>37</v>
      </c>
      <c r="C1735">
        <v>0</v>
      </c>
      <c r="D1735">
        <v>0</v>
      </c>
      <c r="E1735" s="27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 s="9">
        <v>45335</v>
      </c>
      <c r="L1735">
        <f xml:space="preserve"> (交易處理資料__3[[#This Row],[售出工時]] * 60) / 5</f>
        <v>0</v>
      </c>
      <c r="M1735" t="str">
        <f>VLOOKUP(交易處理資料__3[[#This Row],[人員代號]],團隊分組!$B$1:$C$52,2,FALSE)</f>
        <v>查修團隊A</v>
      </c>
      <c r="N1735">
        <f>IF(交易處理資料__3[[#This Row],[上班時間]]=0,0,交易處理資料__3[[#This Row],[售出工時]]/交易處理資料__3[[#This Row],[上班時間]])</f>
        <v>0</v>
      </c>
      <c r="O1735" s="31" t="str">
        <f>IF(交易處理資料__3[[#This Row],[上班時間]]=0,"否","是")</f>
        <v>否</v>
      </c>
    </row>
    <row r="1736" spans="1:15" hidden="1">
      <c r="A1736" t="s">
        <v>75</v>
      </c>
      <c r="B1736" t="s">
        <v>38</v>
      </c>
      <c r="C1736">
        <v>0</v>
      </c>
      <c r="D1736">
        <v>0</v>
      </c>
      <c r="E1736" s="27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 s="9">
        <v>45335</v>
      </c>
      <c r="L1736">
        <f xml:space="preserve"> (交易處理資料__3[[#This Row],[售出工時]] * 60) / 5</f>
        <v>0</v>
      </c>
      <c r="M1736" t="str">
        <f>VLOOKUP(交易處理資料__3[[#This Row],[人員代號]],團隊分組!$B$1:$C$52,2,FALSE)</f>
        <v>快速保養團隊A</v>
      </c>
      <c r="N1736">
        <f>IF(交易處理資料__3[[#This Row],[上班時間]]=0,0,交易處理資料__3[[#This Row],[售出工時]]/交易處理資料__3[[#This Row],[上班時間]])</f>
        <v>0</v>
      </c>
      <c r="O1736" s="31" t="str">
        <f>IF(交易處理資料__3[[#This Row],[上班時間]]=0,"否","是")</f>
        <v>否</v>
      </c>
    </row>
    <row r="1737" spans="1:15" hidden="1">
      <c r="A1737" t="s">
        <v>75</v>
      </c>
      <c r="B1737" t="s">
        <v>39</v>
      </c>
      <c r="C1737">
        <v>0</v>
      </c>
      <c r="D1737">
        <v>0</v>
      </c>
      <c r="E1737" s="2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 s="9">
        <v>45335</v>
      </c>
      <c r="L1737">
        <f xml:space="preserve"> (交易處理資料__3[[#This Row],[售出工時]] * 60) / 5</f>
        <v>0</v>
      </c>
      <c r="M1737" t="str">
        <f>VLOOKUP(交易處理資料__3[[#This Row],[人員代號]],團隊分組!$B$1:$C$52,2,FALSE)</f>
        <v>查修團隊A</v>
      </c>
      <c r="N1737">
        <f>IF(交易處理資料__3[[#This Row],[上班時間]]=0,0,交易處理資料__3[[#This Row],[售出工時]]/交易處理資料__3[[#This Row],[上班時間]])</f>
        <v>0</v>
      </c>
      <c r="O1737" s="31" t="str">
        <f>IF(交易處理資料__3[[#This Row],[上班時間]]=0,"否","是")</f>
        <v>否</v>
      </c>
    </row>
    <row r="1738" spans="1:15" hidden="1">
      <c r="A1738" t="s">
        <v>75</v>
      </c>
      <c r="B1738" t="s">
        <v>40</v>
      </c>
      <c r="C1738">
        <v>0</v>
      </c>
      <c r="D1738">
        <v>0</v>
      </c>
      <c r="E1738" s="27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 s="9">
        <v>45335</v>
      </c>
      <c r="L1738">
        <f xml:space="preserve"> (交易處理資料__3[[#This Row],[售出工時]] * 60) / 5</f>
        <v>0</v>
      </c>
      <c r="M1738" t="str">
        <f>VLOOKUP(交易處理資料__3[[#This Row],[人員代號]],團隊分組!$B$1:$C$52,2,FALSE)</f>
        <v>查修團隊A</v>
      </c>
      <c r="N1738">
        <f>IF(交易處理資料__3[[#This Row],[上班時間]]=0,0,交易處理資料__3[[#This Row],[售出工時]]/交易處理資料__3[[#This Row],[上班時間]])</f>
        <v>0</v>
      </c>
      <c r="O1738" s="31" t="str">
        <f>IF(交易處理資料__3[[#This Row],[上班時間]]=0,"否","是")</f>
        <v>否</v>
      </c>
    </row>
    <row r="1739" spans="1:15" hidden="1">
      <c r="A1739" t="s">
        <v>75</v>
      </c>
      <c r="B1739" t="s">
        <v>41</v>
      </c>
      <c r="C1739">
        <v>0</v>
      </c>
      <c r="D1739">
        <v>0</v>
      </c>
      <c r="E1739" s="27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 s="9">
        <v>45335</v>
      </c>
      <c r="L1739">
        <f xml:space="preserve"> (交易處理資料__3[[#This Row],[售出工時]] * 60) / 5</f>
        <v>0</v>
      </c>
      <c r="M1739" t="str">
        <f>VLOOKUP(交易處理資料__3[[#This Row],[人員代號]],團隊分組!$B$1:$C$52,2,FALSE)</f>
        <v>快速保養團隊A</v>
      </c>
      <c r="N1739">
        <f>IF(交易處理資料__3[[#This Row],[上班時間]]=0,0,交易處理資料__3[[#This Row],[售出工時]]/交易處理資料__3[[#This Row],[上班時間]])</f>
        <v>0</v>
      </c>
      <c r="O1739" s="31" t="str">
        <f>IF(交易處理資料__3[[#This Row],[上班時間]]=0,"否","是")</f>
        <v>否</v>
      </c>
    </row>
    <row r="1740" spans="1:15" hidden="1">
      <c r="A1740" t="s">
        <v>75</v>
      </c>
      <c r="B1740" t="s">
        <v>42</v>
      </c>
      <c r="C1740">
        <v>0</v>
      </c>
      <c r="D1740">
        <v>0</v>
      </c>
      <c r="E1740" s="27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 s="9">
        <v>45335</v>
      </c>
      <c r="L1740">
        <f xml:space="preserve"> (交易處理資料__3[[#This Row],[售出工時]] * 60) / 5</f>
        <v>0</v>
      </c>
      <c r="M1740" t="str">
        <f>VLOOKUP(交易處理資料__3[[#This Row],[人員代號]],團隊分組!$B$1:$C$52,2,FALSE)</f>
        <v>快速保養團隊A</v>
      </c>
      <c r="N1740">
        <f>IF(交易處理資料__3[[#This Row],[上班時間]]=0,0,交易處理資料__3[[#This Row],[售出工時]]/交易處理資料__3[[#This Row],[上班時間]])</f>
        <v>0</v>
      </c>
      <c r="O1740" s="31" t="str">
        <f>IF(交易處理資料__3[[#This Row],[上班時間]]=0,"否","是")</f>
        <v>否</v>
      </c>
    </row>
    <row r="1741" spans="1:15" hidden="1">
      <c r="A1741" t="s">
        <v>75</v>
      </c>
      <c r="B1741" t="s">
        <v>43</v>
      </c>
      <c r="C1741">
        <v>0</v>
      </c>
      <c r="D1741">
        <v>0</v>
      </c>
      <c r="E1741" s="27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 s="9">
        <v>45335</v>
      </c>
      <c r="L1741">
        <f xml:space="preserve"> (交易處理資料__3[[#This Row],[售出工時]] * 60) / 5</f>
        <v>0</v>
      </c>
      <c r="M1741" t="str">
        <f>VLOOKUP(交易處理資料__3[[#This Row],[人員代號]],團隊分組!$B$1:$C$52,2,FALSE)</f>
        <v>查修團隊B</v>
      </c>
      <c r="N1741">
        <f>IF(交易處理資料__3[[#This Row],[上班時間]]=0,0,交易處理資料__3[[#This Row],[售出工時]]/交易處理資料__3[[#This Row],[上班時間]])</f>
        <v>0</v>
      </c>
      <c r="O1741" s="31" t="str">
        <f>IF(交易處理資料__3[[#This Row],[上班時間]]=0,"否","是")</f>
        <v>否</v>
      </c>
    </row>
    <row r="1742" spans="1:15" hidden="1">
      <c r="A1742" t="s">
        <v>75</v>
      </c>
      <c r="B1742" t="s">
        <v>44</v>
      </c>
      <c r="C1742">
        <v>0</v>
      </c>
      <c r="D1742">
        <v>0</v>
      </c>
      <c r="E1742" s="27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 s="9">
        <v>45335</v>
      </c>
      <c r="L1742">
        <f xml:space="preserve"> (交易處理資料__3[[#This Row],[售出工時]] * 60) / 5</f>
        <v>0</v>
      </c>
      <c r="M1742" t="str">
        <f>VLOOKUP(交易處理資料__3[[#This Row],[人員代號]],團隊分組!$B$1:$C$52,2,FALSE)</f>
        <v>快速保養團隊B</v>
      </c>
      <c r="N1742">
        <f>IF(交易處理資料__3[[#This Row],[上班時間]]=0,0,交易處理資料__3[[#This Row],[售出工時]]/交易處理資料__3[[#This Row],[上班時間]])</f>
        <v>0</v>
      </c>
      <c r="O1742" s="31" t="str">
        <f>IF(交易處理資料__3[[#This Row],[上班時間]]=0,"否","是")</f>
        <v>否</v>
      </c>
    </row>
    <row r="1743" spans="1:15" hidden="1">
      <c r="A1743" t="s">
        <v>75</v>
      </c>
      <c r="B1743" t="s">
        <v>45</v>
      </c>
      <c r="C1743">
        <v>0</v>
      </c>
      <c r="D1743">
        <v>0</v>
      </c>
      <c r="E1743" s="27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 s="9">
        <v>45335</v>
      </c>
      <c r="L1743">
        <f xml:space="preserve"> (交易處理資料__3[[#This Row],[售出工時]] * 60) / 5</f>
        <v>0</v>
      </c>
      <c r="M1743" t="str">
        <f>VLOOKUP(交易處理資料__3[[#This Row],[人員代號]],團隊分組!$B$1:$C$52,2,FALSE)</f>
        <v>快速保養團隊A</v>
      </c>
      <c r="N1743">
        <f>IF(交易處理資料__3[[#This Row],[上班時間]]=0,0,交易處理資料__3[[#This Row],[售出工時]]/交易處理資料__3[[#This Row],[上班時間]])</f>
        <v>0</v>
      </c>
      <c r="O1743" s="31" t="str">
        <f>IF(交易處理資料__3[[#This Row],[上班時間]]=0,"否","是")</f>
        <v>否</v>
      </c>
    </row>
    <row r="1744" spans="1:15" hidden="1">
      <c r="A1744" t="s">
        <v>75</v>
      </c>
      <c r="B1744" t="s">
        <v>46</v>
      </c>
      <c r="C1744">
        <v>0</v>
      </c>
      <c r="D1744">
        <v>0</v>
      </c>
      <c r="E1744" s="27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 s="9">
        <v>45335</v>
      </c>
      <c r="L1744">
        <f xml:space="preserve"> (交易處理資料__3[[#This Row],[售出工時]] * 60) / 5</f>
        <v>0</v>
      </c>
      <c r="M1744" t="str">
        <f>VLOOKUP(交易處理資料__3[[#This Row],[人員代號]],團隊分組!$B$1:$C$52,2,FALSE)</f>
        <v>查修團隊B</v>
      </c>
      <c r="N1744">
        <f>IF(交易處理資料__3[[#This Row],[上班時間]]=0,0,交易處理資料__3[[#This Row],[售出工時]]/交易處理資料__3[[#This Row],[上班時間]])</f>
        <v>0</v>
      </c>
      <c r="O1744" s="31" t="str">
        <f>IF(交易處理資料__3[[#This Row],[上班時間]]=0,"否","是")</f>
        <v>否</v>
      </c>
    </row>
    <row r="1745" spans="1:15" hidden="1">
      <c r="A1745" t="s">
        <v>75</v>
      </c>
      <c r="B1745" t="s">
        <v>47</v>
      </c>
      <c r="C1745">
        <v>0</v>
      </c>
      <c r="D1745">
        <v>0</v>
      </c>
      <c r="E1745" s="27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 s="9">
        <v>45335</v>
      </c>
      <c r="L1745">
        <f xml:space="preserve"> (交易處理資料__3[[#This Row],[售出工時]] * 60) / 5</f>
        <v>0</v>
      </c>
      <c r="M1745" t="str">
        <f>VLOOKUP(交易處理資料__3[[#This Row],[人員代號]],團隊分組!$B$1:$C$52,2,FALSE)</f>
        <v>查修團隊B</v>
      </c>
      <c r="N1745">
        <f>IF(交易處理資料__3[[#This Row],[上班時間]]=0,0,交易處理資料__3[[#This Row],[售出工時]]/交易處理資料__3[[#This Row],[上班時間]])</f>
        <v>0</v>
      </c>
      <c r="O1745" s="31" t="str">
        <f>IF(交易處理資料__3[[#This Row],[上班時間]]=0,"否","是")</f>
        <v>否</v>
      </c>
    </row>
    <row r="1746" spans="1:15" hidden="1">
      <c r="A1746" t="s">
        <v>75</v>
      </c>
      <c r="B1746" t="s">
        <v>48</v>
      </c>
      <c r="C1746">
        <v>0</v>
      </c>
      <c r="D1746">
        <v>0</v>
      </c>
      <c r="E1746" s="27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 s="9">
        <v>45335</v>
      </c>
      <c r="L1746">
        <f xml:space="preserve"> (交易處理資料__3[[#This Row],[售出工時]] * 60) / 5</f>
        <v>0</v>
      </c>
      <c r="M1746" t="str">
        <f>VLOOKUP(交易處理資料__3[[#This Row],[人員代號]],團隊分組!$B$1:$C$52,2,FALSE)</f>
        <v>查修團隊A</v>
      </c>
      <c r="N1746">
        <f>IF(交易處理資料__3[[#This Row],[上班時間]]=0,0,交易處理資料__3[[#This Row],[售出工時]]/交易處理資料__3[[#This Row],[上班時間]])</f>
        <v>0</v>
      </c>
      <c r="O1746" s="31" t="str">
        <f>IF(交易處理資料__3[[#This Row],[上班時間]]=0,"否","是")</f>
        <v>否</v>
      </c>
    </row>
    <row r="1747" spans="1:15" hidden="1">
      <c r="A1747" t="s">
        <v>75</v>
      </c>
      <c r="B1747" t="s">
        <v>49</v>
      </c>
      <c r="C1747">
        <v>0</v>
      </c>
      <c r="D1747">
        <v>0</v>
      </c>
      <c r="E1747" s="2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 s="9">
        <v>45335</v>
      </c>
      <c r="L1747">
        <f xml:space="preserve"> (交易處理資料__3[[#This Row],[售出工時]] * 60) / 5</f>
        <v>0</v>
      </c>
      <c r="M1747" t="str">
        <f>VLOOKUP(交易處理資料__3[[#This Row],[人員代號]],團隊分組!$B$1:$C$52,2,FALSE)</f>
        <v>查修團隊A</v>
      </c>
      <c r="N1747">
        <f>IF(交易處理資料__3[[#This Row],[上班時間]]=0,0,交易處理資料__3[[#This Row],[售出工時]]/交易處理資料__3[[#This Row],[上班時間]])</f>
        <v>0</v>
      </c>
      <c r="O1747" s="31" t="str">
        <f>IF(交易處理資料__3[[#This Row],[上班時間]]=0,"否","是")</f>
        <v>否</v>
      </c>
    </row>
    <row r="1748" spans="1:15" hidden="1">
      <c r="A1748" t="s">
        <v>75</v>
      </c>
      <c r="B1748" t="s">
        <v>50</v>
      </c>
      <c r="C1748">
        <v>0</v>
      </c>
      <c r="D1748">
        <v>0</v>
      </c>
      <c r="E1748" s="27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 s="9">
        <v>45335</v>
      </c>
      <c r="L1748">
        <f xml:space="preserve"> (交易處理資料__3[[#This Row],[售出工時]] * 60) / 5</f>
        <v>0</v>
      </c>
      <c r="M1748" t="str">
        <f>VLOOKUP(交易處理資料__3[[#This Row],[人員代號]],團隊分組!$B$1:$C$52,2,FALSE)</f>
        <v>快速保養團隊B</v>
      </c>
      <c r="N1748">
        <f>IF(交易處理資料__3[[#This Row],[上班時間]]=0,0,交易處理資料__3[[#This Row],[售出工時]]/交易處理資料__3[[#This Row],[上班時間]])</f>
        <v>0</v>
      </c>
      <c r="O1748" s="31" t="str">
        <f>IF(交易處理資料__3[[#This Row],[上班時間]]=0,"否","是")</f>
        <v>否</v>
      </c>
    </row>
    <row r="1749" spans="1:15" hidden="1">
      <c r="A1749" t="s">
        <v>75</v>
      </c>
      <c r="B1749" t="s">
        <v>51</v>
      </c>
      <c r="C1749">
        <v>0</v>
      </c>
      <c r="D1749">
        <v>0</v>
      </c>
      <c r="E1749" s="27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 s="9">
        <v>45335</v>
      </c>
      <c r="L1749">
        <f xml:space="preserve"> (交易處理資料__3[[#This Row],[售出工時]] * 60) / 5</f>
        <v>0</v>
      </c>
      <c r="M1749" t="str">
        <f>VLOOKUP(交易處理資料__3[[#This Row],[人員代號]],團隊分組!$B$1:$C$52,2,FALSE)</f>
        <v>無效數據</v>
      </c>
      <c r="N1749">
        <f>IF(交易處理資料__3[[#This Row],[上班時間]]=0,0,交易處理資料__3[[#This Row],[售出工時]]/交易處理資料__3[[#This Row],[上班時間]])</f>
        <v>0</v>
      </c>
      <c r="O1749" s="31" t="str">
        <f>IF(交易處理資料__3[[#This Row],[上班時間]]=0,"否","是")</f>
        <v>否</v>
      </c>
    </row>
    <row r="1750" spans="1:15" hidden="1">
      <c r="A1750" t="s">
        <v>75</v>
      </c>
      <c r="B1750" t="s">
        <v>52</v>
      </c>
      <c r="C1750">
        <v>0</v>
      </c>
      <c r="D1750">
        <v>0</v>
      </c>
      <c r="E1750" s="27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 s="9">
        <v>45335</v>
      </c>
      <c r="L1750">
        <f xml:space="preserve"> (交易處理資料__3[[#This Row],[售出工時]] * 60) / 5</f>
        <v>0</v>
      </c>
      <c r="M1750" t="str">
        <f>VLOOKUP(交易處理資料__3[[#This Row],[人員代號]],團隊分組!$B$1:$C$52,2,FALSE)</f>
        <v>查修團隊B</v>
      </c>
      <c r="N1750">
        <f>IF(交易處理資料__3[[#This Row],[上班時間]]=0,0,交易處理資料__3[[#This Row],[售出工時]]/交易處理資料__3[[#This Row],[上班時間]])</f>
        <v>0</v>
      </c>
      <c r="O1750" s="31" t="str">
        <f>IF(交易處理資料__3[[#This Row],[上班時間]]=0,"否","是")</f>
        <v>否</v>
      </c>
    </row>
    <row r="1751" spans="1:15" hidden="1">
      <c r="A1751" t="s">
        <v>75</v>
      </c>
      <c r="B1751" t="s">
        <v>53</v>
      </c>
      <c r="C1751">
        <v>0</v>
      </c>
      <c r="D1751">
        <v>0</v>
      </c>
      <c r="E1751" s="27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 s="9">
        <v>45335</v>
      </c>
      <c r="L1751">
        <f xml:space="preserve"> (交易處理資料__3[[#This Row],[售出工時]] * 60) / 5</f>
        <v>0</v>
      </c>
      <c r="M1751" t="str">
        <f>VLOOKUP(交易處理資料__3[[#This Row],[人員代號]],團隊分組!$B$1:$C$52,2,FALSE)</f>
        <v>查修團隊A</v>
      </c>
      <c r="N1751">
        <f>IF(交易處理資料__3[[#This Row],[上班時間]]=0,0,交易處理資料__3[[#This Row],[售出工時]]/交易處理資料__3[[#This Row],[上班時間]])</f>
        <v>0</v>
      </c>
      <c r="O1751" s="31" t="str">
        <f>IF(交易處理資料__3[[#This Row],[上班時間]]=0,"否","是")</f>
        <v>否</v>
      </c>
    </row>
    <row r="1752" spans="1:15" hidden="1">
      <c r="A1752" s="10" t="s">
        <v>73</v>
      </c>
      <c r="B1752" t="s">
        <v>1</v>
      </c>
      <c r="C1752">
        <v>0</v>
      </c>
      <c r="D1752">
        <v>0</v>
      </c>
      <c r="E1752" s="27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 s="9">
        <v>45336</v>
      </c>
      <c r="L1752">
        <f xml:space="preserve"> (交易處理資料__3[[#This Row],[售出工時]] * 60) / 5</f>
        <v>0</v>
      </c>
      <c r="M1752" t="str">
        <f>VLOOKUP(交易處理資料__3[[#This Row],[人員代號]],團隊分組!$B$1:$C$52,2,FALSE)</f>
        <v>噴漆維修組</v>
      </c>
      <c r="N1752">
        <f>IF(交易處理資料__3[[#This Row],[上班時間]]=0,0,交易處理資料__3[[#This Row],[售出工時]]/交易處理資料__3[[#This Row],[上班時間]])</f>
        <v>0</v>
      </c>
      <c r="O1752" s="31" t="str">
        <f>IF(交易處理資料__3[[#This Row],[上班時間]]=0,"否","是")</f>
        <v>否</v>
      </c>
    </row>
    <row r="1753" spans="1:15" hidden="1">
      <c r="A1753" s="10" t="s">
        <v>73</v>
      </c>
      <c r="B1753" t="s">
        <v>2</v>
      </c>
      <c r="C1753">
        <v>0</v>
      </c>
      <c r="D1753">
        <v>0</v>
      </c>
      <c r="E1753" s="27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 s="9">
        <v>45336</v>
      </c>
      <c r="L1753">
        <f xml:space="preserve"> (交易處理資料__3[[#This Row],[售出工時]] * 60) / 5</f>
        <v>0</v>
      </c>
      <c r="M1753" t="str">
        <f>VLOOKUP(交易處理資料__3[[#This Row],[人員代號]],團隊分組!$B$1:$C$52,2,FALSE)</f>
        <v>噴漆維修組</v>
      </c>
      <c r="N1753">
        <f>IF(交易處理資料__3[[#This Row],[上班時間]]=0,0,交易處理資料__3[[#This Row],[售出工時]]/交易處理資料__3[[#This Row],[上班時間]])</f>
        <v>0</v>
      </c>
      <c r="O1753" s="31" t="str">
        <f>IF(交易處理資料__3[[#This Row],[上班時間]]=0,"否","是")</f>
        <v>否</v>
      </c>
    </row>
    <row r="1754" spans="1:15" hidden="1">
      <c r="A1754" s="10" t="s">
        <v>73</v>
      </c>
      <c r="B1754" t="s">
        <v>3</v>
      </c>
      <c r="C1754">
        <v>0</v>
      </c>
      <c r="D1754">
        <v>0</v>
      </c>
      <c r="E1754" s="27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 s="9">
        <v>45336</v>
      </c>
      <c r="L1754">
        <f xml:space="preserve"> (交易處理資料__3[[#This Row],[售出工時]] * 60) / 5</f>
        <v>0</v>
      </c>
      <c r="M1754" t="str">
        <f>VLOOKUP(交易處理資料__3[[#This Row],[人員代號]],團隊分組!$B$1:$C$52,2,FALSE)</f>
        <v>噴漆維修組</v>
      </c>
      <c r="N1754">
        <f>IF(交易處理資料__3[[#This Row],[上班時間]]=0,0,交易處理資料__3[[#This Row],[售出工時]]/交易處理資料__3[[#This Row],[上班時間]])</f>
        <v>0</v>
      </c>
      <c r="O1754" s="31" t="str">
        <f>IF(交易處理資料__3[[#This Row],[上班時間]]=0,"否","是")</f>
        <v>否</v>
      </c>
    </row>
    <row r="1755" spans="1:15" hidden="1">
      <c r="A1755" s="10" t="s">
        <v>73</v>
      </c>
      <c r="B1755" t="s">
        <v>4</v>
      </c>
      <c r="C1755">
        <v>0</v>
      </c>
      <c r="D1755">
        <v>0</v>
      </c>
      <c r="E1755" s="27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 s="9">
        <v>45336</v>
      </c>
      <c r="L1755">
        <f xml:space="preserve"> (交易處理資料__3[[#This Row],[售出工時]] * 60) / 5</f>
        <v>0</v>
      </c>
      <c r="M1755" t="str">
        <f>VLOOKUP(交易處理資料__3[[#This Row],[人員代號]],團隊分組!$B$1:$C$52,2,FALSE)</f>
        <v>噴漆維修組</v>
      </c>
      <c r="N1755">
        <f>IF(交易處理資料__3[[#This Row],[上班時間]]=0,0,交易處理資料__3[[#This Row],[售出工時]]/交易處理資料__3[[#This Row],[上班時間]])</f>
        <v>0</v>
      </c>
      <c r="O1755" s="31" t="str">
        <f>IF(交易處理資料__3[[#This Row],[上班時間]]=0,"否","是")</f>
        <v>否</v>
      </c>
    </row>
    <row r="1756" spans="1:15" hidden="1">
      <c r="A1756" s="10" t="s">
        <v>73</v>
      </c>
      <c r="B1756" t="s">
        <v>5</v>
      </c>
      <c r="C1756">
        <v>0</v>
      </c>
      <c r="D1756">
        <v>0</v>
      </c>
      <c r="E1756" s="27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 s="9">
        <v>45336</v>
      </c>
      <c r="L1756">
        <f xml:space="preserve"> (交易處理資料__3[[#This Row],[售出工時]] * 60) / 5</f>
        <v>0</v>
      </c>
      <c r="M1756" t="str">
        <f>VLOOKUP(交易處理資料__3[[#This Row],[人員代號]],團隊分組!$B$1:$C$52,2,FALSE)</f>
        <v>噴漆維修組</v>
      </c>
      <c r="N1756">
        <f>IF(交易處理資料__3[[#This Row],[上班時間]]=0,0,交易處理資料__3[[#This Row],[售出工時]]/交易處理資料__3[[#This Row],[上班時間]])</f>
        <v>0</v>
      </c>
      <c r="O1756" s="31" t="str">
        <f>IF(交易處理資料__3[[#This Row],[上班時間]]=0,"否","是")</f>
        <v>否</v>
      </c>
    </row>
    <row r="1757" spans="1:15" hidden="1">
      <c r="A1757" s="10" t="s">
        <v>73</v>
      </c>
      <c r="B1757" t="s">
        <v>6</v>
      </c>
      <c r="C1757">
        <v>0</v>
      </c>
      <c r="D1757">
        <v>0</v>
      </c>
      <c r="E1757" s="2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 s="9">
        <v>45336</v>
      </c>
      <c r="L1757">
        <f xml:space="preserve"> (交易處理資料__3[[#This Row],[售出工時]] * 60) / 5</f>
        <v>0</v>
      </c>
      <c r="M1757" t="str">
        <f>VLOOKUP(交易處理資料__3[[#This Row],[人員代號]],團隊分組!$B$1:$C$52,2,FALSE)</f>
        <v>噴漆維修組</v>
      </c>
      <c r="N1757">
        <f>IF(交易處理資料__3[[#This Row],[上班時間]]=0,0,交易處理資料__3[[#This Row],[售出工時]]/交易處理資料__3[[#This Row],[上班時間]])</f>
        <v>0</v>
      </c>
      <c r="O1757" s="31" t="str">
        <f>IF(交易處理資料__3[[#This Row],[上班時間]]=0,"否","是")</f>
        <v>否</v>
      </c>
    </row>
    <row r="1758" spans="1:15" hidden="1">
      <c r="A1758" s="10" t="s">
        <v>73</v>
      </c>
      <c r="B1758" t="s">
        <v>7</v>
      </c>
      <c r="C1758">
        <v>0</v>
      </c>
      <c r="D1758">
        <v>0</v>
      </c>
      <c r="E1758" s="27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 s="9">
        <v>45336</v>
      </c>
      <c r="L1758">
        <f xml:space="preserve"> (交易處理資料__3[[#This Row],[售出工時]] * 60) / 5</f>
        <v>0</v>
      </c>
      <c r="M1758" t="str">
        <f>VLOOKUP(交易處理資料__3[[#This Row],[人員代號]],團隊分組!$B$1:$C$52,2,FALSE)</f>
        <v>噴漆維修組</v>
      </c>
      <c r="N1758">
        <f>IF(交易處理資料__3[[#This Row],[上班時間]]=0,0,交易處理資料__3[[#This Row],[售出工時]]/交易處理資料__3[[#This Row],[上班時間]])</f>
        <v>0</v>
      </c>
      <c r="O1758" s="31" t="str">
        <f>IF(交易處理資料__3[[#This Row],[上班時間]]=0,"否","是")</f>
        <v>否</v>
      </c>
    </row>
    <row r="1759" spans="1:15" hidden="1">
      <c r="A1759" s="10" t="s">
        <v>73</v>
      </c>
      <c r="B1759" t="s">
        <v>8</v>
      </c>
      <c r="C1759">
        <v>0</v>
      </c>
      <c r="D1759">
        <v>0</v>
      </c>
      <c r="E1759" s="27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 s="9">
        <v>45336</v>
      </c>
      <c r="L1759">
        <f xml:space="preserve"> (交易處理資料__3[[#This Row],[售出工時]] * 60) / 5</f>
        <v>0</v>
      </c>
      <c r="M1759" t="str">
        <f>VLOOKUP(交易處理資料__3[[#This Row],[人員代號]],團隊分組!$B$1:$C$52,2,FALSE)</f>
        <v>噴漆維修組</v>
      </c>
      <c r="N1759">
        <f>IF(交易處理資料__3[[#This Row],[上班時間]]=0,0,交易處理資料__3[[#This Row],[售出工時]]/交易處理資料__3[[#This Row],[上班時間]])</f>
        <v>0</v>
      </c>
      <c r="O1759" s="31" t="str">
        <f>IF(交易處理資料__3[[#This Row],[上班時間]]=0,"否","是")</f>
        <v>否</v>
      </c>
    </row>
    <row r="1760" spans="1:15" hidden="1">
      <c r="A1760" s="10" t="s">
        <v>73</v>
      </c>
      <c r="B1760" t="s">
        <v>9</v>
      </c>
      <c r="C1760">
        <v>0</v>
      </c>
      <c r="D1760">
        <v>0</v>
      </c>
      <c r="E1760" s="27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 s="9">
        <v>45336</v>
      </c>
      <c r="L1760">
        <f xml:space="preserve"> (交易處理資料__3[[#This Row],[售出工時]] * 60) / 5</f>
        <v>0</v>
      </c>
      <c r="M1760" t="str">
        <f>VLOOKUP(交易處理資料__3[[#This Row],[人員代號]],團隊分組!$B$1:$C$52,2,FALSE)</f>
        <v>噴漆維修組</v>
      </c>
      <c r="N1760">
        <f>IF(交易處理資料__3[[#This Row],[上班時間]]=0,0,交易處理資料__3[[#This Row],[售出工時]]/交易處理資料__3[[#This Row],[上班時間]])</f>
        <v>0</v>
      </c>
      <c r="O1760" s="31" t="str">
        <f>IF(交易處理資料__3[[#This Row],[上班時間]]=0,"否","是")</f>
        <v>否</v>
      </c>
    </row>
    <row r="1761" spans="1:15" hidden="1">
      <c r="A1761" t="s">
        <v>74</v>
      </c>
      <c r="B1761" t="s">
        <v>11</v>
      </c>
      <c r="C1761">
        <v>0</v>
      </c>
      <c r="D1761">
        <v>0</v>
      </c>
      <c r="E1761" s="27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 s="9">
        <v>45336</v>
      </c>
      <c r="L1761">
        <f xml:space="preserve"> (交易處理資料__3[[#This Row],[售出工時]] * 60) / 5</f>
        <v>0</v>
      </c>
      <c r="M1761" t="str">
        <f>VLOOKUP(交易處理資料__3[[#This Row],[人員代號]],團隊分組!$B$1:$C$52,2,FALSE)</f>
        <v>鈑金維修組</v>
      </c>
      <c r="N1761">
        <f>IF(交易處理資料__3[[#This Row],[上班時間]]=0,0,交易處理資料__3[[#This Row],[售出工時]]/交易處理資料__3[[#This Row],[上班時間]])</f>
        <v>0</v>
      </c>
      <c r="O1761" s="31" t="str">
        <f>IF(交易處理資料__3[[#This Row],[上班時間]]=0,"否","是")</f>
        <v>否</v>
      </c>
    </row>
    <row r="1762" spans="1:15" hidden="1">
      <c r="A1762" t="s">
        <v>74</v>
      </c>
      <c r="B1762" t="s">
        <v>12</v>
      </c>
      <c r="C1762">
        <v>0</v>
      </c>
      <c r="D1762">
        <v>0</v>
      </c>
      <c r="E1762" s="27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 s="9">
        <v>45336</v>
      </c>
      <c r="L1762">
        <f xml:space="preserve"> (交易處理資料__3[[#This Row],[售出工時]] * 60) / 5</f>
        <v>0</v>
      </c>
      <c r="M1762" t="str">
        <f>VLOOKUP(交易處理資料__3[[#This Row],[人員代號]],團隊分組!$B$1:$C$52,2,FALSE)</f>
        <v>鈑金維修組</v>
      </c>
      <c r="N1762">
        <f>IF(交易處理資料__3[[#This Row],[上班時間]]=0,0,交易處理資料__3[[#This Row],[售出工時]]/交易處理資料__3[[#This Row],[上班時間]])</f>
        <v>0</v>
      </c>
      <c r="O1762" s="31" t="str">
        <f>IF(交易處理資料__3[[#This Row],[上班時間]]=0,"否","是")</f>
        <v>否</v>
      </c>
    </row>
    <row r="1763" spans="1:15" hidden="1">
      <c r="A1763" t="s">
        <v>74</v>
      </c>
      <c r="B1763" t="s">
        <v>13</v>
      </c>
      <c r="C1763">
        <v>0</v>
      </c>
      <c r="D1763">
        <v>0</v>
      </c>
      <c r="E1763" s="27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 s="9">
        <v>45336</v>
      </c>
      <c r="L1763">
        <f xml:space="preserve"> (交易處理資料__3[[#This Row],[售出工時]] * 60) / 5</f>
        <v>0</v>
      </c>
      <c r="M1763" t="str">
        <f>VLOOKUP(交易處理資料__3[[#This Row],[人員代號]],團隊分組!$B$1:$C$52,2,FALSE)</f>
        <v>鈑金維修組</v>
      </c>
      <c r="N1763">
        <f>IF(交易處理資料__3[[#This Row],[上班時間]]=0,0,交易處理資料__3[[#This Row],[售出工時]]/交易處理資料__3[[#This Row],[上班時間]])</f>
        <v>0</v>
      </c>
      <c r="O1763" s="31" t="str">
        <f>IF(交易處理資料__3[[#This Row],[上班時間]]=0,"否","是")</f>
        <v>否</v>
      </c>
    </row>
    <row r="1764" spans="1:15" hidden="1">
      <c r="A1764" t="s">
        <v>74</v>
      </c>
      <c r="B1764" t="s">
        <v>14</v>
      </c>
      <c r="C1764">
        <v>0</v>
      </c>
      <c r="D1764">
        <v>0</v>
      </c>
      <c r="E1764" s="27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 s="9">
        <v>45336</v>
      </c>
      <c r="L1764">
        <f xml:space="preserve"> (交易處理資料__3[[#This Row],[售出工時]] * 60) / 5</f>
        <v>0</v>
      </c>
      <c r="M1764" t="str">
        <f>VLOOKUP(交易處理資料__3[[#This Row],[人員代號]],團隊分組!$B$1:$C$52,2,FALSE)</f>
        <v>鈑金維修組</v>
      </c>
      <c r="N1764">
        <f>IF(交易處理資料__3[[#This Row],[上班時間]]=0,0,交易處理資料__3[[#This Row],[售出工時]]/交易處理資料__3[[#This Row],[上班時間]])</f>
        <v>0</v>
      </c>
      <c r="O1764" s="31" t="str">
        <f>IF(交易處理資料__3[[#This Row],[上班時間]]=0,"否","是")</f>
        <v>否</v>
      </c>
    </row>
    <row r="1765" spans="1:15" hidden="1">
      <c r="A1765" t="s">
        <v>74</v>
      </c>
      <c r="B1765" t="s">
        <v>15</v>
      </c>
      <c r="C1765">
        <v>0</v>
      </c>
      <c r="D1765">
        <v>0</v>
      </c>
      <c r="E1765" s="27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 s="9">
        <v>45336</v>
      </c>
      <c r="L1765">
        <f xml:space="preserve"> (交易處理資料__3[[#This Row],[售出工時]] * 60) / 5</f>
        <v>0</v>
      </c>
      <c r="M1765" t="str">
        <f>VLOOKUP(交易處理資料__3[[#This Row],[人員代號]],團隊分組!$B$1:$C$52,2,FALSE)</f>
        <v>鈑金維修組</v>
      </c>
      <c r="N1765">
        <f>IF(交易處理資料__3[[#This Row],[上班時間]]=0,0,交易處理資料__3[[#This Row],[售出工時]]/交易處理資料__3[[#This Row],[上班時間]])</f>
        <v>0</v>
      </c>
      <c r="O1765" s="31" t="str">
        <f>IF(交易處理資料__3[[#This Row],[上班時間]]=0,"否","是")</f>
        <v>否</v>
      </c>
    </row>
    <row r="1766" spans="1:15" hidden="1">
      <c r="A1766" t="s">
        <v>75</v>
      </c>
      <c r="B1766" t="s">
        <v>17</v>
      </c>
      <c r="C1766">
        <v>0</v>
      </c>
      <c r="D1766">
        <v>0</v>
      </c>
      <c r="E1766" s="27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 s="9">
        <v>45336</v>
      </c>
      <c r="L1766">
        <f xml:space="preserve"> (交易處理資料__3[[#This Row],[售出工時]] * 60) / 5</f>
        <v>0</v>
      </c>
      <c r="M1766" t="str">
        <f>VLOOKUP(交易處理資料__3[[#This Row],[人員代號]],團隊分組!$B$1:$C$52,2,FALSE)</f>
        <v>快速保養團隊A</v>
      </c>
      <c r="N1766">
        <f>IF(交易處理資料__3[[#This Row],[上班時間]]=0,0,交易處理資料__3[[#This Row],[售出工時]]/交易處理資料__3[[#This Row],[上班時間]])</f>
        <v>0</v>
      </c>
      <c r="O1766" s="31" t="str">
        <f>IF(交易處理資料__3[[#This Row],[上班時間]]=0,"否","是")</f>
        <v>否</v>
      </c>
    </row>
    <row r="1767" spans="1:15" hidden="1">
      <c r="A1767" t="s">
        <v>75</v>
      </c>
      <c r="B1767" t="s">
        <v>18</v>
      </c>
      <c r="C1767">
        <v>0</v>
      </c>
      <c r="D1767">
        <v>0</v>
      </c>
      <c r="E1767" s="2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 s="9">
        <v>45336</v>
      </c>
      <c r="L1767">
        <f xml:space="preserve"> (交易處理資料__3[[#This Row],[售出工時]] * 60) / 5</f>
        <v>0</v>
      </c>
      <c r="M1767" t="str">
        <f>VLOOKUP(交易處理資料__3[[#This Row],[人員代號]],團隊分組!$B$1:$C$52,2,FALSE)</f>
        <v>查修團隊B</v>
      </c>
      <c r="N1767">
        <f>IF(交易處理資料__3[[#This Row],[上班時間]]=0,0,交易處理資料__3[[#This Row],[售出工時]]/交易處理資料__3[[#This Row],[上班時間]])</f>
        <v>0</v>
      </c>
      <c r="O1767" s="31" t="str">
        <f>IF(交易處理資料__3[[#This Row],[上班時間]]=0,"否","是")</f>
        <v>否</v>
      </c>
    </row>
    <row r="1768" spans="1:15" hidden="1">
      <c r="A1768" t="s">
        <v>75</v>
      </c>
      <c r="B1768" t="s">
        <v>19</v>
      </c>
      <c r="C1768">
        <v>0</v>
      </c>
      <c r="D1768">
        <v>0</v>
      </c>
      <c r="E1768" s="27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 s="9">
        <v>45336</v>
      </c>
      <c r="L1768">
        <f xml:space="preserve"> (交易處理資料__3[[#This Row],[售出工時]] * 60) / 5</f>
        <v>0</v>
      </c>
      <c r="M1768" t="str">
        <f>VLOOKUP(交易處理資料__3[[#This Row],[人員代號]],團隊分組!$B$1:$C$52,2,FALSE)</f>
        <v>查修團隊A</v>
      </c>
      <c r="N1768">
        <f>IF(交易處理資料__3[[#This Row],[上班時間]]=0,0,交易處理資料__3[[#This Row],[售出工時]]/交易處理資料__3[[#This Row],[上班時間]])</f>
        <v>0</v>
      </c>
      <c r="O1768" s="31" t="str">
        <f>IF(交易處理資料__3[[#This Row],[上班時間]]=0,"否","是")</f>
        <v>否</v>
      </c>
    </row>
    <row r="1769" spans="1:15" hidden="1">
      <c r="A1769" t="s">
        <v>75</v>
      </c>
      <c r="B1769" t="s">
        <v>20</v>
      </c>
      <c r="C1769">
        <v>0</v>
      </c>
      <c r="D1769">
        <v>0</v>
      </c>
      <c r="E1769" s="27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 s="9">
        <v>45336</v>
      </c>
      <c r="L1769">
        <f xml:space="preserve"> (交易處理資料__3[[#This Row],[售出工時]] * 60) / 5</f>
        <v>0</v>
      </c>
      <c r="M1769" t="str">
        <f>VLOOKUP(交易處理資料__3[[#This Row],[人員代號]],團隊分組!$B$1:$C$52,2,FALSE)</f>
        <v>查修團隊B</v>
      </c>
      <c r="N1769">
        <f>IF(交易處理資料__3[[#This Row],[上班時間]]=0,0,交易處理資料__3[[#This Row],[售出工時]]/交易處理資料__3[[#This Row],[上班時間]])</f>
        <v>0</v>
      </c>
      <c r="O1769" s="31" t="str">
        <f>IF(交易處理資料__3[[#This Row],[上班時間]]=0,"否","是")</f>
        <v>否</v>
      </c>
    </row>
    <row r="1770" spans="1:15" hidden="1">
      <c r="A1770" t="s">
        <v>75</v>
      </c>
      <c r="B1770" t="s">
        <v>21</v>
      </c>
      <c r="C1770">
        <v>0</v>
      </c>
      <c r="D1770">
        <v>0</v>
      </c>
      <c r="E1770" s="27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 s="9">
        <v>45336</v>
      </c>
      <c r="L1770">
        <f xml:space="preserve"> (交易處理資料__3[[#This Row],[售出工時]] * 60) / 5</f>
        <v>0</v>
      </c>
      <c r="M1770" t="str">
        <f>VLOOKUP(交易處理資料__3[[#This Row],[人員代號]],團隊分組!$B$1:$C$52,2,FALSE)</f>
        <v>查修團隊B</v>
      </c>
      <c r="N1770">
        <f>IF(交易處理資料__3[[#This Row],[上班時間]]=0,0,交易處理資料__3[[#This Row],[售出工時]]/交易處理資料__3[[#This Row],[上班時間]])</f>
        <v>0</v>
      </c>
      <c r="O1770" s="31" t="str">
        <f>IF(交易處理資料__3[[#This Row],[上班時間]]=0,"否","是")</f>
        <v>否</v>
      </c>
    </row>
    <row r="1771" spans="1:15" hidden="1">
      <c r="A1771" t="s">
        <v>75</v>
      </c>
      <c r="B1771" t="s">
        <v>22</v>
      </c>
      <c r="C1771">
        <v>0</v>
      </c>
      <c r="D1771">
        <v>0</v>
      </c>
      <c r="E1771" s="27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 s="9">
        <v>45336</v>
      </c>
      <c r="L1771">
        <f xml:space="preserve"> (交易處理資料__3[[#This Row],[售出工時]] * 60) / 5</f>
        <v>0</v>
      </c>
      <c r="M1771" t="str">
        <f>VLOOKUP(交易處理資料__3[[#This Row],[人員代號]],團隊分組!$B$1:$C$52,2,FALSE)</f>
        <v>快速保養團隊A</v>
      </c>
      <c r="N1771">
        <f>IF(交易處理資料__3[[#This Row],[上班時間]]=0,0,交易處理資料__3[[#This Row],[售出工時]]/交易處理資料__3[[#This Row],[上班時間]])</f>
        <v>0</v>
      </c>
      <c r="O1771" s="31" t="str">
        <f>IF(交易處理資料__3[[#This Row],[上班時間]]=0,"否","是")</f>
        <v>否</v>
      </c>
    </row>
    <row r="1772" spans="1:15" hidden="1">
      <c r="A1772" t="s">
        <v>75</v>
      </c>
      <c r="B1772" t="s">
        <v>23</v>
      </c>
      <c r="C1772">
        <v>0</v>
      </c>
      <c r="D1772">
        <v>0</v>
      </c>
      <c r="E1772" s="27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 s="9">
        <v>45336</v>
      </c>
      <c r="L1772">
        <f xml:space="preserve"> (交易處理資料__3[[#This Row],[售出工時]] * 60) / 5</f>
        <v>0</v>
      </c>
      <c r="M1772" t="str">
        <f>VLOOKUP(交易處理資料__3[[#This Row],[人員代號]],團隊分組!$B$1:$C$52,2,FALSE)</f>
        <v>快速保養團隊B</v>
      </c>
      <c r="N1772">
        <f>IF(交易處理資料__3[[#This Row],[上班時間]]=0,0,交易處理資料__3[[#This Row],[售出工時]]/交易處理資料__3[[#This Row],[上班時間]])</f>
        <v>0</v>
      </c>
      <c r="O1772" s="31" t="str">
        <f>IF(交易處理資料__3[[#This Row],[上班時間]]=0,"否","是")</f>
        <v>否</v>
      </c>
    </row>
    <row r="1773" spans="1:15" hidden="1">
      <c r="A1773" t="s">
        <v>75</v>
      </c>
      <c r="B1773" t="s">
        <v>24</v>
      </c>
      <c r="C1773">
        <v>0</v>
      </c>
      <c r="D1773">
        <v>0</v>
      </c>
      <c r="E1773" s="27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 s="9">
        <v>45336</v>
      </c>
      <c r="L1773">
        <f xml:space="preserve"> (交易處理資料__3[[#This Row],[售出工時]] * 60) / 5</f>
        <v>0</v>
      </c>
      <c r="M1773" t="str">
        <f>VLOOKUP(交易處理資料__3[[#This Row],[人員代號]],團隊分組!$B$1:$C$52,2,FALSE)</f>
        <v>快速保養團隊A</v>
      </c>
      <c r="N1773">
        <f>IF(交易處理資料__3[[#This Row],[上班時間]]=0,0,交易處理資料__3[[#This Row],[售出工時]]/交易處理資料__3[[#This Row],[上班時間]])</f>
        <v>0</v>
      </c>
      <c r="O1773" s="31" t="str">
        <f>IF(交易處理資料__3[[#This Row],[上班時間]]=0,"否","是")</f>
        <v>否</v>
      </c>
    </row>
    <row r="1774" spans="1:15" hidden="1">
      <c r="A1774" t="s">
        <v>75</v>
      </c>
      <c r="B1774" t="s">
        <v>25</v>
      </c>
      <c r="C1774">
        <v>0</v>
      </c>
      <c r="D1774">
        <v>0</v>
      </c>
      <c r="E1774" s="27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 s="9">
        <v>45336</v>
      </c>
      <c r="L1774">
        <f xml:space="preserve"> (交易處理資料__3[[#This Row],[售出工時]] * 60) / 5</f>
        <v>0</v>
      </c>
      <c r="M1774" t="str">
        <f>VLOOKUP(交易處理資料__3[[#This Row],[人員代號]],團隊分組!$B$1:$C$52,2,FALSE)</f>
        <v>查修團隊A</v>
      </c>
      <c r="N1774">
        <f>IF(交易處理資料__3[[#This Row],[上班時間]]=0,0,交易處理資料__3[[#This Row],[售出工時]]/交易處理資料__3[[#This Row],[上班時間]])</f>
        <v>0</v>
      </c>
      <c r="O1774" s="31" t="str">
        <f>IF(交易處理資料__3[[#This Row],[上班時間]]=0,"否","是")</f>
        <v>否</v>
      </c>
    </row>
    <row r="1775" spans="1:15" hidden="1">
      <c r="A1775" t="s">
        <v>75</v>
      </c>
      <c r="B1775" t="s">
        <v>26</v>
      </c>
      <c r="C1775">
        <v>0</v>
      </c>
      <c r="D1775">
        <v>0</v>
      </c>
      <c r="E1775" s="27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 s="9">
        <v>45336</v>
      </c>
      <c r="L1775">
        <f xml:space="preserve"> (交易處理資料__3[[#This Row],[售出工時]] * 60) / 5</f>
        <v>0</v>
      </c>
      <c r="M1775" t="str">
        <f>VLOOKUP(交易處理資料__3[[#This Row],[人員代號]],團隊分組!$B$1:$C$52,2,FALSE)</f>
        <v>查修團隊B</v>
      </c>
      <c r="N1775">
        <f>IF(交易處理資料__3[[#This Row],[上班時間]]=0,0,交易處理資料__3[[#This Row],[售出工時]]/交易處理資料__3[[#This Row],[上班時間]])</f>
        <v>0</v>
      </c>
      <c r="O1775" s="31" t="str">
        <f>IF(交易處理資料__3[[#This Row],[上班時間]]=0,"否","是")</f>
        <v>否</v>
      </c>
    </row>
    <row r="1776" spans="1:15" hidden="1">
      <c r="A1776" t="s">
        <v>75</v>
      </c>
      <c r="B1776" t="s">
        <v>27</v>
      </c>
      <c r="C1776">
        <v>0</v>
      </c>
      <c r="D1776">
        <v>0</v>
      </c>
      <c r="E1776" s="27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 s="9">
        <v>45336</v>
      </c>
      <c r="L1776">
        <f xml:space="preserve"> (交易處理資料__3[[#This Row],[售出工時]] * 60) / 5</f>
        <v>0</v>
      </c>
      <c r="M1776" t="str">
        <f>VLOOKUP(交易處理資料__3[[#This Row],[人員代號]],團隊分組!$B$1:$C$52,2,FALSE)</f>
        <v>快速保養團隊B</v>
      </c>
      <c r="N1776">
        <f>IF(交易處理資料__3[[#This Row],[上班時間]]=0,0,交易處理資料__3[[#This Row],[售出工時]]/交易處理資料__3[[#This Row],[上班時間]])</f>
        <v>0</v>
      </c>
      <c r="O1776" s="31" t="str">
        <f>IF(交易處理資料__3[[#This Row],[上班時間]]=0,"否","是")</f>
        <v>否</v>
      </c>
    </row>
    <row r="1777" spans="1:15" hidden="1">
      <c r="A1777" t="s">
        <v>75</v>
      </c>
      <c r="B1777" t="s">
        <v>28</v>
      </c>
      <c r="C1777">
        <v>0</v>
      </c>
      <c r="D1777">
        <v>0</v>
      </c>
      <c r="E1777" s="2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 s="9">
        <v>45336</v>
      </c>
      <c r="L1777">
        <f xml:space="preserve"> (交易處理資料__3[[#This Row],[售出工時]] * 60) / 5</f>
        <v>0</v>
      </c>
      <c r="M1777" t="str">
        <f>VLOOKUP(交易處理資料__3[[#This Row],[人員代號]],團隊分組!$B$1:$C$52,2,FALSE)</f>
        <v>快速保養團隊A</v>
      </c>
      <c r="N1777">
        <f>IF(交易處理資料__3[[#This Row],[上班時間]]=0,0,交易處理資料__3[[#This Row],[售出工時]]/交易處理資料__3[[#This Row],[上班時間]])</f>
        <v>0</v>
      </c>
      <c r="O1777" s="31" t="str">
        <f>IF(交易處理資料__3[[#This Row],[上班時間]]=0,"否","是")</f>
        <v>否</v>
      </c>
    </row>
    <row r="1778" spans="1:15" hidden="1">
      <c r="A1778" t="s">
        <v>75</v>
      </c>
      <c r="B1778" t="s">
        <v>29</v>
      </c>
      <c r="C1778">
        <v>0</v>
      </c>
      <c r="D1778">
        <v>0</v>
      </c>
      <c r="E1778" s="27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 s="9">
        <v>45336</v>
      </c>
      <c r="L1778">
        <f xml:space="preserve"> (交易處理資料__3[[#This Row],[售出工時]] * 60) / 5</f>
        <v>0</v>
      </c>
      <c r="M1778" t="str">
        <f>VLOOKUP(交易處理資料__3[[#This Row],[人員代號]],團隊分組!$B$1:$C$52,2,FALSE)</f>
        <v>查修團隊B</v>
      </c>
      <c r="N1778">
        <f>IF(交易處理資料__3[[#This Row],[上班時間]]=0,0,交易處理資料__3[[#This Row],[售出工時]]/交易處理資料__3[[#This Row],[上班時間]])</f>
        <v>0</v>
      </c>
      <c r="O1778" s="31" t="str">
        <f>IF(交易處理資料__3[[#This Row],[上班時間]]=0,"否","是")</f>
        <v>否</v>
      </c>
    </row>
    <row r="1779" spans="1:15" hidden="1">
      <c r="A1779" t="s">
        <v>75</v>
      </c>
      <c r="B1779" t="s">
        <v>30</v>
      </c>
      <c r="C1779">
        <v>0</v>
      </c>
      <c r="D1779">
        <v>0</v>
      </c>
      <c r="E1779" s="27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 s="9">
        <v>45336</v>
      </c>
      <c r="L1779">
        <f xml:space="preserve"> (交易處理資料__3[[#This Row],[售出工時]] * 60) / 5</f>
        <v>0</v>
      </c>
      <c r="M1779" t="str">
        <f>VLOOKUP(交易處理資料__3[[#This Row],[人員代號]],團隊分組!$B$1:$C$52,2,FALSE)</f>
        <v>快速保養團隊B</v>
      </c>
      <c r="N1779">
        <f>IF(交易處理資料__3[[#This Row],[上班時間]]=0,0,交易處理資料__3[[#This Row],[售出工時]]/交易處理資料__3[[#This Row],[上班時間]])</f>
        <v>0</v>
      </c>
      <c r="O1779" s="31" t="str">
        <f>IF(交易處理資料__3[[#This Row],[上班時間]]=0,"否","是")</f>
        <v>否</v>
      </c>
    </row>
    <row r="1780" spans="1:15" hidden="1">
      <c r="A1780" t="s">
        <v>75</v>
      </c>
      <c r="B1780" t="s">
        <v>32</v>
      </c>
      <c r="C1780">
        <v>0</v>
      </c>
      <c r="D1780">
        <v>0</v>
      </c>
      <c r="E1780" s="27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 s="9">
        <v>45336</v>
      </c>
      <c r="L1780">
        <f xml:space="preserve"> (交易處理資料__3[[#This Row],[售出工時]] * 60) / 5</f>
        <v>0</v>
      </c>
      <c r="M1780" t="str">
        <f>VLOOKUP(交易處理資料__3[[#This Row],[人員代號]],團隊分組!$B$1:$C$52,2,FALSE)</f>
        <v>快速保養團隊B</v>
      </c>
      <c r="N1780">
        <f>IF(交易處理資料__3[[#This Row],[上班時間]]=0,0,交易處理資料__3[[#This Row],[售出工時]]/交易處理資料__3[[#This Row],[上班時間]])</f>
        <v>0</v>
      </c>
      <c r="O1780" s="31" t="str">
        <f>IF(交易處理資料__3[[#This Row],[上班時間]]=0,"否","是")</f>
        <v>否</v>
      </c>
    </row>
    <row r="1781" spans="1:15">
      <c r="A1781" t="s">
        <v>75</v>
      </c>
      <c r="B1781" t="s">
        <v>33</v>
      </c>
      <c r="C1781">
        <v>0</v>
      </c>
      <c r="D1781">
        <v>0</v>
      </c>
      <c r="E1781" s="27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 s="9">
        <v>45336</v>
      </c>
      <c r="L1781">
        <f xml:space="preserve"> (交易處理資料__3[[#This Row],[售出工時]] * 60) / 5</f>
        <v>0</v>
      </c>
      <c r="M1781" t="str">
        <f>VLOOKUP(交易處理資料__3[[#This Row],[人員代號]],團隊分組!$B$1:$C$52,2,FALSE)</f>
        <v>快速保養團隊B</v>
      </c>
      <c r="N1781">
        <f>IF(交易處理資料__3[[#This Row],[上班時間]]=0,0,交易處理資料__3[[#This Row],[售出工時]]/交易處理資料__3[[#This Row],[上班時間]])</f>
        <v>0</v>
      </c>
      <c r="O1781" s="31" t="str">
        <f>IF(交易處理資料__3[[#This Row],[上班時間]]=0,"否","是")</f>
        <v>否</v>
      </c>
    </row>
    <row r="1782" spans="1:15" hidden="1">
      <c r="A1782" t="s">
        <v>75</v>
      </c>
      <c r="B1782" t="s">
        <v>34</v>
      </c>
      <c r="C1782">
        <v>0</v>
      </c>
      <c r="D1782">
        <v>0</v>
      </c>
      <c r="E1782" s="27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 s="9">
        <v>45336</v>
      </c>
      <c r="L1782">
        <f xml:space="preserve"> (交易處理資料__3[[#This Row],[售出工時]] * 60) / 5</f>
        <v>0</v>
      </c>
      <c r="M1782" t="str">
        <f>VLOOKUP(交易處理資料__3[[#This Row],[人員代號]],團隊分組!$B$1:$C$52,2,FALSE)</f>
        <v>快速保養團隊A</v>
      </c>
      <c r="N1782">
        <f>IF(交易處理資料__3[[#This Row],[上班時間]]=0,0,交易處理資料__3[[#This Row],[售出工時]]/交易處理資料__3[[#This Row],[上班時間]])</f>
        <v>0</v>
      </c>
      <c r="O1782" s="31" t="str">
        <f>IF(交易處理資料__3[[#This Row],[上班時間]]=0,"否","是")</f>
        <v>否</v>
      </c>
    </row>
    <row r="1783" spans="1:15" hidden="1">
      <c r="A1783" t="s">
        <v>75</v>
      </c>
      <c r="B1783" t="s">
        <v>35</v>
      </c>
      <c r="C1783">
        <v>0</v>
      </c>
      <c r="D1783">
        <v>0</v>
      </c>
      <c r="E1783" s="27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 s="9">
        <v>45336</v>
      </c>
      <c r="L1783">
        <f xml:space="preserve"> (交易處理資料__3[[#This Row],[售出工時]] * 60) / 5</f>
        <v>0</v>
      </c>
      <c r="M1783" t="str">
        <f>VLOOKUP(交易處理資料__3[[#This Row],[人員代號]],團隊分組!$B$1:$C$52,2,FALSE)</f>
        <v>查修團隊B</v>
      </c>
      <c r="N1783">
        <f>IF(交易處理資料__3[[#This Row],[上班時間]]=0,0,交易處理資料__3[[#This Row],[售出工時]]/交易處理資料__3[[#This Row],[上班時間]])</f>
        <v>0</v>
      </c>
      <c r="O1783" s="31" t="str">
        <f>IF(交易處理資料__3[[#This Row],[上班時間]]=0,"否","是")</f>
        <v>否</v>
      </c>
    </row>
    <row r="1784" spans="1:15" hidden="1">
      <c r="A1784" t="s">
        <v>75</v>
      </c>
      <c r="B1784" t="s">
        <v>36</v>
      </c>
      <c r="C1784">
        <v>0</v>
      </c>
      <c r="D1784">
        <v>0</v>
      </c>
      <c r="E1784" s="27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 s="9">
        <v>45336</v>
      </c>
      <c r="L1784">
        <f xml:space="preserve"> (交易處理資料__3[[#This Row],[售出工時]] * 60) / 5</f>
        <v>0</v>
      </c>
      <c r="M1784" t="str">
        <f>VLOOKUP(交易處理資料__3[[#This Row],[人員代號]],團隊分組!$B$1:$C$52,2,FALSE)</f>
        <v>查修團隊B</v>
      </c>
      <c r="N1784">
        <f>IF(交易處理資料__3[[#This Row],[上班時間]]=0,0,交易處理資料__3[[#This Row],[售出工時]]/交易處理資料__3[[#This Row],[上班時間]])</f>
        <v>0</v>
      </c>
      <c r="O1784" s="31" t="str">
        <f>IF(交易處理資料__3[[#This Row],[上班時間]]=0,"否","是")</f>
        <v>否</v>
      </c>
    </row>
    <row r="1785" spans="1:15" hidden="1">
      <c r="A1785" t="s">
        <v>75</v>
      </c>
      <c r="B1785" t="s">
        <v>37</v>
      </c>
      <c r="C1785">
        <v>0</v>
      </c>
      <c r="D1785">
        <v>0</v>
      </c>
      <c r="E1785" s="27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 s="9">
        <v>45336</v>
      </c>
      <c r="L1785">
        <f xml:space="preserve"> (交易處理資料__3[[#This Row],[售出工時]] * 60) / 5</f>
        <v>0</v>
      </c>
      <c r="M1785" t="str">
        <f>VLOOKUP(交易處理資料__3[[#This Row],[人員代號]],團隊分組!$B$1:$C$52,2,FALSE)</f>
        <v>查修團隊A</v>
      </c>
      <c r="N1785">
        <f>IF(交易處理資料__3[[#This Row],[上班時間]]=0,0,交易處理資料__3[[#This Row],[售出工時]]/交易處理資料__3[[#This Row],[上班時間]])</f>
        <v>0</v>
      </c>
      <c r="O1785" s="31" t="str">
        <f>IF(交易處理資料__3[[#This Row],[上班時間]]=0,"否","是")</f>
        <v>否</v>
      </c>
    </row>
    <row r="1786" spans="1:15" hidden="1">
      <c r="A1786" t="s">
        <v>75</v>
      </c>
      <c r="B1786" t="s">
        <v>38</v>
      </c>
      <c r="C1786">
        <v>0</v>
      </c>
      <c r="D1786">
        <v>0</v>
      </c>
      <c r="E1786" s="27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 s="9">
        <v>45336</v>
      </c>
      <c r="L1786">
        <f xml:space="preserve"> (交易處理資料__3[[#This Row],[售出工時]] * 60) / 5</f>
        <v>0</v>
      </c>
      <c r="M1786" t="str">
        <f>VLOOKUP(交易處理資料__3[[#This Row],[人員代號]],團隊分組!$B$1:$C$52,2,FALSE)</f>
        <v>快速保養團隊A</v>
      </c>
      <c r="N1786">
        <f>IF(交易處理資料__3[[#This Row],[上班時間]]=0,0,交易處理資料__3[[#This Row],[售出工時]]/交易處理資料__3[[#This Row],[上班時間]])</f>
        <v>0</v>
      </c>
      <c r="O1786" s="31" t="str">
        <f>IF(交易處理資料__3[[#This Row],[上班時間]]=0,"否","是")</f>
        <v>否</v>
      </c>
    </row>
    <row r="1787" spans="1:15" hidden="1">
      <c r="A1787" t="s">
        <v>75</v>
      </c>
      <c r="B1787" t="s">
        <v>39</v>
      </c>
      <c r="C1787">
        <v>0</v>
      </c>
      <c r="D1787">
        <v>0</v>
      </c>
      <c r="E1787" s="2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 s="9">
        <v>45336</v>
      </c>
      <c r="L1787">
        <f xml:space="preserve"> (交易處理資料__3[[#This Row],[售出工時]] * 60) / 5</f>
        <v>0</v>
      </c>
      <c r="M1787" t="str">
        <f>VLOOKUP(交易處理資料__3[[#This Row],[人員代號]],團隊分組!$B$1:$C$52,2,FALSE)</f>
        <v>查修團隊A</v>
      </c>
      <c r="N1787">
        <f>IF(交易處理資料__3[[#This Row],[上班時間]]=0,0,交易處理資料__3[[#This Row],[售出工時]]/交易處理資料__3[[#This Row],[上班時間]])</f>
        <v>0</v>
      </c>
      <c r="O1787" s="31" t="str">
        <f>IF(交易處理資料__3[[#This Row],[上班時間]]=0,"否","是")</f>
        <v>否</v>
      </c>
    </row>
    <row r="1788" spans="1:15" hidden="1">
      <c r="A1788" t="s">
        <v>75</v>
      </c>
      <c r="B1788" t="s">
        <v>40</v>
      </c>
      <c r="C1788">
        <v>0</v>
      </c>
      <c r="D1788">
        <v>0</v>
      </c>
      <c r="E1788" s="27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 s="9">
        <v>45336</v>
      </c>
      <c r="L1788">
        <f xml:space="preserve"> (交易處理資料__3[[#This Row],[售出工時]] * 60) / 5</f>
        <v>0</v>
      </c>
      <c r="M1788" t="str">
        <f>VLOOKUP(交易處理資料__3[[#This Row],[人員代號]],團隊分組!$B$1:$C$52,2,FALSE)</f>
        <v>查修團隊A</v>
      </c>
      <c r="N1788">
        <f>IF(交易處理資料__3[[#This Row],[上班時間]]=0,0,交易處理資料__3[[#This Row],[售出工時]]/交易處理資料__3[[#This Row],[上班時間]])</f>
        <v>0</v>
      </c>
      <c r="O1788" s="31" t="str">
        <f>IF(交易處理資料__3[[#This Row],[上班時間]]=0,"否","是")</f>
        <v>否</v>
      </c>
    </row>
    <row r="1789" spans="1:15" hidden="1">
      <c r="A1789" t="s">
        <v>75</v>
      </c>
      <c r="B1789" t="s">
        <v>41</v>
      </c>
      <c r="C1789">
        <v>0</v>
      </c>
      <c r="D1789">
        <v>0</v>
      </c>
      <c r="E1789" s="27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 s="9">
        <v>45336</v>
      </c>
      <c r="L1789">
        <f xml:space="preserve"> (交易處理資料__3[[#This Row],[售出工時]] * 60) / 5</f>
        <v>0</v>
      </c>
      <c r="M1789" t="str">
        <f>VLOOKUP(交易處理資料__3[[#This Row],[人員代號]],團隊分組!$B$1:$C$52,2,FALSE)</f>
        <v>快速保養團隊A</v>
      </c>
      <c r="N1789">
        <f>IF(交易處理資料__3[[#This Row],[上班時間]]=0,0,交易處理資料__3[[#This Row],[售出工時]]/交易處理資料__3[[#This Row],[上班時間]])</f>
        <v>0</v>
      </c>
      <c r="O1789" s="31" t="str">
        <f>IF(交易處理資料__3[[#This Row],[上班時間]]=0,"否","是")</f>
        <v>否</v>
      </c>
    </row>
    <row r="1790" spans="1:15" hidden="1">
      <c r="A1790" t="s">
        <v>75</v>
      </c>
      <c r="B1790" t="s">
        <v>42</v>
      </c>
      <c r="C1790">
        <v>0</v>
      </c>
      <c r="D1790">
        <v>0</v>
      </c>
      <c r="E1790" s="27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 s="9">
        <v>45336</v>
      </c>
      <c r="L1790">
        <f xml:space="preserve"> (交易處理資料__3[[#This Row],[售出工時]] * 60) / 5</f>
        <v>0</v>
      </c>
      <c r="M1790" t="str">
        <f>VLOOKUP(交易處理資料__3[[#This Row],[人員代號]],團隊分組!$B$1:$C$52,2,FALSE)</f>
        <v>快速保養團隊A</v>
      </c>
      <c r="N1790">
        <f>IF(交易處理資料__3[[#This Row],[上班時間]]=0,0,交易處理資料__3[[#This Row],[售出工時]]/交易處理資料__3[[#This Row],[上班時間]])</f>
        <v>0</v>
      </c>
      <c r="O1790" s="31" t="str">
        <f>IF(交易處理資料__3[[#This Row],[上班時間]]=0,"否","是")</f>
        <v>否</v>
      </c>
    </row>
    <row r="1791" spans="1:15" hidden="1">
      <c r="A1791" t="s">
        <v>75</v>
      </c>
      <c r="B1791" t="s">
        <v>43</v>
      </c>
      <c r="C1791">
        <v>0</v>
      </c>
      <c r="D1791">
        <v>0</v>
      </c>
      <c r="E1791" s="27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 s="9">
        <v>45336</v>
      </c>
      <c r="L1791">
        <f xml:space="preserve"> (交易處理資料__3[[#This Row],[售出工時]] * 60) / 5</f>
        <v>0</v>
      </c>
      <c r="M1791" t="str">
        <f>VLOOKUP(交易處理資料__3[[#This Row],[人員代號]],團隊分組!$B$1:$C$52,2,FALSE)</f>
        <v>查修團隊B</v>
      </c>
      <c r="N1791">
        <f>IF(交易處理資料__3[[#This Row],[上班時間]]=0,0,交易處理資料__3[[#This Row],[售出工時]]/交易處理資料__3[[#This Row],[上班時間]])</f>
        <v>0</v>
      </c>
      <c r="O1791" s="31" t="str">
        <f>IF(交易處理資料__3[[#This Row],[上班時間]]=0,"否","是")</f>
        <v>否</v>
      </c>
    </row>
    <row r="1792" spans="1:15" hidden="1">
      <c r="A1792" t="s">
        <v>75</v>
      </c>
      <c r="B1792" t="s">
        <v>44</v>
      </c>
      <c r="C1792">
        <v>0</v>
      </c>
      <c r="D1792">
        <v>0</v>
      </c>
      <c r="E1792" s="27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 s="9">
        <v>45336</v>
      </c>
      <c r="L1792">
        <f xml:space="preserve"> (交易處理資料__3[[#This Row],[售出工時]] * 60) / 5</f>
        <v>0</v>
      </c>
      <c r="M1792" t="str">
        <f>VLOOKUP(交易處理資料__3[[#This Row],[人員代號]],團隊分組!$B$1:$C$52,2,FALSE)</f>
        <v>快速保養團隊B</v>
      </c>
      <c r="N1792">
        <f>IF(交易處理資料__3[[#This Row],[上班時間]]=0,0,交易處理資料__3[[#This Row],[售出工時]]/交易處理資料__3[[#This Row],[上班時間]])</f>
        <v>0</v>
      </c>
      <c r="O1792" s="31" t="str">
        <f>IF(交易處理資料__3[[#This Row],[上班時間]]=0,"否","是")</f>
        <v>否</v>
      </c>
    </row>
    <row r="1793" spans="1:15" hidden="1">
      <c r="A1793" t="s">
        <v>75</v>
      </c>
      <c r="B1793" t="s">
        <v>45</v>
      </c>
      <c r="C1793">
        <v>0</v>
      </c>
      <c r="D1793">
        <v>0</v>
      </c>
      <c r="E1793" s="27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 s="9">
        <v>45336</v>
      </c>
      <c r="L1793">
        <f xml:space="preserve"> (交易處理資料__3[[#This Row],[售出工時]] * 60) / 5</f>
        <v>0</v>
      </c>
      <c r="M1793" t="str">
        <f>VLOOKUP(交易處理資料__3[[#This Row],[人員代號]],團隊分組!$B$1:$C$52,2,FALSE)</f>
        <v>快速保養團隊A</v>
      </c>
      <c r="N1793">
        <f>IF(交易處理資料__3[[#This Row],[上班時間]]=0,0,交易處理資料__3[[#This Row],[售出工時]]/交易處理資料__3[[#This Row],[上班時間]])</f>
        <v>0</v>
      </c>
      <c r="O1793" s="31" t="str">
        <f>IF(交易處理資料__3[[#This Row],[上班時間]]=0,"否","是")</f>
        <v>否</v>
      </c>
    </row>
    <row r="1794" spans="1:15" hidden="1">
      <c r="A1794" t="s">
        <v>75</v>
      </c>
      <c r="B1794" t="s">
        <v>46</v>
      </c>
      <c r="C1794">
        <v>0</v>
      </c>
      <c r="D1794">
        <v>0</v>
      </c>
      <c r="E1794" s="27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 s="9">
        <v>45336</v>
      </c>
      <c r="L1794">
        <f xml:space="preserve"> (交易處理資料__3[[#This Row],[售出工時]] * 60) / 5</f>
        <v>0</v>
      </c>
      <c r="M1794" t="str">
        <f>VLOOKUP(交易處理資料__3[[#This Row],[人員代號]],團隊分組!$B$1:$C$52,2,FALSE)</f>
        <v>查修團隊B</v>
      </c>
      <c r="N1794">
        <f>IF(交易處理資料__3[[#This Row],[上班時間]]=0,0,交易處理資料__3[[#This Row],[售出工時]]/交易處理資料__3[[#This Row],[上班時間]])</f>
        <v>0</v>
      </c>
      <c r="O1794" s="31" t="str">
        <f>IF(交易處理資料__3[[#This Row],[上班時間]]=0,"否","是")</f>
        <v>否</v>
      </c>
    </row>
    <row r="1795" spans="1:15" hidden="1">
      <c r="A1795" t="s">
        <v>75</v>
      </c>
      <c r="B1795" t="s">
        <v>47</v>
      </c>
      <c r="C1795">
        <v>0</v>
      </c>
      <c r="D1795">
        <v>0</v>
      </c>
      <c r="E1795" s="27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 s="9">
        <v>45336</v>
      </c>
      <c r="L1795">
        <f xml:space="preserve"> (交易處理資料__3[[#This Row],[售出工時]] * 60) / 5</f>
        <v>0</v>
      </c>
      <c r="M1795" t="str">
        <f>VLOOKUP(交易處理資料__3[[#This Row],[人員代號]],團隊分組!$B$1:$C$52,2,FALSE)</f>
        <v>查修團隊B</v>
      </c>
      <c r="N1795">
        <f>IF(交易處理資料__3[[#This Row],[上班時間]]=0,0,交易處理資料__3[[#This Row],[售出工時]]/交易處理資料__3[[#This Row],[上班時間]])</f>
        <v>0</v>
      </c>
      <c r="O1795" s="31" t="str">
        <f>IF(交易處理資料__3[[#This Row],[上班時間]]=0,"否","是")</f>
        <v>否</v>
      </c>
    </row>
    <row r="1796" spans="1:15" hidden="1">
      <c r="A1796" t="s">
        <v>75</v>
      </c>
      <c r="B1796" t="s">
        <v>48</v>
      </c>
      <c r="C1796">
        <v>0</v>
      </c>
      <c r="D1796">
        <v>0</v>
      </c>
      <c r="E1796" s="27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 s="9">
        <v>45336</v>
      </c>
      <c r="L1796">
        <f xml:space="preserve"> (交易處理資料__3[[#This Row],[售出工時]] * 60) / 5</f>
        <v>0</v>
      </c>
      <c r="M1796" t="str">
        <f>VLOOKUP(交易處理資料__3[[#This Row],[人員代號]],團隊分組!$B$1:$C$52,2,FALSE)</f>
        <v>查修團隊A</v>
      </c>
      <c r="N1796">
        <f>IF(交易處理資料__3[[#This Row],[上班時間]]=0,0,交易處理資料__3[[#This Row],[售出工時]]/交易處理資料__3[[#This Row],[上班時間]])</f>
        <v>0</v>
      </c>
      <c r="O1796" s="31" t="str">
        <f>IF(交易處理資料__3[[#This Row],[上班時間]]=0,"否","是")</f>
        <v>否</v>
      </c>
    </row>
    <row r="1797" spans="1:15" hidden="1">
      <c r="A1797" t="s">
        <v>75</v>
      </c>
      <c r="B1797" t="s">
        <v>49</v>
      </c>
      <c r="C1797">
        <v>0</v>
      </c>
      <c r="D1797">
        <v>0</v>
      </c>
      <c r="E1797" s="2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 s="9">
        <v>45336</v>
      </c>
      <c r="L1797">
        <f xml:space="preserve"> (交易處理資料__3[[#This Row],[售出工時]] * 60) / 5</f>
        <v>0</v>
      </c>
      <c r="M1797" t="str">
        <f>VLOOKUP(交易處理資料__3[[#This Row],[人員代號]],團隊分組!$B$1:$C$52,2,FALSE)</f>
        <v>查修團隊A</v>
      </c>
      <c r="N1797">
        <f>IF(交易處理資料__3[[#This Row],[上班時間]]=0,0,交易處理資料__3[[#This Row],[售出工時]]/交易處理資料__3[[#This Row],[上班時間]])</f>
        <v>0</v>
      </c>
      <c r="O1797" s="31" t="str">
        <f>IF(交易處理資料__3[[#This Row],[上班時間]]=0,"否","是")</f>
        <v>否</v>
      </c>
    </row>
    <row r="1798" spans="1:15" hidden="1">
      <c r="A1798" t="s">
        <v>75</v>
      </c>
      <c r="B1798" t="s">
        <v>50</v>
      </c>
      <c r="C1798">
        <v>0</v>
      </c>
      <c r="D1798">
        <v>0</v>
      </c>
      <c r="E1798" s="27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 s="9">
        <v>45336</v>
      </c>
      <c r="L1798">
        <f xml:space="preserve"> (交易處理資料__3[[#This Row],[售出工時]] * 60) / 5</f>
        <v>0</v>
      </c>
      <c r="M1798" t="str">
        <f>VLOOKUP(交易處理資料__3[[#This Row],[人員代號]],團隊分組!$B$1:$C$52,2,FALSE)</f>
        <v>快速保養團隊B</v>
      </c>
      <c r="N1798">
        <f>IF(交易處理資料__3[[#This Row],[上班時間]]=0,0,交易處理資料__3[[#This Row],[售出工時]]/交易處理資料__3[[#This Row],[上班時間]])</f>
        <v>0</v>
      </c>
      <c r="O1798" s="31" t="str">
        <f>IF(交易處理資料__3[[#This Row],[上班時間]]=0,"否","是")</f>
        <v>否</v>
      </c>
    </row>
    <row r="1799" spans="1:15" hidden="1">
      <c r="A1799" t="s">
        <v>75</v>
      </c>
      <c r="B1799" t="s">
        <v>51</v>
      </c>
      <c r="C1799">
        <v>0</v>
      </c>
      <c r="D1799">
        <v>0</v>
      </c>
      <c r="E1799" s="27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 s="9">
        <v>45336</v>
      </c>
      <c r="L1799">
        <f xml:space="preserve"> (交易處理資料__3[[#This Row],[售出工時]] * 60) / 5</f>
        <v>0</v>
      </c>
      <c r="M1799" t="str">
        <f>VLOOKUP(交易處理資料__3[[#This Row],[人員代號]],團隊分組!$B$1:$C$52,2,FALSE)</f>
        <v>無效數據</v>
      </c>
      <c r="N1799">
        <f>IF(交易處理資料__3[[#This Row],[上班時間]]=0,0,交易處理資料__3[[#This Row],[售出工時]]/交易處理資料__3[[#This Row],[上班時間]])</f>
        <v>0</v>
      </c>
      <c r="O1799" s="31" t="str">
        <f>IF(交易處理資料__3[[#This Row],[上班時間]]=0,"否","是")</f>
        <v>否</v>
      </c>
    </row>
    <row r="1800" spans="1:15" hidden="1">
      <c r="A1800" t="s">
        <v>75</v>
      </c>
      <c r="B1800" t="s">
        <v>52</v>
      </c>
      <c r="C1800">
        <v>0</v>
      </c>
      <c r="D1800">
        <v>0</v>
      </c>
      <c r="E1800" s="27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 s="9">
        <v>45336</v>
      </c>
      <c r="L1800">
        <f xml:space="preserve"> (交易處理資料__3[[#This Row],[售出工時]] * 60) / 5</f>
        <v>0</v>
      </c>
      <c r="M1800" t="str">
        <f>VLOOKUP(交易處理資料__3[[#This Row],[人員代號]],團隊分組!$B$1:$C$52,2,FALSE)</f>
        <v>查修團隊B</v>
      </c>
      <c r="N1800">
        <f>IF(交易處理資料__3[[#This Row],[上班時間]]=0,0,交易處理資料__3[[#This Row],[售出工時]]/交易處理資料__3[[#This Row],[上班時間]])</f>
        <v>0</v>
      </c>
      <c r="O1800" s="31" t="str">
        <f>IF(交易處理資料__3[[#This Row],[上班時間]]=0,"否","是")</f>
        <v>否</v>
      </c>
    </row>
    <row r="1801" spans="1:15" hidden="1">
      <c r="A1801" t="s">
        <v>75</v>
      </c>
      <c r="B1801" t="s">
        <v>53</v>
      </c>
      <c r="C1801">
        <v>0</v>
      </c>
      <c r="D1801">
        <v>0</v>
      </c>
      <c r="E1801" s="27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 s="9">
        <v>45336</v>
      </c>
      <c r="L1801">
        <f xml:space="preserve"> (交易處理資料__3[[#This Row],[售出工時]] * 60) / 5</f>
        <v>0</v>
      </c>
      <c r="M1801" t="str">
        <f>VLOOKUP(交易處理資料__3[[#This Row],[人員代號]],團隊分組!$B$1:$C$52,2,FALSE)</f>
        <v>查修團隊A</v>
      </c>
      <c r="N1801">
        <f>IF(交易處理資料__3[[#This Row],[上班時間]]=0,0,交易處理資料__3[[#This Row],[售出工時]]/交易處理資料__3[[#This Row],[上班時間]])</f>
        <v>0</v>
      </c>
      <c r="O1801" s="31" t="str">
        <f>IF(交易處理資料__3[[#This Row],[上班時間]]=0,"否","是")</f>
        <v>否</v>
      </c>
    </row>
    <row r="1802" spans="1:15" hidden="1">
      <c r="A1802" s="10" t="s">
        <v>73</v>
      </c>
      <c r="B1802" t="s">
        <v>2</v>
      </c>
      <c r="C1802">
        <v>0</v>
      </c>
      <c r="D1802">
        <v>0</v>
      </c>
      <c r="E1802" s="27">
        <v>0</v>
      </c>
      <c r="F1802">
        <v>0</v>
      </c>
      <c r="G1802">
        <v>7.86</v>
      </c>
      <c r="H1802">
        <v>7.86</v>
      </c>
      <c r="I1802">
        <v>0</v>
      </c>
      <c r="J1802">
        <v>0</v>
      </c>
      <c r="K1802" s="9">
        <v>45337</v>
      </c>
      <c r="L1802">
        <f xml:space="preserve"> (交易處理資料__3[[#This Row],[售出工時]] * 60) / 5</f>
        <v>0</v>
      </c>
      <c r="M1802" t="str">
        <f>VLOOKUP(交易處理資料__3[[#This Row],[人員代號]],團隊分組!$B$1:$C$52,2,FALSE)</f>
        <v>噴漆維修組</v>
      </c>
      <c r="N1802">
        <f>IF(交易處理資料__3[[#This Row],[上班時間]]=0,0,交易處理資料__3[[#This Row],[售出工時]]/交易處理資料__3[[#This Row],[上班時間]])</f>
        <v>0</v>
      </c>
      <c r="O1802" s="31" t="str">
        <f>IF(交易處理資料__3[[#This Row],[上班時間]]=0,"否","是")</f>
        <v>是</v>
      </c>
    </row>
    <row r="1803" spans="1:15" hidden="1">
      <c r="A1803" s="10" t="s">
        <v>73</v>
      </c>
      <c r="B1803" t="s">
        <v>3</v>
      </c>
      <c r="C1803">
        <v>0</v>
      </c>
      <c r="D1803">
        <v>0</v>
      </c>
      <c r="E1803" s="27">
        <v>0</v>
      </c>
      <c r="F1803">
        <v>0</v>
      </c>
      <c r="G1803">
        <v>7.86</v>
      </c>
      <c r="H1803">
        <v>7.86</v>
      </c>
      <c r="I1803">
        <v>0</v>
      </c>
      <c r="J1803">
        <v>0</v>
      </c>
      <c r="K1803" s="9">
        <v>45337</v>
      </c>
      <c r="L1803">
        <f xml:space="preserve"> (交易處理資料__3[[#This Row],[售出工時]] * 60) / 5</f>
        <v>0</v>
      </c>
      <c r="M1803" t="str">
        <f>VLOOKUP(交易處理資料__3[[#This Row],[人員代號]],團隊分組!$B$1:$C$52,2,FALSE)</f>
        <v>噴漆維修組</v>
      </c>
      <c r="N1803">
        <f>IF(交易處理資料__3[[#This Row],[上班時間]]=0,0,交易處理資料__3[[#This Row],[售出工時]]/交易處理資料__3[[#This Row],[上班時間]])</f>
        <v>0</v>
      </c>
      <c r="O1803" s="31" t="str">
        <f>IF(交易處理資料__3[[#This Row],[上班時間]]=0,"否","是")</f>
        <v>是</v>
      </c>
    </row>
    <row r="1804" spans="1:15" hidden="1">
      <c r="A1804" s="10" t="s">
        <v>73</v>
      </c>
      <c r="B1804" t="s">
        <v>5</v>
      </c>
      <c r="C1804">
        <v>0</v>
      </c>
      <c r="D1804">
        <v>0</v>
      </c>
      <c r="E1804" s="27">
        <v>0</v>
      </c>
      <c r="F1804">
        <v>0</v>
      </c>
      <c r="G1804">
        <v>7.86</v>
      </c>
      <c r="H1804">
        <v>7.86</v>
      </c>
      <c r="I1804">
        <v>0</v>
      </c>
      <c r="J1804">
        <v>0</v>
      </c>
      <c r="K1804" s="9">
        <v>45337</v>
      </c>
      <c r="L1804">
        <f xml:space="preserve"> (交易處理資料__3[[#This Row],[售出工時]] * 60) / 5</f>
        <v>0</v>
      </c>
      <c r="M1804" t="str">
        <f>VLOOKUP(交易處理資料__3[[#This Row],[人員代號]],團隊分組!$B$1:$C$52,2,FALSE)</f>
        <v>噴漆維修組</v>
      </c>
      <c r="N1804">
        <f>IF(交易處理資料__3[[#This Row],[上班時間]]=0,0,交易處理資料__3[[#This Row],[售出工時]]/交易處理資料__3[[#This Row],[上班時間]])</f>
        <v>0</v>
      </c>
      <c r="O1804" s="31" t="str">
        <f>IF(交易處理資料__3[[#This Row],[上班時間]]=0,"否","是")</f>
        <v>是</v>
      </c>
    </row>
    <row r="1805" spans="1:15" hidden="1">
      <c r="A1805" s="10" t="s">
        <v>73</v>
      </c>
      <c r="B1805" t="s">
        <v>6</v>
      </c>
      <c r="C1805">
        <v>0</v>
      </c>
      <c r="D1805">
        <v>0</v>
      </c>
      <c r="E1805" s="27">
        <v>0</v>
      </c>
      <c r="F1805">
        <v>0</v>
      </c>
      <c r="G1805">
        <v>7.86</v>
      </c>
      <c r="H1805">
        <v>7.86</v>
      </c>
      <c r="I1805">
        <v>0</v>
      </c>
      <c r="J1805">
        <v>0</v>
      </c>
      <c r="K1805" s="9">
        <v>45337</v>
      </c>
      <c r="L1805">
        <f xml:space="preserve"> (交易處理資料__3[[#This Row],[售出工時]] * 60) / 5</f>
        <v>0</v>
      </c>
      <c r="M1805" t="str">
        <f>VLOOKUP(交易處理資料__3[[#This Row],[人員代號]],團隊分組!$B$1:$C$52,2,FALSE)</f>
        <v>噴漆維修組</v>
      </c>
      <c r="N1805">
        <f>IF(交易處理資料__3[[#This Row],[上班時間]]=0,0,交易處理資料__3[[#This Row],[售出工時]]/交易處理資料__3[[#This Row],[上班時間]])</f>
        <v>0</v>
      </c>
      <c r="O1805" s="31" t="str">
        <f>IF(交易處理資料__3[[#This Row],[上班時間]]=0,"否","是")</f>
        <v>是</v>
      </c>
    </row>
    <row r="1806" spans="1:15" hidden="1">
      <c r="A1806" s="10" t="s">
        <v>73</v>
      </c>
      <c r="B1806" t="s">
        <v>9</v>
      </c>
      <c r="C1806">
        <v>2.27</v>
      </c>
      <c r="D1806">
        <v>3.47</v>
      </c>
      <c r="E1806" s="27">
        <v>65.417867439999995</v>
      </c>
      <c r="F1806">
        <v>0</v>
      </c>
      <c r="G1806">
        <v>8.0500000000000007</v>
      </c>
      <c r="H1806">
        <v>8.0500000000000007</v>
      </c>
      <c r="I1806">
        <v>0</v>
      </c>
      <c r="J1806">
        <v>28.2</v>
      </c>
      <c r="K1806" s="9">
        <v>45337</v>
      </c>
      <c r="L1806">
        <f xml:space="preserve"> (交易處理資料__3[[#This Row],[售出工時]] * 60) / 5</f>
        <v>27.24</v>
      </c>
      <c r="M1806" t="str">
        <f>VLOOKUP(交易處理資料__3[[#This Row],[人員代號]],團隊分組!$B$1:$C$52,2,FALSE)</f>
        <v>噴漆維修組</v>
      </c>
      <c r="N1806">
        <f>IF(交易處理資料__3[[#This Row],[上班時間]]=0,0,交易處理資料__3[[#This Row],[售出工時]]/交易處理資料__3[[#This Row],[上班時間]])</f>
        <v>0.28198757763975152</v>
      </c>
      <c r="O1806" s="31" t="str">
        <f>IF(交易處理資料__3[[#This Row],[上班時間]]=0,"否","是")</f>
        <v>是</v>
      </c>
    </row>
    <row r="1807" spans="1:15" hidden="1">
      <c r="A1807" t="s">
        <v>74</v>
      </c>
      <c r="B1807" t="s">
        <v>11</v>
      </c>
      <c r="C1807">
        <v>7.1666666670000003</v>
      </c>
      <c r="D1807">
        <v>3.05</v>
      </c>
      <c r="E1807" s="27">
        <v>234.9726776</v>
      </c>
      <c r="F1807">
        <v>0</v>
      </c>
      <c r="G1807">
        <v>7.95</v>
      </c>
      <c r="H1807">
        <v>7.95</v>
      </c>
      <c r="I1807">
        <v>0</v>
      </c>
      <c r="J1807">
        <v>90.15</v>
      </c>
      <c r="K1807" s="9">
        <v>45337</v>
      </c>
      <c r="L1807">
        <f xml:space="preserve"> (交易處理資料__3[[#This Row],[售出工時]] * 60) / 5</f>
        <v>86.000000004</v>
      </c>
      <c r="M1807" t="str">
        <f>VLOOKUP(交易處理資料__3[[#This Row],[人員代號]],團隊分組!$B$1:$C$52,2,FALSE)</f>
        <v>鈑金維修組</v>
      </c>
      <c r="N1807">
        <f>IF(交易處理資料__3[[#This Row],[上班時間]]=0,0,交易處理資料__3[[#This Row],[售出工時]]/交易處理資料__3[[#This Row],[上班時間]])</f>
        <v>0.90146750528301889</v>
      </c>
      <c r="O1807" s="31" t="str">
        <f>IF(交易處理資料__3[[#This Row],[上班時間]]=0,"否","是")</f>
        <v>是</v>
      </c>
    </row>
    <row r="1808" spans="1:15" hidden="1">
      <c r="A1808" t="s">
        <v>74</v>
      </c>
      <c r="B1808" t="s">
        <v>12</v>
      </c>
      <c r="C1808">
        <v>3.5833333330000001</v>
      </c>
      <c r="D1808">
        <v>0.28000000000000003</v>
      </c>
      <c r="E1808" s="27">
        <v>1279.7619050000001</v>
      </c>
      <c r="F1808">
        <v>1.75</v>
      </c>
      <c r="G1808">
        <v>6.22</v>
      </c>
      <c r="H1808">
        <v>7.97</v>
      </c>
      <c r="I1808">
        <v>21.96</v>
      </c>
      <c r="J1808">
        <v>44.96</v>
      </c>
      <c r="K1808" s="9">
        <v>45337</v>
      </c>
      <c r="L1808">
        <f xml:space="preserve"> (交易處理資料__3[[#This Row],[售出工時]] * 60) / 5</f>
        <v>42.999999996</v>
      </c>
      <c r="M1808" t="str">
        <f>VLOOKUP(交易處理資料__3[[#This Row],[人員代號]],團隊分組!$B$1:$C$52,2,FALSE)</f>
        <v>鈑金維修組</v>
      </c>
      <c r="N1808">
        <f>IF(交易處理資料__3[[#This Row],[上班時間]]=0,0,交易處理資料__3[[#This Row],[售出工時]]/交易處理資料__3[[#This Row],[上班時間]])</f>
        <v>0.44960267666248432</v>
      </c>
      <c r="O1808" s="31" t="str">
        <f>IF(交易處理資料__3[[#This Row],[上班時間]]=0,"否","是")</f>
        <v>是</v>
      </c>
    </row>
    <row r="1809" spans="1:15" hidden="1">
      <c r="A1809" t="s">
        <v>74</v>
      </c>
      <c r="B1809" t="s">
        <v>14</v>
      </c>
      <c r="C1809">
        <v>14.46</v>
      </c>
      <c r="D1809">
        <v>4.0999999999999996</v>
      </c>
      <c r="E1809" s="27">
        <v>352.68292680000002</v>
      </c>
      <c r="F1809">
        <v>3.93</v>
      </c>
      <c r="G1809">
        <v>4.04</v>
      </c>
      <c r="H1809">
        <v>7.97</v>
      </c>
      <c r="I1809">
        <v>49.31</v>
      </c>
      <c r="J1809">
        <v>181.43</v>
      </c>
      <c r="K1809" s="9">
        <v>45337</v>
      </c>
      <c r="L1809">
        <f xml:space="preserve"> (交易處理資料__3[[#This Row],[售出工時]] * 60) / 5</f>
        <v>173.52</v>
      </c>
      <c r="M1809" t="str">
        <f>VLOOKUP(交易處理資料__3[[#This Row],[人員代號]],團隊分組!$B$1:$C$52,2,FALSE)</f>
        <v>鈑金維修組</v>
      </c>
      <c r="N1809">
        <f>IF(交易處理資料__3[[#This Row],[上班時間]]=0,0,交易處理資料__3[[#This Row],[售出工時]]/交易處理資料__3[[#This Row],[上班時間]])</f>
        <v>1.8143036386449185</v>
      </c>
      <c r="O1809" s="31" t="str">
        <f>IF(交易處理資料__3[[#This Row],[上班時間]]=0,"否","是")</f>
        <v>是</v>
      </c>
    </row>
    <row r="1810" spans="1:15" hidden="1">
      <c r="A1810" t="s">
        <v>75</v>
      </c>
      <c r="B1810" t="s">
        <v>17</v>
      </c>
      <c r="C1810">
        <v>4.556666667</v>
      </c>
      <c r="D1810">
        <v>4.67</v>
      </c>
      <c r="E1810" s="27">
        <v>97.573162030000006</v>
      </c>
      <c r="F1810">
        <v>7</v>
      </c>
      <c r="G1810">
        <v>0.94</v>
      </c>
      <c r="H1810">
        <v>7.94</v>
      </c>
      <c r="I1810">
        <v>88.16</v>
      </c>
      <c r="J1810">
        <v>57.39</v>
      </c>
      <c r="K1810" s="9">
        <v>45337</v>
      </c>
      <c r="L1810">
        <f xml:space="preserve"> (交易處理資料__3[[#This Row],[售出工時]] * 60) / 5</f>
        <v>54.680000004</v>
      </c>
      <c r="M1810" t="str">
        <f>VLOOKUP(交易處理資料__3[[#This Row],[人員代號]],團隊分組!$B$1:$C$52,2,FALSE)</f>
        <v>快速保養團隊A</v>
      </c>
      <c r="N1810">
        <f>IF(交易處理資料__3[[#This Row],[上班時間]]=0,0,交易處理資料__3[[#This Row],[售出工時]]/交易處理資料__3[[#This Row],[上班時間]])</f>
        <v>0.57388748954659952</v>
      </c>
      <c r="O1810" s="31" t="str">
        <f>IF(交易處理資料__3[[#This Row],[上班時間]]=0,"否","是")</f>
        <v>是</v>
      </c>
    </row>
    <row r="1811" spans="1:15" hidden="1">
      <c r="A1811" t="s">
        <v>75</v>
      </c>
      <c r="B1811" t="s">
        <v>18</v>
      </c>
      <c r="C1811">
        <v>3.0833333330000001</v>
      </c>
      <c r="D1811">
        <v>5.08</v>
      </c>
      <c r="E1811" s="27">
        <v>60.695538059999997</v>
      </c>
      <c r="F1811">
        <v>7.9</v>
      </c>
      <c r="G1811">
        <v>0.17</v>
      </c>
      <c r="H1811">
        <v>8.07</v>
      </c>
      <c r="I1811">
        <v>97.89</v>
      </c>
      <c r="J1811">
        <v>38.21</v>
      </c>
      <c r="K1811" s="9">
        <v>45337</v>
      </c>
      <c r="L1811">
        <f xml:space="preserve"> (交易處理資料__3[[#This Row],[售出工時]] * 60) / 5</f>
        <v>36.999999996</v>
      </c>
      <c r="M1811" t="str">
        <f>VLOOKUP(交易處理資料__3[[#This Row],[人員代號]],團隊分組!$B$1:$C$52,2,FALSE)</f>
        <v>查修團隊B</v>
      </c>
      <c r="N1811">
        <f>IF(交易處理資料__3[[#This Row],[上班時間]]=0,0,交易處理資料__3[[#This Row],[售出工時]]/交易處理資料__3[[#This Row],[上班時間]])</f>
        <v>0.38207352329615862</v>
      </c>
      <c r="O1811" s="31" t="str">
        <f>IF(交易處理資料__3[[#This Row],[上班時間]]=0,"否","是")</f>
        <v>是</v>
      </c>
    </row>
    <row r="1812" spans="1:15" hidden="1">
      <c r="A1812" t="s">
        <v>75</v>
      </c>
      <c r="B1812" t="s">
        <v>20</v>
      </c>
      <c r="C1812">
        <v>0</v>
      </c>
      <c r="D1812">
        <v>0</v>
      </c>
      <c r="E1812" s="27">
        <v>0</v>
      </c>
      <c r="F1812">
        <v>4.67</v>
      </c>
      <c r="G1812">
        <v>5.31</v>
      </c>
      <c r="H1812">
        <v>9.98</v>
      </c>
      <c r="I1812">
        <v>46.79</v>
      </c>
      <c r="J1812">
        <v>0</v>
      </c>
      <c r="K1812" s="9">
        <v>45337</v>
      </c>
      <c r="L1812">
        <f xml:space="preserve"> (交易處理資料__3[[#This Row],[售出工時]] * 60) / 5</f>
        <v>0</v>
      </c>
      <c r="M1812" t="str">
        <f>VLOOKUP(交易處理資料__3[[#This Row],[人員代號]],團隊分組!$B$1:$C$52,2,FALSE)</f>
        <v>查修團隊B</v>
      </c>
      <c r="N1812">
        <f>IF(交易處理資料__3[[#This Row],[上班時間]]=0,0,交易處理資料__3[[#This Row],[售出工時]]/交易處理資料__3[[#This Row],[上班時間]])</f>
        <v>0</v>
      </c>
      <c r="O1812" s="31" t="str">
        <f>IF(交易處理資料__3[[#This Row],[上班時間]]=0,"否","是")</f>
        <v>是</v>
      </c>
    </row>
    <row r="1813" spans="1:15" hidden="1">
      <c r="A1813" t="s">
        <v>75</v>
      </c>
      <c r="B1813" t="s">
        <v>21</v>
      </c>
      <c r="C1813">
        <v>0</v>
      </c>
      <c r="D1813">
        <v>0</v>
      </c>
      <c r="E1813" s="27">
        <v>0</v>
      </c>
      <c r="F1813">
        <v>6.01</v>
      </c>
      <c r="G1813">
        <v>2.72</v>
      </c>
      <c r="H1813">
        <v>8.73</v>
      </c>
      <c r="I1813">
        <v>68.84</v>
      </c>
      <c r="J1813">
        <v>0</v>
      </c>
      <c r="K1813" s="9">
        <v>45337</v>
      </c>
      <c r="L1813">
        <f xml:space="preserve"> (交易處理資料__3[[#This Row],[售出工時]] * 60) / 5</f>
        <v>0</v>
      </c>
      <c r="M1813" t="str">
        <f>VLOOKUP(交易處理資料__3[[#This Row],[人員代號]],團隊分組!$B$1:$C$52,2,FALSE)</f>
        <v>查修團隊B</v>
      </c>
      <c r="N1813">
        <f>IF(交易處理資料__3[[#This Row],[上班時間]]=0,0,交易處理資料__3[[#This Row],[售出工時]]/交易處理資料__3[[#This Row],[上班時間]])</f>
        <v>0</v>
      </c>
      <c r="O1813" s="31" t="str">
        <f>IF(交易處理資料__3[[#This Row],[上班時間]]=0,"否","是")</f>
        <v>是</v>
      </c>
    </row>
    <row r="1814" spans="1:15" hidden="1">
      <c r="A1814" t="s">
        <v>75</v>
      </c>
      <c r="B1814" t="s">
        <v>22</v>
      </c>
      <c r="C1814">
        <v>6.75</v>
      </c>
      <c r="D1814">
        <v>6.13</v>
      </c>
      <c r="E1814" s="27">
        <v>110.1141925</v>
      </c>
      <c r="F1814">
        <v>6.13</v>
      </c>
      <c r="G1814">
        <v>1.78</v>
      </c>
      <c r="H1814">
        <v>7.91</v>
      </c>
      <c r="I1814">
        <v>77.5</v>
      </c>
      <c r="J1814">
        <v>85.34</v>
      </c>
      <c r="K1814" s="9">
        <v>45337</v>
      </c>
      <c r="L1814">
        <f xml:space="preserve"> (交易處理資料__3[[#This Row],[售出工時]] * 60) / 5</f>
        <v>81</v>
      </c>
      <c r="M1814" t="str">
        <f>VLOOKUP(交易處理資料__3[[#This Row],[人員代號]],團隊分組!$B$1:$C$52,2,FALSE)</f>
        <v>快速保養團隊A</v>
      </c>
      <c r="N1814">
        <f>IF(交易處理資料__3[[#This Row],[上班時間]]=0,0,交易處理資料__3[[#This Row],[售出工時]]/交易處理資料__3[[#This Row],[上班時間]])</f>
        <v>0.8533501896333755</v>
      </c>
      <c r="O1814" s="31" t="str">
        <f>IF(交易處理資料__3[[#This Row],[上班時間]]=0,"否","是")</f>
        <v>是</v>
      </c>
    </row>
    <row r="1815" spans="1:15" hidden="1">
      <c r="A1815" t="s">
        <v>75</v>
      </c>
      <c r="B1815" t="s">
        <v>23</v>
      </c>
      <c r="C1815">
        <v>1.1666666670000001</v>
      </c>
      <c r="D1815">
        <v>0.92</v>
      </c>
      <c r="E1815" s="27">
        <v>126.8115942</v>
      </c>
      <c r="F1815">
        <v>6.91</v>
      </c>
      <c r="G1815">
        <v>0.82</v>
      </c>
      <c r="H1815">
        <v>7.73</v>
      </c>
      <c r="I1815">
        <v>89.39</v>
      </c>
      <c r="J1815">
        <v>15.09</v>
      </c>
      <c r="K1815" s="9">
        <v>45337</v>
      </c>
      <c r="L1815">
        <f xml:space="preserve"> (交易處理資料__3[[#This Row],[售出工時]] * 60) / 5</f>
        <v>14.000000004</v>
      </c>
      <c r="M1815" t="str">
        <f>VLOOKUP(交易處理資料__3[[#This Row],[人員代號]],團隊分組!$B$1:$C$52,2,FALSE)</f>
        <v>快速保養團隊B</v>
      </c>
      <c r="N1815">
        <f>IF(交易處理資料__3[[#This Row],[上班時間]]=0,0,交易處理資料__3[[#This Row],[售出工時]]/交易處理資料__3[[#This Row],[上班時間]])</f>
        <v>0.15092712380336351</v>
      </c>
      <c r="O1815" s="31" t="str">
        <f>IF(交易處理資料__3[[#This Row],[上班時間]]=0,"否","是")</f>
        <v>是</v>
      </c>
    </row>
    <row r="1816" spans="1:15" hidden="1">
      <c r="A1816" t="s">
        <v>75</v>
      </c>
      <c r="B1816" t="s">
        <v>24</v>
      </c>
      <c r="C1816">
        <v>8.61</v>
      </c>
      <c r="D1816">
        <v>7.06</v>
      </c>
      <c r="E1816" s="27">
        <v>121.9546742</v>
      </c>
      <c r="F1816">
        <v>6.89</v>
      </c>
      <c r="G1816">
        <v>1.05</v>
      </c>
      <c r="H1816">
        <v>7.94</v>
      </c>
      <c r="I1816">
        <v>86.78</v>
      </c>
      <c r="J1816">
        <v>108.44</v>
      </c>
      <c r="K1816" s="9">
        <v>45337</v>
      </c>
      <c r="L1816">
        <f xml:space="preserve"> (交易處理資料__3[[#This Row],[售出工時]] * 60) / 5</f>
        <v>103.31999999999998</v>
      </c>
      <c r="M1816" t="str">
        <f>VLOOKUP(交易處理資料__3[[#This Row],[人員代號]],團隊分組!$B$1:$C$52,2,FALSE)</f>
        <v>快速保養團隊A</v>
      </c>
      <c r="N1816">
        <f>IF(交易處理資料__3[[#This Row],[上班時間]]=0,0,交易處理資料__3[[#This Row],[售出工時]]/交易處理資料__3[[#This Row],[上班時間]])</f>
        <v>1.0843828715365238</v>
      </c>
      <c r="O1816" s="31" t="str">
        <f>IF(交易處理資料__3[[#This Row],[上班時間]]=0,"否","是")</f>
        <v>是</v>
      </c>
    </row>
    <row r="1817" spans="1:15" hidden="1">
      <c r="A1817" t="s">
        <v>75</v>
      </c>
      <c r="B1817" t="s">
        <v>25</v>
      </c>
      <c r="C1817">
        <v>2.25</v>
      </c>
      <c r="D1817">
        <v>4.83</v>
      </c>
      <c r="E1817" s="27">
        <v>46.583850929999997</v>
      </c>
      <c r="F1817">
        <v>6.76</v>
      </c>
      <c r="G1817">
        <v>1.27</v>
      </c>
      <c r="H1817">
        <v>8.0299999999999994</v>
      </c>
      <c r="I1817">
        <v>84.18</v>
      </c>
      <c r="J1817">
        <v>28.02</v>
      </c>
      <c r="K1817" s="9">
        <v>45337</v>
      </c>
      <c r="L1817">
        <f xml:space="preserve"> (交易處理資料__3[[#This Row],[售出工時]] * 60) / 5</f>
        <v>27</v>
      </c>
      <c r="M1817" t="str">
        <f>VLOOKUP(交易處理資料__3[[#This Row],[人員代號]],團隊分組!$B$1:$C$52,2,FALSE)</f>
        <v>查修團隊A</v>
      </c>
      <c r="N1817">
        <f>IF(交易處理資料__3[[#This Row],[上班時間]]=0,0,交易處理資料__3[[#This Row],[售出工時]]/交易處理資料__3[[#This Row],[上班時間]])</f>
        <v>0.28019925280199254</v>
      </c>
      <c r="O1817" s="31" t="str">
        <f>IF(交易處理資料__3[[#This Row],[上班時間]]=0,"否","是")</f>
        <v>是</v>
      </c>
    </row>
    <row r="1818" spans="1:15" hidden="1">
      <c r="A1818" t="s">
        <v>75</v>
      </c>
      <c r="B1818" t="s">
        <v>26</v>
      </c>
      <c r="C1818">
        <v>0</v>
      </c>
      <c r="D1818">
        <v>0</v>
      </c>
      <c r="E1818" s="27">
        <v>0</v>
      </c>
      <c r="F1818">
        <v>4.78</v>
      </c>
      <c r="G1818">
        <v>4.24</v>
      </c>
      <c r="H1818">
        <v>9.02</v>
      </c>
      <c r="I1818">
        <v>52.99</v>
      </c>
      <c r="J1818">
        <v>0</v>
      </c>
      <c r="K1818" s="9">
        <v>45337</v>
      </c>
      <c r="L1818">
        <f xml:space="preserve"> (交易處理資料__3[[#This Row],[售出工時]] * 60) / 5</f>
        <v>0</v>
      </c>
      <c r="M1818" t="str">
        <f>VLOOKUP(交易處理資料__3[[#This Row],[人員代號]],團隊分組!$B$1:$C$52,2,FALSE)</f>
        <v>查修團隊B</v>
      </c>
      <c r="N1818">
        <f>IF(交易處理資料__3[[#This Row],[上班時間]]=0,0,交易處理資料__3[[#This Row],[售出工時]]/交易處理資料__3[[#This Row],[上班時間]])</f>
        <v>0</v>
      </c>
      <c r="O1818" s="31" t="str">
        <f>IF(交易處理資料__3[[#This Row],[上班時間]]=0,"否","是")</f>
        <v>是</v>
      </c>
    </row>
    <row r="1819" spans="1:15" hidden="1">
      <c r="A1819" t="s">
        <v>75</v>
      </c>
      <c r="B1819" t="s">
        <v>27</v>
      </c>
      <c r="C1819">
        <v>2.1666666669999999</v>
      </c>
      <c r="D1819">
        <v>1.53</v>
      </c>
      <c r="E1819" s="27">
        <v>141.61220040000001</v>
      </c>
      <c r="F1819">
        <v>5.39</v>
      </c>
      <c r="G1819">
        <v>2.35</v>
      </c>
      <c r="H1819">
        <v>7.74</v>
      </c>
      <c r="I1819">
        <v>69.64</v>
      </c>
      <c r="J1819">
        <v>27.99</v>
      </c>
      <c r="K1819" s="9">
        <v>45337</v>
      </c>
      <c r="L1819">
        <f xml:space="preserve"> (交易處理資料__3[[#This Row],[售出工時]] * 60) / 5</f>
        <v>26.000000003999997</v>
      </c>
      <c r="M1819" t="str">
        <f>VLOOKUP(交易處理資料__3[[#This Row],[人員代號]],團隊分組!$B$1:$C$52,2,FALSE)</f>
        <v>快速保養團隊B</v>
      </c>
      <c r="N1819">
        <f>IF(交易處理資料__3[[#This Row],[上班時間]]=0,0,交易處理資料__3[[#This Row],[售出工時]]/交易處理資料__3[[#This Row],[上班時間]])</f>
        <v>0.27993109392764853</v>
      </c>
      <c r="O1819" s="31" t="str">
        <f>IF(交易處理資料__3[[#This Row],[上班時間]]=0,"否","是")</f>
        <v>是</v>
      </c>
    </row>
    <row r="1820" spans="1:15" hidden="1">
      <c r="A1820" t="s">
        <v>75</v>
      </c>
      <c r="B1820" t="s">
        <v>28</v>
      </c>
      <c r="C1820">
        <v>7.3433333330000004</v>
      </c>
      <c r="D1820">
        <v>5.36</v>
      </c>
      <c r="E1820" s="27">
        <v>137.00248759999999</v>
      </c>
      <c r="F1820">
        <v>5.36</v>
      </c>
      <c r="G1820">
        <v>2.57</v>
      </c>
      <c r="H1820">
        <v>7.93</v>
      </c>
      <c r="I1820">
        <v>67.59</v>
      </c>
      <c r="J1820">
        <v>92.6</v>
      </c>
      <c r="K1820" s="9">
        <v>45337</v>
      </c>
      <c r="L1820">
        <f xml:space="preserve"> (交易處理資料__3[[#This Row],[售出工時]] * 60) / 5</f>
        <v>88.119999996000004</v>
      </c>
      <c r="M1820" t="str">
        <f>VLOOKUP(交易處理資料__3[[#This Row],[人員代號]],團隊分組!$B$1:$C$52,2,FALSE)</f>
        <v>快速保養團隊A</v>
      </c>
      <c r="N1820">
        <f>IF(交易處理資料__3[[#This Row],[上班時間]]=0,0,交易處理資料__3[[#This Row],[售出工時]]/交易處理資料__3[[#This Row],[上班時間]])</f>
        <v>0.92601933581336704</v>
      </c>
      <c r="O1820" s="31" t="str">
        <f>IF(交易處理資料__3[[#This Row],[上班時間]]=0,"否","是")</f>
        <v>是</v>
      </c>
    </row>
    <row r="1821" spans="1:15" hidden="1">
      <c r="A1821" t="s">
        <v>75</v>
      </c>
      <c r="B1821" t="s">
        <v>29</v>
      </c>
      <c r="C1821">
        <v>0</v>
      </c>
      <c r="D1821">
        <v>0</v>
      </c>
      <c r="E1821" s="27">
        <v>0</v>
      </c>
      <c r="F1821">
        <v>5.38</v>
      </c>
      <c r="G1821">
        <v>2.7</v>
      </c>
      <c r="H1821">
        <v>8.08</v>
      </c>
      <c r="I1821">
        <v>66.58</v>
      </c>
      <c r="J1821">
        <v>0</v>
      </c>
      <c r="K1821" s="9">
        <v>45337</v>
      </c>
      <c r="L1821">
        <f xml:space="preserve"> (交易處理資料__3[[#This Row],[售出工時]] * 60) / 5</f>
        <v>0</v>
      </c>
      <c r="M1821" t="str">
        <f>VLOOKUP(交易處理資料__3[[#This Row],[人員代號]],團隊分組!$B$1:$C$52,2,FALSE)</f>
        <v>查修團隊B</v>
      </c>
      <c r="N1821">
        <f>IF(交易處理資料__3[[#This Row],[上班時間]]=0,0,交易處理資料__3[[#This Row],[售出工時]]/交易處理資料__3[[#This Row],[上班時間]])</f>
        <v>0</v>
      </c>
      <c r="O1821" s="31" t="str">
        <f>IF(交易處理資料__3[[#This Row],[上班時間]]=0,"否","是")</f>
        <v>是</v>
      </c>
    </row>
    <row r="1822" spans="1:15" hidden="1">
      <c r="A1822" t="s">
        <v>75</v>
      </c>
      <c r="B1822" t="s">
        <v>30</v>
      </c>
      <c r="C1822">
        <v>0</v>
      </c>
      <c r="D1822">
        <v>0</v>
      </c>
      <c r="E1822" s="27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 s="9">
        <v>45337</v>
      </c>
      <c r="L1822">
        <f xml:space="preserve"> (交易處理資料__3[[#This Row],[售出工時]] * 60) / 5</f>
        <v>0</v>
      </c>
      <c r="M1822" t="str">
        <f>VLOOKUP(交易處理資料__3[[#This Row],[人員代號]],團隊分組!$B$1:$C$52,2,FALSE)</f>
        <v>快速保養團隊B</v>
      </c>
      <c r="N1822">
        <f>IF(交易處理資料__3[[#This Row],[上班時間]]=0,0,交易處理資料__3[[#This Row],[售出工時]]/交易處理資料__3[[#This Row],[上班時間]])</f>
        <v>0</v>
      </c>
      <c r="O1822" s="31" t="str">
        <f>IF(交易處理資料__3[[#This Row],[上班時間]]=0,"否","是")</f>
        <v>否</v>
      </c>
    </row>
    <row r="1823" spans="1:15" hidden="1">
      <c r="A1823" t="s">
        <v>75</v>
      </c>
      <c r="B1823" t="s">
        <v>32</v>
      </c>
      <c r="C1823">
        <v>0</v>
      </c>
      <c r="D1823">
        <v>0</v>
      </c>
      <c r="E1823" s="27">
        <v>0</v>
      </c>
      <c r="F1823">
        <v>7.02</v>
      </c>
      <c r="G1823">
        <v>0.71</v>
      </c>
      <c r="H1823">
        <v>7.73</v>
      </c>
      <c r="I1823">
        <v>90.82</v>
      </c>
      <c r="J1823">
        <v>0</v>
      </c>
      <c r="K1823" s="9">
        <v>45337</v>
      </c>
      <c r="L1823">
        <f xml:space="preserve"> (交易處理資料__3[[#This Row],[售出工時]] * 60) / 5</f>
        <v>0</v>
      </c>
      <c r="M1823" t="str">
        <f>VLOOKUP(交易處理資料__3[[#This Row],[人員代號]],團隊分組!$B$1:$C$52,2,FALSE)</f>
        <v>快速保養團隊B</v>
      </c>
      <c r="N1823">
        <f>IF(交易處理資料__3[[#This Row],[上班時間]]=0,0,交易處理資料__3[[#This Row],[售出工時]]/交易處理資料__3[[#This Row],[上班時間]])</f>
        <v>0</v>
      </c>
      <c r="O1823" s="31" t="str">
        <f>IF(交易處理資料__3[[#This Row],[上班時間]]=0,"否","是")</f>
        <v>是</v>
      </c>
    </row>
    <row r="1824" spans="1:15">
      <c r="A1824" t="s">
        <v>75</v>
      </c>
      <c r="B1824" t="s">
        <v>33</v>
      </c>
      <c r="C1824">
        <v>0</v>
      </c>
      <c r="D1824">
        <v>0</v>
      </c>
      <c r="E1824" s="27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 s="9">
        <v>45337</v>
      </c>
      <c r="L1824">
        <f xml:space="preserve"> (交易處理資料__3[[#This Row],[售出工時]] * 60) / 5</f>
        <v>0</v>
      </c>
      <c r="M1824" t="str">
        <f>VLOOKUP(交易處理資料__3[[#This Row],[人員代號]],團隊分組!$B$1:$C$52,2,FALSE)</f>
        <v>快速保養團隊B</v>
      </c>
      <c r="N1824">
        <f>IF(交易處理資料__3[[#This Row],[上班時間]]=0,0,交易處理資料__3[[#This Row],[售出工時]]/交易處理資料__3[[#This Row],[上班時間]])</f>
        <v>0</v>
      </c>
      <c r="O1824" s="31" t="str">
        <f>IF(交易處理資料__3[[#This Row],[上班時間]]=0,"否","是")</f>
        <v>否</v>
      </c>
    </row>
    <row r="1825" spans="1:15" hidden="1">
      <c r="A1825" t="s">
        <v>75</v>
      </c>
      <c r="B1825" t="s">
        <v>34</v>
      </c>
      <c r="C1825">
        <v>4.5</v>
      </c>
      <c r="D1825">
        <v>1.75</v>
      </c>
      <c r="E1825" s="27">
        <v>257.14285710000001</v>
      </c>
      <c r="F1825">
        <v>5.85</v>
      </c>
      <c r="G1825">
        <v>2.0699999999999998</v>
      </c>
      <c r="H1825">
        <v>7.92</v>
      </c>
      <c r="I1825">
        <v>73.86</v>
      </c>
      <c r="J1825">
        <v>56.82</v>
      </c>
      <c r="K1825" s="9">
        <v>45337</v>
      </c>
      <c r="L1825">
        <f xml:space="preserve"> (交易處理資料__3[[#This Row],[售出工時]] * 60) / 5</f>
        <v>54</v>
      </c>
      <c r="M1825" t="str">
        <f>VLOOKUP(交易處理資料__3[[#This Row],[人員代號]],團隊分組!$B$1:$C$52,2,FALSE)</f>
        <v>快速保養團隊A</v>
      </c>
      <c r="N1825">
        <f>IF(交易處理資料__3[[#This Row],[上班時間]]=0,0,交易處理資料__3[[#This Row],[售出工時]]/交易處理資料__3[[#This Row],[上班時間]])</f>
        <v>0.56818181818181823</v>
      </c>
      <c r="O1825" s="31" t="str">
        <f>IF(交易處理資料__3[[#This Row],[上班時間]]=0,"否","是")</f>
        <v>是</v>
      </c>
    </row>
    <row r="1826" spans="1:15" hidden="1">
      <c r="A1826" t="s">
        <v>75</v>
      </c>
      <c r="B1826" t="s">
        <v>35</v>
      </c>
      <c r="C1826">
        <v>2.39</v>
      </c>
      <c r="D1826">
        <v>3.9</v>
      </c>
      <c r="E1826" s="27">
        <v>61.282051279999997</v>
      </c>
      <c r="F1826">
        <v>7.64</v>
      </c>
      <c r="G1826">
        <v>1.37</v>
      </c>
      <c r="H1826">
        <v>9.01</v>
      </c>
      <c r="I1826">
        <v>84.79</v>
      </c>
      <c r="J1826">
        <v>26.53</v>
      </c>
      <c r="K1826" s="9">
        <v>45337</v>
      </c>
      <c r="L1826">
        <f xml:space="preserve"> (交易處理資料__3[[#This Row],[售出工時]] * 60) / 5</f>
        <v>28.68</v>
      </c>
      <c r="M1826" t="str">
        <f>VLOOKUP(交易處理資料__3[[#This Row],[人員代號]],團隊分組!$B$1:$C$52,2,FALSE)</f>
        <v>查修團隊B</v>
      </c>
      <c r="N1826">
        <f>IF(交易處理資料__3[[#This Row],[上班時間]]=0,0,交易處理資料__3[[#This Row],[售出工時]]/交易處理資料__3[[#This Row],[上班時間]])</f>
        <v>0.26526082130965595</v>
      </c>
      <c r="O1826" s="31" t="str">
        <f>IF(交易處理資料__3[[#This Row],[上班時間]]=0,"否","是")</f>
        <v>是</v>
      </c>
    </row>
    <row r="1827" spans="1:15" hidden="1">
      <c r="A1827" t="s">
        <v>75</v>
      </c>
      <c r="B1827" t="s">
        <v>36</v>
      </c>
      <c r="C1827">
        <v>1.78</v>
      </c>
      <c r="D1827">
        <v>2.1</v>
      </c>
      <c r="E1827" s="27">
        <v>84.761904759999993</v>
      </c>
      <c r="F1827">
        <v>9.34</v>
      </c>
      <c r="G1827">
        <v>0.28000000000000003</v>
      </c>
      <c r="H1827">
        <v>9.6199999999999992</v>
      </c>
      <c r="I1827">
        <v>97.09</v>
      </c>
      <c r="J1827">
        <v>18.5</v>
      </c>
      <c r="K1827" s="9">
        <v>45337</v>
      </c>
      <c r="L1827">
        <f xml:space="preserve"> (交易處理資料__3[[#This Row],[售出工時]] * 60) / 5</f>
        <v>21.36</v>
      </c>
      <c r="M1827" t="str">
        <f>VLOOKUP(交易處理資料__3[[#This Row],[人員代號]],團隊分組!$B$1:$C$52,2,FALSE)</f>
        <v>查修團隊B</v>
      </c>
      <c r="N1827">
        <f>IF(交易處理資料__3[[#This Row],[上班時間]]=0,0,交易處理資料__3[[#This Row],[售出工時]]/交易處理資料__3[[#This Row],[上班時間]])</f>
        <v>0.18503118503118504</v>
      </c>
      <c r="O1827" s="31" t="str">
        <f>IF(交易處理資料__3[[#This Row],[上班時間]]=0,"否","是")</f>
        <v>是</v>
      </c>
    </row>
    <row r="1828" spans="1:15" hidden="1">
      <c r="A1828" t="s">
        <v>75</v>
      </c>
      <c r="B1828" t="s">
        <v>37</v>
      </c>
      <c r="C1828">
        <v>1</v>
      </c>
      <c r="D1828">
        <v>0.67</v>
      </c>
      <c r="E1828" s="27">
        <v>149.2537313</v>
      </c>
      <c r="F1828">
        <v>5.29</v>
      </c>
      <c r="G1828">
        <v>2.4300000000000002</v>
      </c>
      <c r="H1828">
        <v>7.72</v>
      </c>
      <c r="I1828">
        <v>68.52</v>
      </c>
      <c r="J1828">
        <v>12.95</v>
      </c>
      <c r="K1828" s="9">
        <v>45337</v>
      </c>
      <c r="L1828">
        <f xml:space="preserve"> (交易處理資料__3[[#This Row],[售出工時]] * 60) / 5</f>
        <v>12</v>
      </c>
      <c r="M1828" t="str">
        <f>VLOOKUP(交易處理資料__3[[#This Row],[人員代號]],團隊分組!$B$1:$C$52,2,FALSE)</f>
        <v>查修團隊A</v>
      </c>
      <c r="N1828">
        <f>IF(交易處理資料__3[[#This Row],[上班時間]]=0,0,交易處理資料__3[[#This Row],[售出工時]]/交易處理資料__3[[#This Row],[上班時間]])</f>
        <v>0.1295336787564767</v>
      </c>
      <c r="O1828" s="31" t="str">
        <f>IF(交易處理資料__3[[#This Row],[上班時間]]=0,"否","是")</f>
        <v>是</v>
      </c>
    </row>
    <row r="1829" spans="1:15" hidden="1">
      <c r="A1829" t="s">
        <v>75</v>
      </c>
      <c r="B1829" t="s">
        <v>38</v>
      </c>
      <c r="C1829">
        <v>8</v>
      </c>
      <c r="D1829">
        <v>4.07</v>
      </c>
      <c r="E1829" s="27">
        <v>196.56019660000001</v>
      </c>
      <c r="F1829">
        <v>5.32</v>
      </c>
      <c r="G1829">
        <v>2.58</v>
      </c>
      <c r="H1829">
        <v>7.9</v>
      </c>
      <c r="I1829">
        <v>67.34</v>
      </c>
      <c r="J1829">
        <v>101.27</v>
      </c>
      <c r="K1829" s="9">
        <v>45337</v>
      </c>
      <c r="L1829">
        <f xml:space="preserve"> (交易處理資料__3[[#This Row],[售出工時]] * 60) / 5</f>
        <v>96</v>
      </c>
      <c r="M1829" t="str">
        <f>VLOOKUP(交易處理資料__3[[#This Row],[人員代號]],團隊分組!$B$1:$C$52,2,FALSE)</f>
        <v>快速保養團隊A</v>
      </c>
      <c r="N1829">
        <f>IF(交易處理資料__3[[#This Row],[上班時間]]=0,0,交易處理資料__3[[#This Row],[售出工時]]/交易處理資料__3[[#This Row],[上班時間]])</f>
        <v>1.0126582278481011</v>
      </c>
      <c r="O1829" s="31" t="str">
        <f>IF(交易處理資料__3[[#This Row],[上班時間]]=0,"否","是")</f>
        <v>是</v>
      </c>
    </row>
    <row r="1830" spans="1:15" hidden="1">
      <c r="A1830" t="s">
        <v>75</v>
      </c>
      <c r="B1830" t="s">
        <v>39</v>
      </c>
      <c r="C1830">
        <v>0.5</v>
      </c>
      <c r="D1830">
        <v>0.01</v>
      </c>
      <c r="E1830" s="27">
        <v>5000</v>
      </c>
      <c r="F1830">
        <v>5.03</v>
      </c>
      <c r="G1830">
        <v>3</v>
      </c>
      <c r="H1830">
        <v>8.0299999999999994</v>
      </c>
      <c r="I1830">
        <v>62.64</v>
      </c>
      <c r="J1830">
        <v>6.23</v>
      </c>
      <c r="K1830" s="9">
        <v>45337</v>
      </c>
      <c r="L1830">
        <f xml:space="preserve"> (交易處理資料__3[[#This Row],[售出工時]] * 60) / 5</f>
        <v>6</v>
      </c>
      <c r="M1830" t="str">
        <f>VLOOKUP(交易處理資料__3[[#This Row],[人員代號]],團隊分組!$B$1:$C$52,2,FALSE)</f>
        <v>查修團隊A</v>
      </c>
      <c r="N1830">
        <f>IF(交易處理資料__3[[#This Row],[上班時間]]=0,0,交易處理資料__3[[#This Row],[售出工時]]/交易處理資料__3[[#This Row],[上班時間]])</f>
        <v>6.2266500622665012E-2</v>
      </c>
      <c r="O1830" s="31" t="str">
        <f>IF(交易處理資料__3[[#This Row],[上班時間]]=0,"否","是")</f>
        <v>是</v>
      </c>
    </row>
    <row r="1831" spans="1:15" hidden="1">
      <c r="A1831" t="s">
        <v>75</v>
      </c>
      <c r="B1831" t="s">
        <v>40</v>
      </c>
      <c r="C1831">
        <v>0</v>
      </c>
      <c r="D1831">
        <v>0</v>
      </c>
      <c r="E1831" s="27">
        <v>0</v>
      </c>
      <c r="F1831">
        <v>7.47</v>
      </c>
      <c r="G1831">
        <v>0.56999999999999995</v>
      </c>
      <c r="H1831">
        <v>8.0399999999999991</v>
      </c>
      <c r="I1831">
        <v>92.91</v>
      </c>
      <c r="J1831">
        <v>0</v>
      </c>
      <c r="K1831" s="9">
        <v>45337</v>
      </c>
      <c r="L1831">
        <f xml:space="preserve"> (交易處理資料__3[[#This Row],[售出工時]] * 60) / 5</f>
        <v>0</v>
      </c>
      <c r="M1831" t="str">
        <f>VLOOKUP(交易處理資料__3[[#This Row],[人員代號]],團隊分組!$B$1:$C$52,2,FALSE)</f>
        <v>查修團隊A</v>
      </c>
      <c r="N1831">
        <f>IF(交易處理資料__3[[#This Row],[上班時間]]=0,0,交易處理資料__3[[#This Row],[售出工時]]/交易處理資料__3[[#This Row],[上班時間]])</f>
        <v>0</v>
      </c>
      <c r="O1831" s="31" t="str">
        <f>IF(交易處理資料__3[[#This Row],[上班時間]]=0,"否","是")</f>
        <v>是</v>
      </c>
    </row>
    <row r="1832" spans="1:15" hidden="1">
      <c r="A1832" t="s">
        <v>75</v>
      </c>
      <c r="B1832" t="s">
        <v>41</v>
      </c>
      <c r="C1832">
        <v>8.0833333330000006</v>
      </c>
      <c r="D1832">
        <v>5.19</v>
      </c>
      <c r="E1832" s="27">
        <v>155.74823380000001</v>
      </c>
      <c r="F1832">
        <v>6.76</v>
      </c>
      <c r="G1832">
        <v>1.1399999999999999</v>
      </c>
      <c r="H1832">
        <v>7.9</v>
      </c>
      <c r="I1832">
        <v>85.57</v>
      </c>
      <c r="J1832">
        <v>102.32</v>
      </c>
      <c r="K1832" s="9">
        <v>45337</v>
      </c>
      <c r="L1832">
        <f xml:space="preserve"> (交易處理資料__3[[#This Row],[售出工時]] * 60) / 5</f>
        <v>96.999999996000014</v>
      </c>
      <c r="M1832" t="str">
        <f>VLOOKUP(交易處理資料__3[[#This Row],[人員代號]],團隊分組!$B$1:$C$52,2,FALSE)</f>
        <v>快速保養團隊A</v>
      </c>
      <c r="N1832">
        <f>IF(交易處理資料__3[[#This Row],[上班時間]]=0,0,交易處理資料__3[[#This Row],[售出工時]]/交易處理資料__3[[#This Row],[上班時間]])</f>
        <v>1.0232067510126583</v>
      </c>
      <c r="O1832" s="31" t="str">
        <f>IF(交易處理資料__3[[#This Row],[上班時間]]=0,"否","是")</f>
        <v>是</v>
      </c>
    </row>
    <row r="1833" spans="1:15" hidden="1">
      <c r="A1833" t="s">
        <v>75</v>
      </c>
      <c r="B1833" t="s">
        <v>42</v>
      </c>
      <c r="C1833">
        <v>3.9166666669999999</v>
      </c>
      <c r="D1833">
        <v>1.72</v>
      </c>
      <c r="E1833" s="27">
        <v>227.71317830000001</v>
      </c>
      <c r="F1833">
        <v>5.9</v>
      </c>
      <c r="G1833">
        <v>3.92</v>
      </c>
      <c r="H1833">
        <v>9.82</v>
      </c>
      <c r="I1833">
        <v>60.08</v>
      </c>
      <c r="J1833">
        <v>39.880000000000003</v>
      </c>
      <c r="K1833" s="9">
        <v>45337</v>
      </c>
      <c r="L1833">
        <f xml:space="preserve"> (交易處理資料__3[[#This Row],[售出工時]] * 60) / 5</f>
        <v>47.000000004</v>
      </c>
      <c r="M1833" t="str">
        <f>VLOOKUP(交易處理資料__3[[#This Row],[人員代號]],團隊分組!$B$1:$C$52,2,FALSE)</f>
        <v>快速保養團隊A</v>
      </c>
      <c r="N1833">
        <f>IF(交易處理資料__3[[#This Row],[上班時間]]=0,0,交易處理資料__3[[#This Row],[售出工時]]/交易處理資料__3[[#This Row],[上班時間]])</f>
        <v>0.39884589276985744</v>
      </c>
      <c r="O1833" s="31" t="str">
        <f>IF(交易處理資料__3[[#This Row],[上班時間]]=0,"否","是")</f>
        <v>是</v>
      </c>
    </row>
    <row r="1834" spans="1:15" hidden="1">
      <c r="A1834" t="s">
        <v>75</v>
      </c>
      <c r="B1834" t="s">
        <v>43</v>
      </c>
      <c r="C1834">
        <v>2.35</v>
      </c>
      <c r="D1834">
        <v>3.37</v>
      </c>
      <c r="E1834" s="27">
        <v>69.73293769</v>
      </c>
      <c r="F1834">
        <v>9.58</v>
      </c>
      <c r="G1834">
        <v>0.33</v>
      </c>
      <c r="H1834">
        <v>9.91</v>
      </c>
      <c r="I1834">
        <v>96.67</v>
      </c>
      <c r="J1834">
        <v>23.71</v>
      </c>
      <c r="K1834" s="9">
        <v>45337</v>
      </c>
      <c r="L1834">
        <f xml:space="preserve"> (交易處理資料__3[[#This Row],[售出工時]] * 60) / 5</f>
        <v>28.2</v>
      </c>
      <c r="M1834" t="str">
        <f>VLOOKUP(交易處理資料__3[[#This Row],[人員代號]],團隊分組!$B$1:$C$52,2,FALSE)</f>
        <v>查修團隊B</v>
      </c>
      <c r="N1834">
        <f>IF(交易處理資料__3[[#This Row],[上班時間]]=0,0,交易處理資料__3[[#This Row],[售出工時]]/交易處理資料__3[[#This Row],[上班時間]])</f>
        <v>0.23713420787083755</v>
      </c>
      <c r="O1834" s="31" t="str">
        <f>IF(交易處理資料__3[[#This Row],[上班時間]]=0,"否","是")</f>
        <v>是</v>
      </c>
    </row>
    <row r="1835" spans="1:15" hidden="1">
      <c r="A1835" t="s">
        <v>75</v>
      </c>
      <c r="B1835" t="s">
        <v>44</v>
      </c>
      <c r="C1835">
        <v>4.0833333329999997</v>
      </c>
      <c r="D1835">
        <v>5.23</v>
      </c>
      <c r="E1835" s="27">
        <v>78.075207140000003</v>
      </c>
      <c r="F1835">
        <v>7.45</v>
      </c>
      <c r="G1835">
        <v>0.32</v>
      </c>
      <c r="H1835">
        <v>7.77</v>
      </c>
      <c r="I1835">
        <v>95.88</v>
      </c>
      <c r="J1835">
        <v>52.55</v>
      </c>
      <c r="K1835" s="9">
        <v>45337</v>
      </c>
      <c r="L1835">
        <f xml:space="preserve"> (交易處理資料__3[[#This Row],[售出工時]] * 60) / 5</f>
        <v>48.999999996</v>
      </c>
      <c r="M1835" t="str">
        <f>VLOOKUP(交易處理資料__3[[#This Row],[人員代號]],團隊分組!$B$1:$C$52,2,FALSE)</f>
        <v>快速保養團隊B</v>
      </c>
      <c r="N1835">
        <f>IF(交易處理資料__3[[#This Row],[上班時間]]=0,0,交易處理資料__3[[#This Row],[售出工時]]/交易處理資料__3[[#This Row],[上班時間]])</f>
        <v>0.52552552548262543</v>
      </c>
      <c r="O1835" s="31" t="str">
        <f>IF(交易處理資料__3[[#This Row],[上班時間]]=0,"否","是")</f>
        <v>是</v>
      </c>
    </row>
    <row r="1836" spans="1:15" hidden="1">
      <c r="A1836" t="s">
        <v>75</v>
      </c>
      <c r="B1836" t="s">
        <v>45</v>
      </c>
      <c r="C1836">
        <v>9.9166666669999994</v>
      </c>
      <c r="D1836">
        <v>4.4000000000000004</v>
      </c>
      <c r="E1836" s="27">
        <v>225.37878789999999</v>
      </c>
      <c r="F1836">
        <v>4.78</v>
      </c>
      <c r="G1836">
        <v>3.12</v>
      </c>
      <c r="H1836">
        <v>7.9</v>
      </c>
      <c r="I1836">
        <v>60.51</v>
      </c>
      <c r="J1836">
        <v>125.53</v>
      </c>
      <c r="K1836" s="9">
        <v>45337</v>
      </c>
      <c r="L1836">
        <f xml:space="preserve"> (交易處理資料__3[[#This Row],[售出工時]] * 60) / 5</f>
        <v>119.000000004</v>
      </c>
      <c r="M1836" t="str">
        <f>VLOOKUP(交易處理資料__3[[#This Row],[人員代號]],團隊分組!$B$1:$C$52,2,FALSE)</f>
        <v>快速保養團隊A</v>
      </c>
      <c r="N1836">
        <f>IF(交易處理資料__3[[#This Row],[上班時間]]=0,0,交易處理資料__3[[#This Row],[售出工時]]/交易處理資料__3[[#This Row],[上班時間]])</f>
        <v>1.2552742616455694</v>
      </c>
      <c r="O1836" s="31" t="str">
        <f>IF(交易處理資料__3[[#This Row],[上班時間]]=0,"否","是")</f>
        <v>是</v>
      </c>
    </row>
    <row r="1837" spans="1:15" hidden="1">
      <c r="A1837" t="s">
        <v>75</v>
      </c>
      <c r="B1837" t="s">
        <v>46</v>
      </c>
      <c r="C1837">
        <v>0</v>
      </c>
      <c r="D1837">
        <v>0</v>
      </c>
      <c r="E1837" s="27">
        <v>0</v>
      </c>
      <c r="F1837">
        <v>5.13</v>
      </c>
      <c r="G1837">
        <v>2.9</v>
      </c>
      <c r="H1837">
        <v>8.0299999999999994</v>
      </c>
      <c r="I1837">
        <v>63.89</v>
      </c>
      <c r="J1837">
        <v>0</v>
      </c>
      <c r="K1837" s="9">
        <v>45337</v>
      </c>
      <c r="L1837">
        <f xml:space="preserve"> (交易處理資料__3[[#This Row],[售出工時]] * 60) / 5</f>
        <v>0</v>
      </c>
      <c r="M1837" t="str">
        <f>VLOOKUP(交易處理資料__3[[#This Row],[人員代號]],團隊分組!$B$1:$C$52,2,FALSE)</f>
        <v>查修團隊B</v>
      </c>
      <c r="N1837">
        <f>IF(交易處理資料__3[[#This Row],[上班時間]]=0,0,交易處理資料__3[[#This Row],[售出工時]]/交易處理資料__3[[#This Row],[上班時間]])</f>
        <v>0</v>
      </c>
      <c r="O1837" s="31" t="str">
        <f>IF(交易處理資料__3[[#This Row],[上班時間]]=0,"否","是")</f>
        <v>是</v>
      </c>
    </row>
    <row r="1838" spans="1:15" hidden="1">
      <c r="A1838" t="s">
        <v>75</v>
      </c>
      <c r="B1838" t="s">
        <v>47</v>
      </c>
      <c r="C1838">
        <v>2</v>
      </c>
      <c r="D1838">
        <v>1.27</v>
      </c>
      <c r="E1838" s="27">
        <v>157.48031499999999</v>
      </c>
      <c r="F1838">
        <v>3.87</v>
      </c>
      <c r="G1838">
        <v>4.17</v>
      </c>
      <c r="H1838">
        <v>8.0399999999999991</v>
      </c>
      <c r="I1838">
        <v>48.13</v>
      </c>
      <c r="J1838">
        <v>24.88</v>
      </c>
      <c r="K1838" s="9">
        <v>45337</v>
      </c>
      <c r="L1838">
        <f xml:space="preserve"> (交易處理資料__3[[#This Row],[售出工時]] * 60) / 5</f>
        <v>24</v>
      </c>
      <c r="M1838" t="str">
        <f>VLOOKUP(交易處理資料__3[[#This Row],[人員代號]],團隊分組!$B$1:$C$52,2,FALSE)</f>
        <v>查修團隊B</v>
      </c>
      <c r="N1838">
        <f>IF(交易處理資料__3[[#This Row],[上班時間]]=0,0,交易處理資料__3[[#This Row],[售出工時]]/交易處理資料__3[[#This Row],[上班時間]])</f>
        <v>0.24875621890547267</v>
      </c>
      <c r="O1838" s="31" t="str">
        <f>IF(交易處理資料__3[[#This Row],[上班時間]]=0,"否","是")</f>
        <v>是</v>
      </c>
    </row>
    <row r="1839" spans="1:15" hidden="1">
      <c r="A1839" t="s">
        <v>75</v>
      </c>
      <c r="B1839" t="s">
        <v>48</v>
      </c>
      <c r="C1839">
        <v>0</v>
      </c>
      <c r="D1839">
        <v>0</v>
      </c>
      <c r="E1839" s="27">
        <v>0</v>
      </c>
      <c r="F1839">
        <v>6.93</v>
      </c>
      <c r="G1839">
        <v>1.1399999999999999</v>
      </c>
      <c r="H1839">
        <v>8.07</v>
      </c>
      <c r="I1839">
        <v>85.87</v>
      </c>
      <c r="J1839">
        <v>0</v>
      </c>
      <c r="K1839" s="9">
        <v>45337</v>
      </c>
      <c r="L1839">
        <f xml:space="preserve"> (交易處理資料__3[[#This Row],[售出工時]] * 60) / 5</f>
        <v>0</v>
      </c>
      <c r="M1839" t="str">
        <f>VLOOKUP(交易處理資料__3[[#This Row],[人員代號]],團隊分組!$B$1:$C$52,2,FALSE)</f>
        <v>查修團隊A</v>
      </c>
      <c r="N1839">
        <f>IF(交易處理資料__3[[#This Row],[上班時間]]=0,0,交易處理資料__3[[#This Row],[售出工時]]/交易處理資料__3[[#This Row],[上班時間]])</f>
        <v>0</v>
      </c>
      <c r="O1839" s="31" t="str">
        <f>IF(交易處理資料__3[[#This Row],[上班時間]]=0,"否","是")</f>
        <v>是</v>
      </c>
    </row>
    <row r="1840" spans="1:15" hidden="1">
      <c r="A1840" t="s">
        <v>75</v>
      </c>
      <c r="B1840" t="s">
        <v>50</v>
      </c>
      <c r="C1840">
        <v>5.84</v>
      </c>
      <c r="D1840">
        <v>5.92</v>
      </c>
      <c r="E1840" s="27">
        <v>98.648648649999998</v>
      </c>
      <c r="F1840">
        <v>7.46</v>
      </c>
      <c r="G1840">
        <v>0.31</v>
      </c>
      <c r="H1840">
        <v>7.77</v>
      </c>
      <c r="I1840">
        <v>96.01</v>
      </c>
      <c r="J1840">
        <v>75.16</v>
      </c>
      <c r="K1840" s="9">
        <v>45337</v>
      </c>
      <c r="L1840">
        <f xml:space="preserve"> (交易處理資料__3[[#This Row],[售出工時]] * 60) / 5</f>
        <v>70.08</v>
      </c>
      <c r="M1840" t="str">
        <f>VLOOKUP(交易處理資料__3[[#This Row],[人員代號]],團隊分組!$B$1:$C$52,2,FALSE)</f>
        <v>快速保養團隊B</v>
      </c>
      <c r="N1840">
        <f>IF(交易處理資料__3[[#This Row],[上班時間]]=0,0,交易處理資料__3[[#This Row],[售出工時]]/交易處理資料__3[[#This Row],[上班時間]])</f>
        <v>0.75160875160875162</v>
      </c>
      <c r="O1840" s="31" t="str">
        <f>IF(交易處理資料__3[[#This Row],[上班時間]]=0,"否","是")</f>
        <v>是</v>
      </c>
    </row>
    <row r="1841" spans="1:15" hidden="1">
      <c r="A1841" t="s">
        <v>75</v>
      </c>
      <c r="B1841" t="s">
        <v>51</v>
      </c>
      <c r="C1841">
        <v>0</v>
      </c>
      <c r="D1841">
        <v>0</v>
      </c>
      <c r="E1841" s="27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 s="9">
        <v>45337</v>
      </c>
      <c r="L1841">
        <f xml:space="preserve"> (交易處理資料__3[[#This Row],[售出工時]] * 60) / 5</f>
        <v>0</v>
      </c>
      <c r="M1841" t="str">
        <f>VLOOKUP(交易處理資料__3[[#This Row],[人員代號]],團隊分組!$B$1:$C$52,2,FALSE)</f>
        <v>無效數據</v>
      </c>
      <c r="N1841">
        <f>IF(交易處理資料__3[[#This Row],[上班時間]]=0,0,交易處理資料__3[[#This Row],[售出工時]]/交易處理資料__3[[#This Row],[上班時間]])</f>
        <v>0</v>
      </c>
      <c r="O1841" s="31" t="str">
        <f>IF(交易處理資料__3[[#This Row],[上班時間]]=0,"否","是")</f>
        <v>否</v>
      </c>
    </row>
    <row r="1842" spans="1:15" hidden="1">
      <c r="A1842" t="s">
        <v>75</v>
      </c>
      <c r="B1842" t="s">
        <v>52</v>
      </c>
      <c r="C1842">
        <v>0.5</v>
      </c>
      <c r="D1842">
        <v>1.84</v>
      </c>
      <c r="E1842" s="27">
        <v>27.173913039999999</v>
      </c>
      <c r="F1842">
        <v>6.78</v>
      </c>
      <c r="G1842">
        <v>1.22</v>
      </c>
      <c r="H1842">
        <v>8</v>
      </c>
      <c r="I1842">
        <v>84.75</v>
      </c>
      <c r="J1842">
        <v>6.25</v>
      </c>
      <c r="K1842" s="9">
        <v>45337</v>
      </c>
      <c r="L1842">
        <f xml:space="preserve"> (交易處理資料__3[[#This Row],[售出工時]] * 60) / 5</f>
        <v>6</v>
      </c>
      <c r="M1842" t="str">
        <f>VLOOKUP(交易處理資料__3[[#This Row],[人員代號]],團隊分組!$B$1:$C$52,2,FALSE)</f>
        <v>查修團隊B</v>
      </c>
      <c r="N1842">
        <f>IF(交易處理資料__3[[#This Row],[上班時間]]=0,0,交易處理資料__3[[#This Row],[售出工時]]/交易處理資料__3[[#This Row],[上班時間]])</f>
        <v>6.25E-2</v>
      </c>
      <c r="O1842" s="31" t="str">
        <f>IF(交易處理資料__3[[#This Row],[上班時間]]=0,"否","是")</f>
        <v>是</v>
      </c>
    </row>
    <row r="1843" spans="1:15" hidden="1">
      <c r="A1843" t="s">
        <v>75</v>
      </c>
      <c r="B1843" t="s">
        <v>53</v>
      </c>
      <c r="C1843">
        <v>3.3333333330000001</v>
      </c>
      <c r="D1843">
        <v>6.24</v>
      </c>
      <c r="E1843" s="27">
        <v>53.418803420000003</v>
      </c>
      <c r="F1843">
        <v>9.23</v>
      </c>
      <c r="G1843">
        <v>0.21</v>
      </c>
      <c r="H1843">
        <v>9.44</v>
      </c>
      <c r="I1843">
        <v>97.78</v>
      </c>
      <c r="J1843">
        <v>35.31</v>
      </c>
      <c r="K1843" s="9">
        <v>45337</v>
      </c>
      <c r="L1843">
        <f xml:space="preserve"> (交易處理資料__3[[#This Row],[售出工時]] * 60) / 5</f>
        <v>39.999999996</v>
      </c>
      <c r="M1843" t="str">
        <f>VLOOKUP(交易處理資料__3[[#This Row],[人員代號]],團隊分組!$B$1:$C$52,2,FALSE)</f>
        <v>查修團隊A</v>
      </c>
      <c r="N1843">
        <f>IF(交易處理資料__3[[#This Row],[上班時間]]=0,0,交易處理資料__3[[#This Row],[售出工時]]/交易處理資料__3[[#This Row],[上班時間]])</f>
        <v>0.35310734459745768</v>
      </c>
      <c r="O1843" s="31" t="str">
        <f>IF(交易處理資料__3[[#This Row],[上班時間]]=0,"否","是")</f>
        <v>是</v>
      </c>
    </row>
    <row r="1844" spans="1:15" hidden="1">
      <c r="A1844" s="10" t="s">
        <v>73</v>
      </c>
      <c r="B1844" t="s">
        <v>1</v>
      </c>
      <c r="C1844">
        <v>0</v>
      </c>
      <c r="D1844">
        <v>0</v>
      </c>
      <c r="E1844" s="27">
        <v>0</v>
      </c>
      <c r="F1844">
        <v>7.08</v>
      </c>
      <c r="G1844">
        <v>1</v>
      </c>
      <c r="H1844">
        <v>8.08</v>
      </c>
      <c r="I1844">
        <v>87.62</v>
      </c>
      <c r="J1844">
        <v>0</v>
      </c>
      <c r="K1844" s="9">
        <v>45338</v>
      </c>
      <c r="L1844">
        <f xml:space="preserve"> (交易處理資料__3[[#This Row],[售出工時]] * 60) / 5</f>
        <v>0</v>
      </c>
      <c r="M1844" t="str">
        <f>VLOOKUP(交易處理資料__3[[#This Row],[人員代號]],團隊分組!$B$1:$C$52,2,FALSE)</f>
        <v>噴漆維修組</v>
      </c>
      <c r="N1844">
        <f>IF(交易處理資料__3[[#This Row],[上班時間]]=0,0,交易處理資料__3[[#This Row],[售出工時]]/交易處理資料__3[[#This Row],[上班時間]])</f>
        <v>0</v>
      </c>
      <c r="O1844" s="31" t="str">
        <f>IF(交易處理資料__3[[#This Row],[上班時間]]=0,"否","是")</f>
        <v>是</v>
      </c>
    </row>
    <row r="1845" spans="1:15" hidden="1">
      <c r="A1845" s="10" t="s">
        <v>73</v>
      </c>
      <c r="B1845" t="s">
        <v>2</v>
      </c>
      <c r="C1845">
        <v>1.57</v>
      </c>
      <c r="D1845">
        <v>7.95</v>
      </c>
      <c r="E1845" s="27">
        <v>19.748427670000002</v>
      </c>
      <c r="F1845">
        <v>7.82</v>
      </c>
      <c r="G1845">
        <v>0.2</v>
      </c>
      <c r="H1845">
        <v>8.02</v>
      </c>
      <c r="I1845">
        <v>97.51</v>
      </c>
      <c r="J1845">
        <v>19.579999999999998</v>
      </c>
      <c r="K1845" s="9">
        <v>45338</v>
      </c>
      <c r="L1845">
        <f xml:space="preserve"> (交易處理資料__3[[#This Row],[售出工時]] * 60) / 5</f>
        <v>18.84</v>
      </c>
      <c r="M1845" t="str">
        <f>VLOOKUP(交易處理資料__3[[#This Row],[人員代號]],團隊分組!$B$1:$C$52,2,FALSE)</f>
        <v>噴漆維修組</v>
      </c>
      <c r="N1845">
        <f>IF(交易處理資料__3[[#This Row],[上班時間]]=0,0,交易處理資料__3[[#This Row],[售出工時]]/交易處理資料__3[[#This Row],[上班時間]])</f>
        <v>0.19576059850374067</v>
      </c>
      <c r="O1845" s="31" t="str">
        <f>IF(交易處理資料__3[[#This Row],[上班時間]]=0,"否","是")</f>
        <v>是</v>
      </c>
    </row>
    <row r="1846" spans="1:15" hidden="1">
      <c r="A1846" s="10" t="s">
        <v>73</v>
      </c>
      <c r="B1846" t="s">
        <v>3</v>
      </c>
      <c r="C1846">
        <v>1.57</v>
      </c>
      <c r="D1846">
        <v>7.95</v>
      </c>
      <c r="E1846" s="27">
        <v>19.748427670000002</v>
      </c>
      <c r="F1846">
        <v>7.82</v>
      </c>
      <c r="G1846">
        <v>0.2</v>
      </c>
      <c r="H1846">
        <v>8.02</v>
      </c>
      <c r="I1846">
        <v>97.51</v>
      </c>
      <c r="J1846">
        <v>19.579999999999998</v>
      </c>
      <c r="K1846" s="9">
        <v>45338</v>
      </c>
      <c r="L1846">
        <f xml:space="preserve"> (交易處理資料__3[[#This Row],[售出工時]] * 60) / 5</f>
        <v>18.84</v>
      </c>
      <c r="M1846" t="str">
        <f>VLOOKUP(交易處理資料__3[[#This Row],[人員代號]],團隊分組!$B$1:$C$52,2,FALSE)</f>
        <v>噴漆維修組</v>
      </c>
      <c r="N1846">
        <f>IF(交易處理資料__3[[#This Row],[上班時間]]=0,0,交易處理資料__3[[#This Row],[售出工時]]/交易處理資料__3[[#This Row],[上班時間]])</f>
        <v>0.19576059850374067</v>
      </c>
      <c r="O1846" s="31" t="str">
        <f>IF(交易處理資料__3[[#This Row],[上班時間]]=0,"否","是")</f>
        <v>是</v>
      </c>
    </row>
    <row r="1847" spans="1:15" hidden="1">
      <c r="A1847" s="10" t="s">
        <v>73</v>
      </c>
      <c r="B1847" t="s">
        <v>4</v>
      </c>
      <c r="C1847">
        <v>0</v>
      </c>
      <c r="D1847">
        <v>0</v>
      </c>
      <c r="E1847" s="27">
        <v>0</v>
      </c>
      <c r="F1847">
        <v>7.1</v>
      </c>
      <c r="G1847">
        <v>0.98</v>
      </c>
      <c r="H1847">
        <v>8.08</v>
      </c>
      <c r="I1847">
        <v>87.87</v>
      </c>
      <c r="J1847">
        <v>0</v>
      </c>
      <c r="K1847" s="9">
        <v>45338</v>
      </c>
      <c r="L1847">
        <f xml:space="preserve"> (交易處理資料__3[[#This Row],[售出工時]] * 60) / 5</f>
        <v>0</v>
      </c>
      <c r="M1847" t="str">
        <f>VLOOKUP(交易處理資料__3[[#This Row],[人員代號]],團隊分組!$B$1:$C$52,2,FALSE)</f>
        <v>噴漆維修組</v>
      </c>
      <c r="N1847">
        <f>IF(交易處理資料__3[[#This Row],[上班時間]]=0,0,交易處理資料__3[[#This Row],[售出工時]]/交易處理資料__3[[#This Row],[上班時間]])</f>
        <v>0</v>
      </c>
      <c r="O1847" s="31" t="str">
        <f>IF(交易處理資料__3[[#This Row],[上班時間]]=0,"否","是")</f>
        <v>是</v>
      </c>
    </row>
    <row r="1848" spans="1:15" hidden="1">
      <c r="A1848" s="10" t="s">
        <v>73</v>
      </c>
      <c r="B1848" t="s">
        <v>6</v>
      </c>
      <c r="C1848">
        <v>2.94</v>
      </c>
      <c r="D1848">
        <v>7.95</v>
      </c>
      <c r="E1848" s="27">
        <v>36.981132080000002</v>
      </c>
      <c r="F1848">
        <v>7.8</v>
      </c>
      <c r="G1848">
        <v>0.2</v>
      </c>
      <c r="H1848">
        <v>8</v>
      </c>
      <c r="I1848">
        <v>97.5</v>
      </c>
      <c r="J1848">
        <v>36.75</v>
      </c>
      <c r="K1848" s="9">
        <v>45338</v>
      </c>
      <c r="L1848">
        <f xml:space="preserve"> (交易處理資料__3[[#This Row],[售出工時]] * 60) / 5</f>
        <v>35.28</v>
      </c>
      <c r="M1848" t="str">
        <f>VLOOKUP(交易處理資料__3[[#This Row],[人員代號]],團隊分組!$B$1:$C$52,2,FALSE)</f>
        <v>噴漆維修組</v>
      </c>
      <c r="N1848">
        <f>IF(交易處理資料__3[[#This Row],[上班時間]]=0,0,交易處理資料__3[[#This Row],[售出工時]]/交易處理資料__3[[#This Row],[上班時間]])</f>
        <v>0.36749999999999999</v>
      </c>
      <c r="O1848" s="31" t="str">
        <f>IF(交易處理資料__3[[#This Row],[上班時間]]=0,"否","是")</f>
        <v>是</v>
      </c>
    </row>
    <row r="1849" spans="1:15" hidden="1">
      <c r="A1849" s="10" t="s">
        <v>73</v>
      </c>
      <c r="B1849" t="s">
        <v>8</v>
      </c>
      <c r="C1849">
        <v>0</v>
      </c>
      <c r="D1849">
        <v>0</v>
      </c>
      <c r="E1849" s="27">
        <v>0</v>
      </c>
      <c r="F1849">
        <v>7.08</v>
      </c>
      <c r="G1849">
        <v>0.98</v>
      </c>
      <c r="H1849">
        <v>8.06</v>
      </c>
      <c r="I1849">
        <v>87.84</v>
      </c>
      <c r="J1849">
        <v>0</v>
      </c>
      <c r="K1849" s="9">
        <v>45338</v>
      </c>
      <c r="L1849">
        <f xml:space="preserve"> (交易處理資料__3[[#This Row],[售出工時]] * 60) / 5</f>
        <v>0</v>
      </c>
      <c r="M1849" t="str">
        <f>VLOOKUP(交易處理資料__3[[#This Row],[人員代號]],團隊分組!$B$1:$C$52,2,FALSE)</f>
        <v>噴漆維修組</v>
      </c>
      <c r="N1849">
        <f>IF(交易處理資料__3[[#This Row],[上班時間]]=0,0,交易處理資料__3[[#This Row],[售出工時]]/交易處理資料__3[[#This Row],[上班時間]])</f>
        <v>0</v>
      </c>
      <c r="O1849" s="31" t="str">
        <f>IF(交易處理資料__3[[#This Row],[上班時間]]=0,"否","是")</f>
        <v>是</v>
      </c>
    </row>
    <row r="1850" spans="1:15" hidden="1">
      <c r="A1850" s="10" t="s">
        <v>73</v>
      </c>
      <c r="B1850" t="s">
        <v>9</v>
      </c>
      <c r="C1850">
        <v>0</v>
      </c>
      <c r="D1850">
        <v>0</v>
      </c>
      <c r="E1850" s="27">
        <v>0</v>
      </c>
      <c r="F1850">
        <v>7.05</v>
      </c>
      <c r="G1850">
        <v>1</v>
      </c>
      <c r="H1850">
        <v>8.0500000000000007</v>
      </c>
      <c r="I1850">
        <v>87.58</v>
      </c>
      <c r="J1850">
        <v>0</v>
      </c>
      <c r="K1850" s="9">
        <v>45338</v>
      </c>
      <c r="L1850">
        <f xml:space="preserve"> (交易處理資料__3[[#This Row],[售出工時]] * 60) / 5</f>
        <v>0</v>
      </c>
      <c r="M1850" t="str">
        <f>VLOOKUP(交易處理資料__3[[#This Row],[人員代號]],團隊分組!$B$1:$C$52,2,FALSE)</f>
        <v>噴漆維修組</v>
      </c>
      <c r="N1850">
        <f>IF(交易處理資料__3[[#This Row],[上班時間]]=0,0,交易處理資料__3[[#This Row],[售出工時]]/交易處理資料__3[[#This Row],[上班時間]])</f>
        <v>0</v>
      </c>
      <c r="O1850" s="31" t="str">
        <f>IF(交易處理資料__3[[#This Row],[上班時間]]=0,"否","是")</f>
        <v>是</v>
      </c>
    </row>
    <row r="1851" spans="1:15" hidden="1">
      <c r="A1851" t="s">
        <v>74</v>
      </c>
      <c r="B1851" t="s">
        <v>12</v>
      </c>
      <c r="C1851">
        <v>0</v>
      </c>
      <c r="D1851">
        <v>0</v>
      </c>
      <c r="E1851" s="27">
        <v>0</v>
      </c>
      <c r="F1851">
        <v>4.51</v>
      </c>
      <c r="G1851">
        <v>3.56</v>
      </c>
      <c r="H1851">
        <v>8.07</v>
      </c>
      <c r="I1851">
        <v>55.89</v>
      </c>
      <c r="J1851">
        <v>0</v>
      </c>
      <c r="K1851" s="9">
        <v>45338</v>
      </c>
      <c r="L1851">
        <f xml:space="preserve"> (交易處理資料__3[[#This Row],[售出工時]] * 60) / 5</f>
        <v>0</v>
      </c>
      <c r="M1851" t="str">
        <f>VLOOKUP(交易處理資料__3[[#This Row],[人員代號]],團隊分組!$B$1:$C$52,2,FALSE)</f>
        <v>鈑金維修組</v>
      </c>
      <c r="N1851">
        <f>IF(交易處理資料__3[[#This Row],[上班時間]]=0,0,交易處理資料__3[[#This Row],[售出工時]]/交易處理資料__3[[#This Row],[上班時間]])</f>
        <v>0</v>
      </c>
      <c r="O1851" s="31" t="str">
        <f>IF(交易處理資料__3[[#This Row],[上班時間]]=0,"否","是")</f>
        <v>是</v>
      </c>
    </row>
    <row r="1852" spans="1:15" hidden="1">
      <c r="A1852" t="s">
        <v>74</v>
      </c>
      <c r="B1852" t="s">
        <v>14</v>
      </c>
      <c r="C1852">
        <v>8.59</v>
      </c>
      <c r="D1852">
        <v>7.79</v>
      </c>
      <c r="E1852" s="27">
        <v>110.26957640000001</v>
      </c>
      <c r="F1852">
        <v>6.42</v>
      </c>
      <c r="G1852">
        <v>1.67</v>
      </c>
      <c r="H1852">
        <v>8.09</v>
      </c>
      <c r="I1852">
        <v>79.36</v>
      </c>
      <c r="J1852">
        <v>106.18</v>
      </c>
      <c r="K1852" s="9">
        <v>45338</v>
      </c>
      <c r="L1852">
        <f xml:space="preserve"> (交易處理資料__3[[#This Row],[售出工時]] * 60) / 5</f>
        <v>103.08</v>
      </c>
      <c r="M1852" t="str">
        <f>VLOOKUP(交易處理資料__3[[#This Row],[人員代號]],團隊分組!$B$1:$C$52,2,FALSE)</f>
        <v>鈑金維修組</v>
      </c>
      <c r="N1852">
        <f>IF(交易處理資料__3[[#This Row],[上班時間]]=0,0,交易處理資料__3[[#This Row],[售出工時]]/交易處理資料__3[[#This Row],[上班時間]])</f>
        <v>1.0618046971569839</v>
      </c>
      <c r="O1852" s="31" t="str">
        <f>IF(交易處理資料__3[[#This Row],[上班時間]]=0,"否","是")</f>
        <v>是</v>
      </c>
    </row>
    <row r="1853" spans="1:15" hidden="1">
      <c r="A1853" t="s">
        <v>74</v>
      </c>
      <c r="B1853" t="s">
        <v>15</v>
      </c>
      <c r="C1853">
        <v>8.61</v>
      </c>
      <c r="D1853">
        <v>7.81</v>
      </c>
      <c r="E1853" s="27">
        <v>110.2432778</v>
      </c>
      <c r="F1853">
        <v>6.43</v>
      </c>
      <c r="G1853">
        <v>1.66</v>
      </c>
      <c r="H1853">
        <v>8.09</v>
      </c>
      <c r="I1853">
        <v>79.48</v>
      </c>
      <c r="J1853">
        <v>106.43</v>
      </c>
      <c r="K1853" s="9">
        <v>45338</v>
      </c>
      <c r="L1853">
        <f xml:space="preserve"> (交易處理資料__3[[#This Row],[售出工時]] * 60) / 5</f>
        <v>103.31999999999998</v>
      </c>
      <c r="M1853" t="str">
        <f>VLOOKUP(交易處理資料__3[[#This Row],[人員代號]],團隊分組!$B$1:$C$52,2,FALSE)</f>
        <v>鈑金維修組</v>
      </c>
      <c r="N1853">
        <f>IF(交易處理資料__3[[#This Row],[上班時間]]=0,0,交易處理資料__3[[#This Row],[售出工時]]/交易處理資料__3[[#This Row],[上班時間]])</f>
        <v>1.0642768850432633</v>
      </c>
      <c r="O1853" s="31" t="str">
        <f>IF(交易處理資料__3[[#This Row],[上班時間]]=0,"否","是")</f>
        <v>是</v>
      </c>
    </row>
    <row r="1854" spans="1:15" hidden="1">
      <c r="A1854" t="s">
        <v>75</v>
      </c>
      <c r="B1854" t="s">
        <v>17</v>
      </c>
      <c r="C1854">
        <v>9.85</v>
      </c>
      <c r="D1854">
        <v>7.19</v>
      </c>
      <c r="E1854" s="27">
        <v>136.99582749999999</v>
      </c>
      <c r="F1854">
        <v>5.61</v>
      </c>
      <c r="G1854">
        <v>2.6</v>
      </c>
      <c r="H1854">
        <v>8.2100000000000009</v>
      </c>
      <c r="I1854">
        <v>68.33</v>
      </c>
      <c r="J1854">
        <v>119.98</v>
      </c>
      <c r="K1854" s="9">
        <v>45338</v>
      </c>
      <c r="L1854">
        <f xml:space="preserve"> (交易處理資料__3[[#This Row],[售出工時]] * 60) / 5</f>
        <v>118.2</v>
      </c>
      <c r="M1854" t="str">
        <f>VLOOKUP(交易處理資料__3[[#This Row],[人員代號]],團隊分組!$B$1:$C$52,2,FALSE)</f>
        <v>快速保養團隊A</v>
      </c>
      <c r="N1854">
        <f>IF(交易處理資料__3[[#This Row],[上班時間]]=0,0,交易處理資料__3[[#This Row],[售出工時]]/交易處理資料__3[[#This Row],[上班時間]])</f>
        <v>1.199756394640682</v>
      </c>
      <c r="O1854" s="31" t="str">
        <f>IF(交易處理資料__3[[#This Row],[上班時間]]=0,"否","是")</f>
        <v>是</v>
      </c>
    </row>
    <row r="1855" spans="1:15" hidden="1">
      <c r="A1855" t="s">
        <v>75</v>
      </c>
      <c r="B1855" t="s">
        <v>18</v>
      </c>
      <c r="C1855">
        <v>0</v>
      </c>
      <c r="D1855">
        <v>0</v>
      </c>
      <c r="E1855" s="27">
        <v>0</v>
      </c>
      <c r="F1855">
        <v>7.25</v>
      </c>
      <c r="G1855">
        <v>0.89</v>
      </c>
      <c r="H1855">
        <v>8.14</v>
      </c>
      <c r="I1855">
        <v>89.07</v>
      </c>
      <c r="J1855">
        <v>0</v>
      </c>
      <c r="K1855" s="9">
        <v>45338</v>
      </c>
      <c r="L1855">
        <f xml:space="preserve"> (交易處理資料__3[[#This Row],[售出工時]] * 60) / 5</f>
        <v>0</v>
      </c>
      <c r="M1855" t="str">
        <f>VLOOKUP(交易處理資料__3[[#This Row],[人員代號]],團隊分組!$B$1:$C$52,2,FALSE)</f>
        <v>查修團隊B</v>
      </c>
      <c r="N1855">
        <f>IF(交易處理資料__3[[#This Row],[上班時間]]=0,0,交易處理資料__3[[#This Row],[售出工時]]/交易處理資料__3[[#This Row],[上班時間]])</f>
        <v>0</v>
      </c>
      <c r="O1855" s="31" t="str">
        <f>IF(交易處理資料__3[[#This Row],[上班時間]]=0,"否","是")</f>
        <v>是</v>
      </c>
    </row>
    <row r="1856" spans="1:15" hidden="1">
      <c r="A1856" t="s">
        <v>75</v>
      </c>
      <c r="B1856" t="s">
        <v>19</v>
      </c>
      <c r="C1856">
        <v>0.49</v>
      </c>
      <c r="D1856">
        <v>0.32</v>
      </c>
      <c r="E1856" s="27">
        <v>153.125</v>
      </c>
      <c r="F1856">
        <v>3.62</v>
      </c>
      <c r="G1856">
        <v>0.34</v>
      </c>
      <c r="H1856">
        <v>3.96</v>
      </c>
      <c r="I1856">
        <v>91.41</v>
      </c>
      <c r="J1856">
        <v>12.37</v>
      </c>
      <c r="K1856" s="9">
        <v>45338</v>
      </c>
      <c r="L1856">
        <f xml:space="preserve"> (交易處理資料__3[[#This Row],[售出工時]] * 60) / 5</f>
        <v>5.88</v>
      </c>
      <c r="M1856" t="str">
        <f>VLOOKUP(交易處理資料__3[[#This Row],[人員代號]],團隊分組!$B$1:$C$52,2,FALSE)</f>
        <v>查修團隊A</v>
      </c>
      <c r="N1856">
        <f>IF(交易處理資料__3[[#This Row],[上班時間]]=0,0,交易處理資料__3[[#This Row],[售出工時]]/交易處理資料__3[[#This Row],[上班時間]])</f>
        <v>0.12373737373737374</v>
      </c>
      <c r="O1856" s="31" t="str">
        <f>IF(交易處理資料__3[[#This Row],[上班時間]]=0,"否","是")</f>
        <v>是</v>
      </c>
    </row>
    <row r="1857" spans="1:15" hidden="1">
      <c r="A1857" t="s">
        <v>75</v>
      </c>
      <c r="B1857" t="s">
        <v>20</v>
      </c>
      <c r="C1857">
        <v>0.33333333300000001</v>
      </c>
      <c r="D1857">
        <v>0.67</v>
      </c>
      <c r="E1857" s="27">
        <v>49.751243780000003</v>
      </c>
      <c r="F1857">
        <v>0</v>
      </c>
      <c r="G1857">
        <v>8.2100000000000009</v>
      </c>
      <c r="H1857">
        <v>8.2100000000000009</v>
      </c>
      <c r="I1857">
        <v>0</v>
      </c>
      <c r="J1857">
        <v>4.0599999999999996</v>
      </c>
      <c r="K1857" s="9">
        <v>45338</v>
      </c>
      <c r="L1857">
        <f xml:space="preserve"> (交易處理資料__3[[#This Row],[售出工時]] * 60) / 5</f>
        <v>3.9999999960000006</v>
      </c>
      <c r="M1857" t="str">
        <f>VLOOKUP(交易處理資料__3[[#This Row],[人員代號]],團隊分組!$B$1:$C$52,2,FALSE)</f>
        <v>查修團隊B</v>
      </c>
      <c r="N1857">
        <f>IF(交易處理資料__3[[#This Row],[上班時間]]=0,0,交易處理資料__3[[#This Row],[售出工時]]/交易處理資料__3[[#This Row],[上班時間]])</f>
        <v>4.0600893179049934E-2</v>
      </c>
      <c r="O1857" s="31" t="str">
        <f>IF(交易處理資料__3[[#This Row],[上班時間]]=0,"否","是")</f>
        <v>是</v>
      </c>
    </row>
    <row r="1858" spans="1:15" hidden="1">
      <c r="A1858" t="s">
        <v>75</v>
      </c>
      <c r="B1858" t="s">
        <v>22</v>
      </c>
      <c r="C1858">
        <v>8.25</v>
      </c>
      <c r="D1858">
        <v>5.15</v>
      </c>
      <c r="E1858" s="27">
        <v>160.19417480000001</v>
      </c>
      <c r="F1858">
        <v>6.55</v>
      </c>
      <c r="G1858">
        <v>1.64</v>
      </c>
      <c r="H1858">
        <v>8.19</v>
      </c>
      <c r="I1858">
        <v>79.98</v>
      </c>
      <c r="J1858">
        <v>100.73</v>
      </c>
      <c r="K1858" s="9">
        <v>45338</v>
      </c>
      <c r="L1858">
        <f xml:space="preserve"> (交易處理資料__3[[#This Row],[售出工時]] * 60) / 5</f>
        <v>99</v>
      </c>
      <c r="M1858" t="str">
        <f>VLOOKUP(交易處理資料__3[[#This Row],[人員代號]],團隊分組!$B$1:$C$52,2,FALSE)</f>
        <v>快速保養團隊A</v>
      </c>
      <c r="N1858">
        <f>IF(交易處理資料__3[[#This Row],[上班時間]]=0,0,交易處理資料__3[[#This Row],[售出工時]]/交易處理資料__3[[#This Row],[上班時間]])</f>
        <v>1.0073260073260073</v>
      </c>
      <c r="O1858" s="31" t="str">
        <f>IF(交易處理資料__3[[#This Row],[上班時間]]=0,"否","是")</f>
        <v>是</v>
      </c>
    </row>
    <row r="1859" spans="1:15" hidden="1">
      <c r="A1859" t="s">
        <v>75</v>
      </c>
      <c r="B1859" t="s">
        <v>23</v>
      </c>
      <c r="C1859">
        <v>13.98666667</v>
      </c>
      <c r="D1859">
        <v>6.57</v>
      </c>
      <c r="E1859" s="27">
        <v>212.88685950000001</v>
      </c>
      <c r="F1859">
        <v>7.09</v>
      </c>
      <c r="G1859">
        <v>0.86</v>
      </c>
      <c r="H1859">
        <v>7.95</v>
      </c>
      <c r="I1859">
        <v>89.18</v>
      </c>
      <c r="J1859">
        <v>175.93</v>
      </c>
      <c r="K1859" s="9">
        <v>45338</v>
      </c>
      <c r="L1859">
        <f xml:space="preserve"> (交易處理資料__3[[#This Row],[售出工時]] * 60) / 5</f>
        <v>167.84000004000001</v>
      </c>
      <c r="M1859" t="str">
        <f>VLOOKUP(交易處理資料__3[[#This Row],[人員代號]],團隊分組!$B$1:$C$52,2,FALSE)</f>
        <v>快速保養團隊B</v>
      </c>
      <c r="N1859">
        <f>IF(交易處理資料__3[[#This Row],[上班時間]]=0,0,交易處理資料__3[[#This Row],[售出工時]]/交易處理資料__3[[#This Row],[上班時間]])</f>
        <v>1.7593291408805032</v>
      </c>
      <c r="O1859" s="31" t="str">
        <f>IF(交易處理資料__3[[#This Row],[上班時間]]=0,"否","是")</f>
        <v>是</v>
      </c>
    </row>
    <row r="1860" spans="1:15" hidden="1">
      <c r="A1860" t="s">
        <v>75</v>
      </c>
      <c r="B1860" t="s">
        <v>24</v>
      </c>
      <c r="C1860">
        <v>9.5666666669999998</v>
      </c>
      <c r="D1860">
        <v>6.25</v>
      </c>
      <c r="E1860" s="27">
        <v>153.06666670000001</v>
      </c>
      <c r="F1860">
        <v>7.95</v>
      </c>
      <c r="G1860">
        <v>1.92</v>
      </c>
      <c r="H1860">
        <v>9.8699999999999992</v>
      </c>
      <c r="I1860">
        <v>80.55</v>
      </c>
      <c r="J1860">
        <v>96.93</v>
      </c>
      <c r="K1860" s="9">
        <v>45338</v>
      </c>
      <c r="L1860">
        <f xml:space="preserve"> (交易處理資料__3[[#This Row],[售出工時]] * 60) / 5</f>
        <v>114.800000004</v>
      </c>
      <c r="M1860" t="str">
        <f>VLOOKUP(交易處理資料__3[[#This Row],[人員代號]],團隊分組!$B$1:$C$52,2,FALSE)</f>
        <v>快速保養團隊A</v>
      </c>
      <c r="N1860">
        <f>IF(交易處理資料__3[[#This Row],[上班時間]]=0,0,交易處理資料__3[[#This Row],[售出工時]]/交易處理資料__3[[#This Row],[上班時間]])</f>
        <v>0.96926713951367782</v>
      </c>
      <c r="O1860" s="31" t="str">
        <f>IF(交易處理資料__3[[#This Row],[上班時間]]=0,"否","是")</f>
        <v>是</v>
      </c>
    </row>
    <row r="1861" spans="1:15" hidden="1">
      <c r="A1861" t="s">
        <v>75</v>
      </c>
      <c r="B1861" t="s">
        <v>25</v>
      </c>
      <c r="C1861">
        <v>1.25</v>
      </c>
      <c r="D1861">
        <v>1.68</v>
      </c>
      <c r="E1861" s="27">
        <v>74.404761899999997</v>
      </c>
      <c r="F1861">
        <v>8.82</v>
      </c>
      <c r="G1861">
        <v>0.88</v>
      </c>
      <c r="H1861">
        <v>9.6999999999999993</v>
      </c>
      <c r="I1861">
        <v>90.93</v>
      </c>
      <c r="J1861">
        <v>12.89</v>
      </c>
      <c r="K1861" s="9">
        <v>45338</v>
      </c>
      <c r="L1861">
        <f xml:space="preserve"> (交易處理資料__3[[#This Row],[售出工時]] * 60) / 5</f>
        <v>15</v>
      </c>
      <c r="M1861" t="str">
        <f>VLOOKUP(交易處理資料__3[[#This Row],[人員代號]],團隊分組!$B$1:$C$52,2,FALSE)</f>
        <v>查修團隊A</v>
      </c>
      <c r="N1861">
        <f>IF(交易處理資料__3[[#This Row],[上班時間]]=0,0,交易處理資料__3[[#This Row],[售出工時]]/交易處理資料__3[[#This Row],[上班時間]])</f>
        <v>0.12886597938144331</v>
      </c>
      <c r="O1861" s="31" t="str">
        <f>IF(交易處理資料__3[[#This Row],[上班時間]]=0,"否","是")</f>
        <v>是</v>
      </c>
    </row>
    <row r="1862" spans="1:15" hidden="1">
      <c r="A1862" t="s">
        <v>75</v>
      </c>
      <c r="B1862" t="s">
        <v>26</v>
      </c>
      <c r="C1862">
        <v>3.5</v>
      </c>
      <c r="D1862">
        <v>2.06</v>
      </c>
      <c r="E1862" s="27">
        <v>169.90291260000001</v>
      </c>
      <c r="F1862">
        <v>3.41</v>
      </c>
      <c r="G1862">
        <v>4.8</v>
      </c>
      <c r="H1862">
        <v>8.2100000000000009</v>
      </c>
      <c r="I1862">
        <v>41.53</v>
      </c>
      <c r="J1862">
        <v>42.63</v>
      </c>
      <c r="K1862" s="9">
        <v>45338</v>
      </c>
      <c r="L1862">
        <f xml:space="preserve"> (交易處理資料__3[[#This Row],[售出工時]] * 60) / 5</f>
        <v>42</v>
      </c>
      <c r="M1862" t="str">
        <f>VLOOKUP(交易處理資料__3[[#This Row],[人員代號]],團隊分組!$B$1:$C$52,2,FALSE)</f>
        <v>查修團隊B</v>
      </c>
      <c r="N1862">
        <f>IF(交易處理資料__3[[#This Row],[上班時間]]=0,0,交易處理資料__3[[#This Row],[售出工時]]/交易處理資料__3[[#This Row],[上班時間]])</f>
        <v>0.42630937880633368</v>
      </c>
      <c r="O1862" s="31" t="str">
        <f>IF(交易處理資料__3[[#This Row],[上班時間]]=0,"否","是")</f>
        <v>是</v>
      </c>
    </row>
    <row r="1863" spans="1:15" hidden="1">
      <c r="A1863" t="s">
        <v>75</v>
      </c>
      <c r="B1863" t="s">
        <v>28</v>
      </c>
      <c r="C1863">
        <v>6.75</v>
      </c>
      <c r="D1863">
        <v>6.05</v>
      </c>
      <c r="E1863" s="27">
        <v>111.5702479</v>
      </c>
      <c r="F1863">
        <v>6.92</v>
      </c>
      <c r="G1863">
        <v>1.39</v>
      </c>
      <c r="H1863">
        <v>8.31</v>
      </c>
      <c r="I1863">
        <v>83.27</v>
      </c>
      <c r="J1863">
        <v>81.23</v>
      </c>
      <c r="K1863" s="9">
        <v>45338</v>
      </c>
      <c r="L1863">
        <f xml:space="preserve"> (交易處理資料__3[[#This Row],[售出工時]] * 60) / 5</f>
        <v>81</v>
      </c>
      <c r="M1863" t="str">
        <f>VLOOKUP(交易處理資料__3[[#This Row],[人員代號]],團隊分組!$B$1:$C$52,2,FALSE)</f>
        <v>快速保養團隊A</v>
      </c>
      <c r="N1863">
        <f>IF(交易處理資料__3[[#This Row],[上班時間]]=0,0,交易處理資料__3[[#This Row],[售出工時]]/交易處理資料__3[[#This Row],[上班時間]])</f>
        <v>0.81227436823104693</v>
      </c>
      <c r="O1863" s="31" t="str">
        <f>IF(交易處理資料__3[[#This Row],[上班時間]]=0,"否","是")</f>
        <v>是</v>
      </c>
    </row>
    <row r="1864" spans="1:15" hidden="1">
      <c r="A1864" t="s">
        <v>75</v>
      </c>
      <c r="B1864" t="s">
        <v>29</v>
      </c>
      <c r="C1864">
        <v>0</v>
      </c>
      <c r="D1864">
        <v>0</v>
      </c>
      <c r="E1864" s="27">
        <v>0</v>
      </c>
      <c r="F1864">
        <v>5.08</v>
      </c>
      <c r="G1864">
        <v>2.98</v>
      </c>
      <c r="H1864">
        <v>8.06</v>
      </c>
      <c r="I1864">
        <v>63.03</v>
      </c>
      <c r="J1864">
        <v>0</v>
      </c>
      <c r="K1864" s="9">
        <v>45338</v>
      </c>
      <c r="L1864">
        <f xml:space="preserve"> (交易處理資料__3[[#This Row],[售出工時]] * 60) / 5</f>
        <v>0</v>
      </c>
      <c r="M1864" t="str">
        <f>VLOOKUP(交易處理資料__3[[#This Row],[人員代號]],團隊分組!$B$1:$C$52,2,FALSE)</f>
        <v>查修團隊B</v>
      </c>
      <c r="N1864">
        <f>IF(交易處理資料__3[[#This Row],[上班時間]]=0,0,交易處理資料__3[[#This Row],[售出工時]]/交易處理資料__3[[#This Row],[上班時間]])</f>
        <v>0</v>
      </c>
      <c r="O1864" s="31" t="str">
        <f>IF(交易處理資料__3[[#This Row],[上班時間]]=0,"否","是")</f>
        <v>是</v>
      </c>
    </row>
    <row r="1865" spans="1:15" hidden="1">
      <c r="A1865" t="s">
        <v>75</v>
      </c>
      <c r="B1865" t="s">
        <v>32</v>
      </c>
      <c r="C1865">
        <v>6.4066666669999996</v>
      </c>
      <c r="D1865">
        <v>3.99</v>
      </c>
      <c r="E1865" s="27">
        <v>160.5680869</v>
      </c>
      <c r="F1865">
        <v>7.2</v>
      </c>
      <c r="G1865">
        <v>0.79</v>
      </c>
      <c r="H1865">
        <v>7.99</v>
      </c>
      <c r="I1865">
        <v>90.11</v>
      </c>
      <c r="J1865">
        <v>80.180000000000007</v>
      </c>
      <c r="K1865" s="9">
        <v>45338</v>
      </c>
      <c r="L1865">
        <f xml:space="preserve"> (交易處理資料__3[[#This Row],[售出工時]] * 60) / 5</f>
        <v>76.880000003999996</v>
      </c>
      <c r="M1865" t="str">
        <f>VLOOKUP(交易處理資料__3[[#This Row],[人員代號]],團隊分組!$B$1:$C$52,2,FALSE)</f>
        <v>快速保養團隊B</v>
      </c>
      <c r="N1865">
        <f>IF(交易處理資料__3[[#This Row],[上班時間]]=0,0,交易處理資料__3[[#This Row],[售出工時]]/交易處理資料__3[[#This Row],[上班時間]])</f>
        <v>0.80183562790988727</v>
      </c>
      <c r="O1865" s="31" t="str">
        <f>IF(交易處理資料__3[[#This Row],[上班時間]]=0,"否","是")</f>
        <v>是</v>
      </c>
    </row>
    <row r="1866" spans="1:15">
      <c r="A1866" t="s">
        <v>75</v>
      </c>
      <c r="B1866" t="s">
        <v>33</v>
      </c>
      <c r="C1866">
        <v>0</v>
      </c>
      <c r="D1866">
        <v>0</v>
      </c>
      <c r="E1866" s="27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 s="9">
        <v>45338</v>
      </c>
      <c r="L1866">
        <f xml:space="preserve"> (交易處理資料__3[[#This Row],[售出工時]] * 60) / 5</f>
        <v>0</v>
      </c>
      <c r="M1866" t="str">
        <f>VLOOKUP(交易處理資料__3[[#This Row],[人員代號]],團隊分組!$B$1:$C$52,2,FALSE)</f>
        <v>快速保養團隊B</v>
      </c>
      <c r="N1866">
        <f>IF(交易處理資料__3[[#This Row],[上班時間]]=0,0,交易處理資料__3[[#This Row],[售出工時]]/交易處理資料__3[[#This Row],[上班時間]])</f>
        <v>0</v>
      </c>
      <c r="O1866" s="31" t="str">
        <f>IF(交易處理資料__3[[#This Row],[上班時間]]=0,"否","是")</f>
        <v>否</v>
      </c>
    </row>
    <row r="1867" spans="1:15" hidden="1">
      <c r="A1867" t="s">
        <v>75</v>
      </c>
      <c r="B1867" t="s">
        <v>34</v>
      </c>
      <c r="C1867">
        <v>7.1666666670000003</v>
      </c>
      <c r="D1867">
        <v>4.87</v>
      </c>
      <c r="E1867" s="27">
        <v>147.15947980000001</v>
      </c>
      <c r="F1867">
        <v>7.49</v>
      </c>
      <c r="G1867">
        <v>0.66</v>
      </c>
      <c r="H1867">
        <v>8.15</v>
      </c>
      <c r="I1867">
        <v>91.9</v>
      </c>
      <c r="J1867">
        <v>87.93</v>
      </c>
      <c r="K1867" s="9">
        <v>45338</v>
      </c>
      <c r="L1867">
        <f xml:space="preserve"> (交易處理資料__3[[#This Row],[售出工時]] * 60) / 5</f>
        <v>86.000000004</v>
      </c>
      <c r="M1867" t="str">
        <f>VLOOKUP(交易處理資料__3[[#This Row],[人員代號]],團隊分組!$B$1:$C$52,2,FALSE)</f>
        <v>快速保養團隊A</v>
      </c>
      <c r="N1867">
        <f>IF(交易處理資料__3[[#This Row],[上班時間]]=0,0,交易處理資料__3[[#This Row],[售出工時]]/交易處理資料__3[[#This Row],[上班時間]])</f>
        <v>0.87934560331288347</v>
      </c>
      <c r="O1867" s="31" t="str">
        <f>IF(交易處理資料__3[[#This Row],[上班時間]]=0,"否","是")</f>
        <v>是</v>
      </c>
    </row>
    <row r="1868" spans="1:15" hidden="1">
      <c r="A1868" t="s">
        <v>75</v>
      </c>
      <c r="B1868" t="s">
        <v>35</v>
      </c>
      <c r="C1868">
        <v>2.1666666669999999</v>
      </c>
      <c r="D1868">
        <v>2.87</v>
      </c>
      <c r="E1868" s="27">
        <v>75.493612080000005</v>
      </c>
      <c r="F1868">
        <v>6.4</v>
      </c>
      <c r="G1868">
        <v>1.83</v>
      </c>
      <c r="H1868">
        <v>8.23</v>
      </c>
      <c r="I1868">
        <v>77.760000000000005</v>
      </c>
      <c r="J1868">
        <v>26.33</v>
      </c>
      <c r="K1868" s="9">
        <v>45338</v>
      </c>
      <c r="L1868">
        <f xml:space="preserve"> (交易處理資料__3[[#This Row],[售出工時]] * 60) / 5</f>
        <v>26.000000003999997</v>
      </c>
      <c r="M1868" t="str">
        <f>VLOOKUP(交易處理資料__3[[#This Row],[人員代號]],團隊分組!$B$1:$C$52,2,FALSE)</f>
        <v>查修團隊B</v>
      </c>
      <c r="N1868">
        <f>IF(交易處理資料__3[[#This Row],[上班時間]]=0,0,交易處理資料__3[[#This Row],[售出工時]]/交易處理資料__3[[#This Row],[上班時間]])</f>
        <v>0.26326447958687726</v>
      </c>
      <c r="O1868" s="31" t="str">
        <f>IF(交易處理資料__3[[#This Row],[上班時間]]=0,"否","是")</f>
        <v>是</v>
      </c>
    </row>
    <row r="1869" spans="1:15" hidden="1">
      <c r="A1869" t="s">
        <v>75</v>
      </c>
      <c r="B1869" t="s">
        <v>38</v>
      </c>
      <c r="C1869">
        <v>12.08333333</v>
      </c>
      <c r="D1869">
        <v>6.8</v>
      </c>
      <c r="E1869" s="27">
        <v>177.6960784</v>
      </c>
      <c r="F1869">
        <v>8.9700000000000006</v>
      </c>
      <c r="G1869">
        <v>0.91</v>
      </c>
      <c r="H1869">
        <v>9.8800000000000008</v>
      </c>
      <c r="I1869">
        <v>90.79</v>
      </c>
      <c r="J1869">
        <v>122.3</v>
      </c>
      <c r="K1869" s="9">
        <v>45338</v>
      </c>
      <c r="L1869">
        <f xml:space="preserve"> (交易處理資料__3[[#This Row],[售出工時]] * 60) / 5</f>
        <v>144.99999996000003</v>
      </c>
      <c r="M1869" t="str">
        <f>VLOOKUP(交易處理資料__3[[#This Row],[人員代號]],團隊分組!$B$1:$C$52,2,FALSE)</f>
        <v>快速保養團隊A</v>
      </c>
      <c r="N1869">
        <f>IF(交易處理資料__3[[#This Row],[上班時間]]=0,0,交易處理資料__3[[#This Row],[售出工時]]/交易處理資料__3[[#This Row],[上班時間]])</f>
        <v>1.2230094463562753</v>
      </c>
      <c r="O1869" s="31" t="str">
        <f>IF(交易處理資料__3[[#This Row],[上班時間]]=0,"否","是")</f>
        <v>是</v>
      </c>
    </row>
    <row r="1870" spans="1:15" hidden="1">
      <c r="A1870" t="s">
        <v>75</v>
      </c>
      <c r="B1870" t="s">
        <v>40</v>
      </c>
      <c r="C1870">
        <v>6.8333333329999997</v>
      </c>
      <c r="D1870">
        <v>7.06</v>
      </c>
      <c r="E1870" s="27">
        <v>96.789423979999995</v>
      </c>
      <c r="F1870">
        <v>6.54</v>
      </c>
      <c r="G1870">
        <v>1.85</v>
      </c>
      <c r="H1870">
        <v>8.39</v>
      </c>
      <c r="I1870">
        <v>77.95</v>
      </c>
      <c r="J1870">
        <v>81.45</v>
      </c>
      <c r="K1870" s="9">
        <v>45338</v>
      </c>
      <c r="L1870">
        <f xml:space="preserve"> (交易處理資料__3[[#This Row],[售出工時]] * 60) / 5</f>
        <v>81.999999996</v>
      </c>
      <c r="M1870" t="str">
        <f>VLOOKUP(交易處理資料__3[[#This Row],[人員代號]],團隊分組!$B$1:$C$52,2,FALSE)</f>
        <v>查修團隊A</v>
      </c>
      <c r="N1870">
        <f>IF(交易處理資料__3[[#This Row],[上班時間]]=0,0,交易處理資料__3[[#This Row],[售出工時]]/交易處理資料__3[[#This Row],[上班時間]])</f>
        <v>0.81446166066746117</v>
      </c>
      <c r="O1870" s="31" t="str">
        <f>IF(交易處理資料__3[[#This Row],[上班時間]]=0,"否","是")</f>
        <v>是</v>
      </c>
    </row>
    <row r="1871" spans="1:15" hidden="1">
      <c r="A1871" t="s">
        <v>75</v>
      </c>
      <c r="B1871" t="s">
        <v>41</v>
      </c>
      <c r="C1871">
        <v>12.75</v>
      </c>
      <c r="D1871">
        <v>8.43</v>
      </c>
      <c r="E1871" s="27">
        <v>151.2455516</v>
      </c>
      <c r="F1871">
        <v>9.31</v>
      </c>
      <c r="G1871">
        <v>0.56999999999999995</v>
      </c>
      <c r="H1871">
        <v>9.8800000000000008</v>
      </c>
      <c r="I1871">
        <v>94.23</v>
      </c>
      <c r="J1871">
        <v>129.05000000000001</v>
      </c>
      <c r="K1871" s="9">
        <v>45338</v>
      </c>
      <c r="L1871">
        <f xml:space="preserve"> (交易處理資料__3[[#This Row],[售出工時]] * 60) / 5</f>
        <v>153</v>
      </c>
      <c r="M1871" t="str">
        <f>VLOOKUP(交易處理資料__3[[#This Row],[人員代號]],團隊分組!$B$1:$C$52,2,FALSE)</f>
        <v>快速保養團隊A</v>
      </c>
      <c r="N1871">
        <f>IF(交易處理資料__3[[#This Row],[上班時間]]=0,0,交易處理資料__3[[#This Row],[售出工時]]/交易處理資料__3[[#This Row],[上班時間]])</f>
        <v>1.2904858299595141</v>
      </c>
      <c r="O1871" s="31" t="str">
        <f>IF(交易處理資料__3[[#This Row],[上班時間]]=0,"否","是")</f>
        <v>是</v>
      </c>
    </row>
    <row r="1872" spans="1:15" hidden="1">
      <c r="A1872" t="s">
        <v>75</v>
      </c>
      <c r="B1872" t="s">
        <v>43</v>
      </c>
      <c r="C1872">
        <v>0</v>
      </c>
      <c r="D1872">
        <v>0</v>
      </c>
      <c r="E1872" s="27">
        <v>0</v>
      </c>
      <c r="F1872">
        <v>7.09</v>
      </c>
      <c r="G1872">
        <v>0.99</v>
      </c>
      <c r="H1872">
        <v>8.08</v>
      </c>
      <c r="I1872">
        <v>87.75</v>
      </c>
      <c r="J1872">
        <v>0</v>
      </c>
      <c r="K1872" s="9">
        <v>45338</v>
      </c>
      <c r="L1872">
        <f xml:space="preserve"> (交易處理資料__3[[#This Row],[售出工時]] * 60) / 5</f>
        <v>0</v>
      </c>
      <c r="M1872" t="str">
        <f>VLOOKUP(交易處理資料__3[[#This Row],[人員代號]],團隊分組!$B$1:$C$52,2,FALSE)</f>
        <v>查修團隊B</v>
      </c>
      <c r="N1872">
        <f>IF(交易處理資料__3[[#This Row],[上班時間]]=0,0,交易處理資料__3[[#This Row],[售出工時]]/交易處理資料__3[[#This Row],[上班時間]])</f>
        <v>0</v>
      </c>
      <c r="O1872" s="31" t="str">
        <f>IF(交易處理資料__3[[#This Row],[上班時間]]=0,"否","是")</f>
        <v>是</v>
      </c>
    </row>
    <row r="1873" spans="1:15" hidden="1">
      <c r="A1873" t="s">
        <v>75</v>
      </c>
      <c r="B1873" t="s">
        <v>44</v>
      </c>
      <c r="C1873">
        <v>5.28</v>
      </c>
      <c r="D1873">
        <v>5.91</v>
      </c>
      <c r="E1873" s="27">
        <v>89.340101520000005</v>
      </c>
      <c r="F1873">
        <v>7.53</v>
      </c>
      <c r="G1873">
        <v>0.45</v>
      </c>
      <c r="H1873">
        <v>7.98</v>
      </c>
      <c r="I1873">
        <v>94.36</v>
      </c>
      <c r="J1873">
        <v>66.17</v>
      </c>
      <c r="K1873" s="9">
        <v>45338</v>
      </c>
      <c r="L1873">
        <f xml:space="preserve"> (交易處理資料__3[[#This Row],[售出工時]] * 60) / 5</f>
        <v>63.36</v>
      </c>
      <c r="M1873" t="str">
        <f>VLOOKUP(交易處理資料__3[[#This Row],[人員代號]],團隊分組!$B$1:$C$52,2,FALSE)</f>
        <v>快速保養團隊B</v>
      </c>
      <c r="N1873">
        <f>IF(交易處理資料__3[[#This Row],[上班時間]]=0,0,交易處理資料__3[[#This Row],[售出工時]]/交易處理資料__3[[#This Row],[上班時間]])</f>
        <v>0.66165413533834583</v>
      </c>
      <c r="O1873" s="31" t="str">
        <f>IF(交易處理資料__3[[#This Row],[上班時間]]=0,"否","是")</f>
        <v>是</v>
      </c>
    </row>
    <row r="1874" spans="1:15" hidden="1">
      <c r="A1874" t="s">
        <v>75</v>
      </c>
      <c r="B1874" t="s">
        <v>45</v>
      </c>
      <c r="C1874">
        <v>9.1666666669999994</v>
      </c>
      <c r="D1874">
        <v>5.36</v>
      </c>
      <c r="E1874" s="27">
        <v>171.01990050000001</v>
      </c>
      <c r="F1874">
        <v>7.24</v>
      </c>
      <c r="G1874">
        <v>0.99</v>
      </c>
      <c r="H1874">
        <v>8.23</v>
      </c>
      <c r="I1874">
        <v>87.97</v>
      </c>
      <c r="J1874">
        <v>111.38</v>
      </c>
      <c r="K1874" s="9">
        <v>45338</v>
      </c>
      <c r="L1874">
        <f xml:space="preserve"> (交易處理資料__3[[#This Row],[售出工時]] * 60) / 5</f>
        <v>110.000000004</v>
      </c>
      <c r="M1874" t="str">
        <f>VLOOKUP(交易處理資料__3[[#This Row],[人員代號]],團隊分組!$B$1:$C$52,2,FALSE)</f>
        <v>快速保養團隊A</v>
      </c>
      <c r="N1874">
        <f>IF(交易處理資料__3[[#This Row],[上班時間]]=0,0,交易處理資料__3[[#This Row],[售出工時]]/交易處理資料__3[[#This Row],[上班時間]])</f>
        <v>1.1138112596597811</v>
      </c>
      <c r="O1874" s="31" t="str">
        <f>IF(交易處理資料__3[[#This Row],[上班時間]]=0,"否","是")</f>
        <v>是</v>
      </c>
    </row>
    <row r="1875" spans="1:15" hidden="1">
      <c r="A1875" t="s">
        <v>75</v>
      </c>
      <c r="B1875" t="s">
        <v>46</v>
      </c>
      <c r="C1875">
        <v>2.8333333330000001</v>
      </c>
      <c r="D1875">
        <v>3.73</v>
      </c>
      <c r="E1875" s="27">
        <v>75.96067918</v>
      </c>
      <c r="F1875">
        <v>5.8</v>
      </c>
      <c r="G1875">
        <v>2.25</v>
      </c>
      <c r="H1875">
        <v>8.0500000000000007</v>
      </c>
      <c r="I1875">
        <v>72.05</v>
      </c>
      <c r="J1875">
        <v>35.200000000000003</v>
      </c>
      <c r="K1875" s="9">
        <v>45338</v>
      </c>
      <c r="L1875">
        <f xml:space="preserve"> (交易處理資料__3[[#This Row],[售出工時]] * 60) / 5</f>
        <v>33.999999996</v>
      </c>
      <c r="M1875" t="str">
        <f>VLOOKUP(交易處理資料__3[[#This Row],[人員代號]],團隊分組!$B$1:$C$52,2,FALSE)</f>
        <v>查修團隊B</v>
      </c>
      <c r="N1875">
        <f>IF(交易處理資料__3[[#This Row],[上班時間]]=0,0,交易處理資料__3[[#This Row],[售出工時]]/交易處理資料__3[[#This Row],[上班時間]])</f>
        <v>0.35196687366459628</v>
      </c>
      <c r="O1875" s="31" t="str">
        <f>IF(交易處理資料__3[[#This Row],[上班時間]]=0,"否","是")</f>
        <v>是</v>
      </c>
    </row>
    <row r="1876" spans="1:15" hidden="1">
      <c r="A1876" t="s">
        <v>75</v>
      </c>
      <c r="B1876" t="s">
        <v>47</v>
      </c>
      <c r="C1876">
        <v>0.91666666699999999</v>
      </c>
      <c r="D1876">
        <v>1.65</v>
      </c>
      <c r="E1876" s="27">
        <v>55.555555560000002</v>
      </c>
      <c r="F1876">
        <v>6.32</v>
      </c>
      <c r="G1876">
        <v>1.72</v>
      </c>
      <c r="H1876">
        <v>8.0399999999999991</v>
      </c>
      <c r="I1876">
        <v>78.61</v>
      </c>
      <c r="J1876">
        <v>11.4</v>
      </c>
      <c r="K1876" s="9">
        <v>45338</v>
      </c>
      <c r="L1876">
        <f xml:space="preserve"> (交易處理資料__3[[#This Row],[售出工時]] * 60) / 5</f>
        <v>11.000000004</v>
      </c>
      <c r="M1876" t="str">
        <f>VLOOKUP(交易處理資料__3[[#This Row],[人員代號]],團隊分組!$B$1:$C$52,2,FALSE)</f>
        <v>查修團隊B</v>
      </c>
      <c r="N1876">
        <f>IF(交易處理資料__3[[#This Row],[上班時間]]=0,0,交易處理資料__3[[#This Row],[售出工時]]/交易處理資料__3[[#This Row],[上班時間]])</f>
        <v>0.11401326703980101</v>
      </c>
      <c r="O1876" s="31" t="str">
        <f>IF(交易處理資料__3[[#This Row],[上班時間]]=0,"否","是")</f>
        <v>是</v>
      </c>
    </row>
    <row r="1877" spans="1:15" hidden="1">
      <c r="A1877" t="s">
        <v>75</v>
      </c>
      <c r="B1877" t="s">
        <v>48</v>
      </c>
      <c r="C1877">
        <v>4.6666666670000003</v>
      </c>
      <c r="D1877">
        <v>5.13</v>
      </c>
      <c r="E1877" s="27">
        <v>90.968161140000007</v>
      </c>
      <c r="F1877">
        <v>6.31</v>
      </c>
      <c r="G1877">
        <v>1.77</v>
      </c>
      <c r="H1877">
        <v>8.08</v>
      </c>
      <c r="I1877">
        <v>78.09</v>
      </c>
      <c r="J1877">
        <v>57.76</v>
      </c>
      <c r="K1877" s="9">
        <v>45338</v>
      </c>
      <c r="L1877">
        <f xml:space="preserve"> (交易處理資料__3[[#This Row],[售出工時]] * 60) / 5</f>
        <v>56.000000004</v>
      </c>
      <c r="M1877" t="str">
        <f>VLOOKUP(交易處理資料__3[[#This Row],[人員代號]],團隊分組!$B$1:$C$52,2,FALSE)</f>
        <v>查修團隊A</v>
      </c>
      <c r="N1877">
        <f>IF(交易處理資料__3[[#This Row],[上班時間]]=0,0,交易處理資料__3[[#This Row],[售出工時]]/交易處理資料__3[[#This Row],[上班時間]])</f>
        <v>0.57755775581683166</v>
      </c>
      <c r="O1877" s="31" t="str">
        <f>IF(交易處理資料__3[[#This Row],[上班時間]]=0,"否","是")</f>
        <v>是</v>
      </c>
    </row>
    <row r="1878" spans="1:15" hidden="1">
      <c r="A1878" t="s">
        <v>75</v>
      </c>
      <c r="B1878" t="s">
        <v>49</v>
      </c>
      <c r="C1878">
        <v>2.6766666670000001</v>
      </c>
      <c r="D1878">
        <v>2.0299999999999998</v>
      </c>
      <c r="E1878" s="27">
        <v>131.85550079999999</v>
      </c>
      <c r="F1878">
        <v>7.54</v>
      </c>
      <c r="G1878">
        <v>0.41</v>
      </c>
      <c r="H1878">
        <v>7.95</v>
      </c>
      <c r="I1878">
        <v>94.84</v>
      </c>
      <c r="J1878">
        <v>33.67</v>
      </c>
      <c r="K1878" s="9">
        <v>45338</v>
      </c>
      <c r="L1878">
        <f xml:space="preserve"> (交易處理資料__3[[#This Row],[售出工時]] * 60) / 5</f>
        <v>32.120000004000005</v>
      </c>
      <c r="M1878" t="str">
        <f>VLOOKUP(交易處理資料__3[[#This Row],[人員代號]],團隊分組!$B$1:$C$52,2,FALSE)</f>
        <v>查修團隊A</v>
      </c>
      <c r="N1878">
        <f>IF(交易處理資料__3[[#This Row],[上班時間]]=0,0,交易處理資料__3[[#This Row],[售出工時]]/交易處理資料__3[[#This Row],[上班時間]])</f>
        <v>0.33668763106918237</v>
      </c>
      <c r="O1878" s="31" t="str">
        <f>IF(交易處理資料__3[[#This Row],[上班時間]]=0,"否","是")</f>
        <v>是</v>
      </c>
    </row>
    <row r="1879" spans="1:15" hidden="1">
      <c r="A1879" t="s">
        <v>75</v>
      </c>
      <c r="B1879" t="s">
        <v>50</v>
      </c>
      <c r="C1879">
        <v>5.0533333330000003</v>
      </c>
      <c r="D1879">
        <v>5.87</v>
      </c>
      <c r="E1879" s="27">
        <v>86.087450309999994</v>
      </c>
      <c r="F1879">
        <v>7.55</v>
      </c>
      <c r="G1879">
        <v>0.36</v>
      </c>
      <c r="H1879">
        <v>7.91</v>
      </c>
      <c r="I1879">
        <v>95.45</v>
      </c>
      <c r="J1879">
        <v>63.89</v>
      </c>
      <c r="K1879" s="9">
        <v>45338</v>
      </c>
      <c r="L1879">
        <f xml:space="preserve"> (交易處理資料__3[[#This Row],[售出工時]] * 60) / 5</f>
        <v>60.639999996000007</v>
      </c>
      <c r="M1879" t="str">
        <f>VLOOKUP(交易處理資料__3[[#This Row],[人員代號]],團隊分組!$B$1:$C$52,2,FALSE)</f>
        <v>快速保養團隊B</v>
      </c>
      <c r="N1879">
        <f>IF(交易處理資料__3[[#This Row],[上班時間]]=0,0,交易處理資料__3[[#This Row],[售出工時]]/交易處理資料__3[[#This Row],[上班時間]])</f>
        <v>0.63885377155499368</v>
      </c>
      <c r="O1879" s="31" t="str">
        <f>IF(交易處理資料__3[[#This Row],[上班時間]]=0,"否","是")</f>
        <v>是</v>
      </c>
    </row>
    <row r="1880" spans="1:15" hidden="1">
      <c r="A1880" t="s">
        <v>75</v>
      </c>
      <c r="B1880" t="s">
        <v>51</v>
      </c>
      <c r="C1880">
        <v>0</v>
      </c>
      <c r="D1880">
        <v>0</v>
      </c>
      <c r="E1880" s="27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 s="9">
        <v>45338</v>
      </c>
      <c r="L1880">
        <f xml:space="preserve"> (交易處理資料__3[[#This Row],[售出工時]] * 60) / 5</f>
        <v>0</v>
      </c>
      <c r="M1880" t="str">
        <f>VLOOKUP(交易處理資料__3[[#This Row],[人員代號]],團隊分組!$B$1:$C$52,2,FALSE)</f>
        <v>無效數據</v>
      </c>
      <c r="N1880">
        <f>IF(交易處理資料__3[[#This Row],[上班時間]]=0,0,交易處理資料__3[[#This Row],[售出工時]]/交易處理資料__3[[#This Row],[上班時間]])</f>
        <v>0</v>
      </c>
      <c r="O1880" s="31" t="str">
        <f>IF(交易處理資料__3[[#This Row],[上班時間]]=0,"否","是")</f>
        <v>否</v>
      </c>
    </row>
    <row r="1881" spans="1:15" hidden="1">
      <c r="A1881" t="s">
        <v>75</v>
      </c>
      <c r="B1881" t="s">
        <v>52</v>
      </c>
      <c r="C1881">
        <v>0</v>
      </c>
      <c r="D1881">
        <v>0</v>
      </c>
      <c r="E1881" s="27">
        <v>0</v>
      </c>
      <c r="F1881">
        <v>9.6999999999999993</v>
      </c>
      <c r="G1881">
        <v>0.36</v>
      </c>
      <c r="H1881">
        <v>10.06</v>
      </c>
      <c r="I1881">
        <v>96.42</v>
      </c>
      <c r="J1881">
        <v>0</v>
      </c>
      <c r="K1881" s="9">
        <v>45338</v>
      </c>
      <c r="L1881">
        <f xml:space="preserve"> (交易處理資料__3[[#This Row],[售出工時]] * 60) / 5</f>
        <v>0</v>
      </c>
      <c r="M1881" t="str">
        <f>VLOOKUP(交易處理資料__3[[#This Row],[人員代號]],團隊分組!$B$1:$C$52,2,FALSE)</f>
        <v>查修團隊B</v>
      </c>
      <c r="N1881">
        <f>IF(交易處理資料__3[[#This Row],[上班時間]]=0,0,交易處理資料__3[[#This Row],[售出工時]]/交易處理資料__3[[#This Row],[上班時間]])</f>
        <v>0</v>
      </c>
      <c r="O1881" s="31" t="str">
        <f>IF(交易處理資料__3[[#This Row],[上班時間]]=0,"否","是")</f>
        <v>是</v>
      </c>
    </row>
    <row r="1882" spans="1:15" hidden="1">
      <c r="A1882" t="s">
        <v>75</v>
      </c>
      <c r="B1882" t="s">
        <v>53</v>
      </c>
      <c r="C1882">
        <v>4.6666666670000003</v>
      </c>
      <c r="D1882">
        <v>3.75</v>
      </c>
      <c r="E1882" s="27">
        <v>124.44444439999999</v>
      </c>
      <c r="F1882">
        <v>9.7200000000000006</v>
      </c>
      <c r="G1882">
        <v>0.21</v>
      </c>
      <c r="H1882">
        <v>9.93</v>
      </c>
      <c r="I1882">
        <v>97.89</v>
      </c>
      <c r="J1882">
        <v>47</v>
      </c>
      <c r="K1882" s="9">
        <v>45338</v>
      </c>
      <c r="L1882">
        <f xml:space="preserve"> (交易處理資料__3[[#This Row],[售出工時]] * 60) / 5</f>
        <v>56.000000004</v>
      </c>
      <c r="M1882" t="str">
        <f>VLOOKUP(交易處理資料__3[[#This Row],[人員代號]],團隊分組!$B$1:$C$52,2,FALSE)</f>
        <v>查修團隊A</v>
      </c>
      <c r="N1882">
        <f>IF(交易處理資料__3[[#This Row],[上班時間]]=0,0,交易處理資料__3[[#This Row],[售出工時]]/交易處理資料__3[[#This Row],[上班時間]])</f>
        <v>0.46995636122860024</v>
      </c>
      <c r="O1882" s="31" t="str">
        <f>IF(交易處理資料__3[[#This Row],[上班時間]]=0,"否","是")</f>
        <v>是</v>
      </c>
    </row>
    <row r="1883" spans="1:15" hidden="1">
      <c r="A1883" s="10" t="s">
        <v>73</v>
      </c>
      <c r="B1883" t="s">
        <v>1</v>
      </c>
      <c r="C1883">
        <v>0</v>
      </c>
      <c r="D1883">
        <v>0</v>
      </c>
      <c r="E1883" s="27">
        <v>0</v>
      </c>
      <c r="F1883">
        <v>6.77</v>
      </c>
      <c r="G1883">
        <v>1.25</v>
      </c>
      <c r="H1883">
        <v>8.02</v>
      </c>
      <c r="I1883">
        <v>84.41</v>
      </c>
      <c r="J1883">
        <v>0</v>
      </c>
      <c r="K1883" s="9">
        <v>45339</v>
      </c>
      <c r="L1883">
        <f xml:space="preserve"> (交易處理資料__3[[#This Row],[售出工時]] * 60) / 5</f>
        <v>0</v>
      </c>
      <c r="M1883" t="str">
        <f>VLOOKUP(交易處理資料__3[[#This Row],[人員代號]],團隊分組!$B$1:$C$52,2,FALSE)</f>
        <v>噴漆維修組</v>
      </c>
      <c r="N1883">
        <f>IF(交易處理資料__3[[#This Row],[上班時間]]=0,0,交易處理資料__3[[#This Row],[售出工時]]/交易處理資料__3[[#This Row],[上班時間]])</f>
        <v>0</v>
      </c>
      <c r="O1883" s="31" t="str">
        <f>IF(交易處理資料__3[[#This Row],[上班時間]]=0,"否","是")</f>
        <v>是</v>
      </c>
    </row>
    <row r="1884" spans="1:15" hidden="1">
      <c r="A1884" s="10" t="s">
        <v>73</v>
      </c>
      <c r="B1884" t="s">
        <v>2</v>
      </c>
      <c r="C1884">
        <v>0.78</v>
      </c>
      <c r="D1884">
        <v>3.77</v>
      </c>
      <c r="E1884" s="27">
        <v>20.689655170000002</v>
      </c>
      <c r="F1884">
        <v>6.8</v>
      </c>
      <c r="G1884">
        <v>1.21</v>
      </c>
      <c r="H1884">
        <v>8.01</v>
      </c>
      <c r="I1884">
        <v>84.89</v>
      </c>
      <c r="J1884">
        <v>9.74</v>
      </c>
      <c r="K1884" s="9">
        <v>45339</v>
      </c>
      <c r="L1884">
        <f xml:space="preserve"> (交易處理資料__3[[#This Row],[售出工時]] * 60) / 5</f>
        <v>9.3600000000000012</v>
      </c>
      <c r="M1884" t="str">
        <f>VLOOKUP(交易處理資料__3[[#This Row],[人員代號]],團隊分組!$B$1:$C$52,2,FALSE)</f>
        <v>噴漆維修組</v>
      </c>
      <c r="N1884">
        <f>IF(交易處理資料__3[[#This Row],[上班時間]]=0,0,交易處理資料__3[[#This Row],[售出工時]]/交易處理資料__3[[#This Row],[上班時間]])</f>
        <v>9.7378277153558054E-2</v>
      </c>
      <c r="O1884" s="31" t="str">
        <f>IF(交易處理資料__3[[#This Row],[上班時間]]=0,"否","是")</f>
        <v>是</v>
      </c>
    </row>
    <row r="1885" spans="1:15" hidden="1">
      <c r="A1885" s="10" t="s">
        <v>73</v>
      </c>
      <c r="B1885" t="s">
        <v>4</v>
      </c>
      <c r="C1885">
        <v>0</v>
      </c>
      <c r="D1885">
        <v>0</v>
      </c>
      <c r="E1885" s="27">
        <v>0</v>
      </c>
      <c r="F1885">
        <v>6.49</v>
      </c>
      <c r="G1885">
        <v>1.62</v>
      </c>
      <c r="H1885">
        <v>8.11</v>
      </c>
      <c r="I1885">
        <v>80.02</v>
      </c>
      <c r="J1885">
        <v>0</v>
      </c>
      <c r="K1885" s="9">
        <v>45339</v>
      </c>
      <c r="L1885">
        <f xml:space="preserve"> (交易處理資料__3[[#This Row],[售出工時]] * 60) / 5</f>
        <v>0</v>
      </c>
      <c r="M1885" t="str">
        <f>VLOOKUP(交易處理資料__3[[#This Row],[人員代號]],團隊分組!$B$1:$C$52,2,FALSE)</f>
        <v>噴漆維修組</v>
      </c>
      <c r="N1885">
        <f>IF(交易處理資料__3[[#This Row],[上班時間]]=0,0,交易處理資料__3[[#This Row],[售出工時]]/交易處理資料__3[[#This Row],[上班時間]])</f>
        <v>0</v>
      </c>
      <c r="O1885" s="31" t="str">
        <f>IF(交易處理資料__3[[#This Row],[上班時間]]=0,"否","是")</f>
        <v>是</v>
      </c>
    </row>
    <row r="1886" spans="1:15" hidden="1">
      <c r="A1886" s="10" t="s">
        <v>73</v>
      </c>
      <c r="B1886" t="s">
        <v>5</v>
      </c>
      <c r="C1886">
        <v>0</v>
      </c>
      <c r="D1886">
        <v>0</v>
      </c>
      <c r="E1886" s="27">
        <v>0</v>
      </c>
      <c r="F1886">
        <v>7.82</v>
      </c>
      <c r="G1886">
        <v>0.2</v>
      </c>
      <c r="H1886">
        <v>8.02</v>
      </c>
      <c r="I1886">
        <v>97.51</v>
      </c>
      <c r="J1886">
        <v>0</v>
      </c>
      <c r="K1886" s="9">
        <v>45339</v>
      </c>
      <c r="L1886">
        <f xml:space="preserve"> (交易處理資料__3[[#This Row],[售出工時]] * 60) / 5</f>
        <v>0</v>
      </c>
      <c r="M1886" t="str">
        <f>VLOOKUP(交易處理資料__3[[#This Row],[人員代號]],團隊分組!$B$1:$C$52,2,FALSE)</f>
        <v>噴漆維修組</v>
      </c>
      <c r="N1886">
        <f>IF(交易處理資料__3[[#This Row],[上班時間]]=0,0,交易處理資料__3[[#This Row],[售出工時]]/交易處理資料__3[[#This Row],[上班時間]])</f>
        <v>0</v>
      </c>
      <c r="O1886" s="31" t="str">
        <f>IF(交易處理資料__3[[#This Row],[上班時間]]=0,"否","是")</f>
        <v>是</v>
      </c>
    </row>
    <row r="1887" spans="1:15" hidden="1">
      <c r="A1887" s="10" t="s">
        <v>73</v>
      </c>
      <c r="B1887" t="s">
        <v>6</v>
      </c>
      <c r="C1887">
        <v>0.78</v>
      </c>
      <c r="D1887">
        <v>3.77</v>
      </c>
      <c r="E1887" s="27">
        <v>20.689655170000002</v>
      </c>
      <c r="F1887">
        <v>6.82</v>
      </c>
      <c r="G1887">
        <v>1.21</v>
      </c>
      <c r="H1887">
        <v>8.0299999999999994</v>
      </c>
      <c r="I1887">
        <v>84.93</v>
      </c>
      <c r="J1887">
        <v>9.7100000000000009</v>
      </c>
      <c r="K1887" s="9">
        <v>45339</v>
      </c>
      <c r="L1887">
        <f xml:space="preserve"> (交易處理資料__3[[#This Row],[售出工時]] * 60) / 5</f>
        <v>9.3600000000000012</v>
      </c>
      <c r="M1887" t="str">
        <f>VLOOKUP(交易處理資料__3[[#This Row],[人員代號]],團隊分組!$B$1:$C$52,2,FALSE)</f>
        <v>噴漆維修組</v>
      </c>
      <c r="N1887">
        <f>IF(交易處理資料__3[[#This Row],[上班時間]]=0,0,交易處理資料__3[[#This Row],[售出工時]]/交易處理資料__3[[#This Row],[上班時間]])</f>
        <v>9.7135740971357423E-2</v>
      </c>
      <c r="O1887" s="31" t="str">
        <f>IF(交易處理資料__3[[#This Row],[上班時間]]=0,"否","是")</f>
        <v>是</v>
      </c>
    </row>
    <row r="1888" spans="1:15" hidden="1">
      <c r="A1888" s="10" t="s">
        <v>73</v>
      </c>
      <c r="B1888" t="s">
        <v>7</v>
      </c>
      <c r="C1888">
        <v>0</v>
      </c>
      <c r="D1888">
        <v>0</v>
      </c>
      <c r="E1888" s="27">
        <v>0</v>
      </c>
      <c r="F1888">
        <v>7.85</v>
      </c>
      <c r="G1888">
        <v>0.2</v>
      </c>
      <c r="H1888">
        <v>8.0500000000000007</v>
      </c>
      <c r="I1888">
        <v>97.52</v>
      </c>
      <c r="J1888">
        <v>0</v>
      </c>
      <c r="K1888" s="9">
        <v>45339</v>
      </c>
      <c r="L1888">
        <f xml:space="preserve"> (交易處理資料__3[[#This Row],[售出工時]] * 60) / 5</f>
        <v>0</v>
      </c>
      <c r="M1888" t="str">
        <f>VLOOKUP(交易處理資料__3[[#This Row],[人員代號]],團隊分組!$B$1:$C$52,2,FALSE)</f>
        <v>噴漆維修組</v>
      </c>
      <c r="N1888">
        <f>IF(交易處理資料__3[[#This Row],[上班時間]]=0,0,交易處理資料__3[[#This Row],[售出工時]]/交易處理資料__3[[#This Row],[上班時間]])</f>
        <v>0</v>
      </c>
      <c r="O1888" s="31" t="str">
        <f>IF(交易處理資料__3[[#This Row],[上班時間]]=0,"否","是")</f>
        <v>是</v>
      </c>
    </row>
    <row r="1889" spans="1:15" hidden="1">
      <c r="A1889" s="10" t="s">
        <v>73</v>
      </c>
      <c r="B1889" t="s">
        <v>8</v>
      </c>
      <c r="C1889">
        <v>0</v>
      </c>
      <c r="D1889">
        <v>0</v>
      </c>
      <c r="E1889" s="27">
        <v>0</v>
      </c>
      <c r="F1889">
        <v>6.75</v>
      </c>
      <c r="G1889">
        <v>1.37</v>
      </c>
      <c r="H1889">
        <v>8.1199999999999992</v>
      </c>
      <c r="I1889">
        <v>83.13</v>
      </c>
      <c r="J1889">
        <v>0</v>
      </c>
      <c r="K1889" s="9">
        <v>45339</v>
      </c>
      <c r="L1889">
        <f xml:space="preserve"> (交易處理資料__3[[#This Row],[售出工時]] * 60) / 5</f>
        <v>0</v>
      </c>
      <c r="M1889" t="str">
        <f>VLOOKUP(交易處理資料__3[[#This Row],[人員代號]],團隊分組!$B$1:$C$52,2,FALSE)</f>
        <v>噴漆維修組</v>
      </c>
      <c r="N1889">
        <f>IF(交易處理資料__3[[#This Row],[上班時間]]=0,0,交易處理資料__3[[#This Row],[售出工時]]/交易處理資料__3[[#This Row],[上班時間]])</f>
        <v>0</v>
      </c>
      <c r="O1889" s="31" t="str">
        <f>IF(交易處理資料__3[[#This Row],[上班時間]]=0,"否","是")</f>
        <v>是</v>
      </c>
    </row>
    <row r="1890" spans="1:15" hidden="1">
      <c r="A1890" s="10" t="s">
        <v>73</v>
      </c>
      <c r="B1890" t="s">
        <v>9</v>
      </c>
      <c r="C1890">
        <v>0</v>
      </c>
      <c r="D1890">
        <v>0</v>
      </c>
      <c r="E1890" s="27">
        <v>0</v>
      </c>
      <c r="F1890">
        <v>6.79</v>
      </c>
      <c r="G1890">
        <v>1.26</v>
      </c>
      <c r="H1890">
        <v>8.0500000000000007</v>
      </c>
      <c r="I1890">
        <v>84.35</v>
      </c>
      <c r="J1890">
        <v>0</v>
      </c>
      <c r="K1890" s="9">
        <v>45339</v>
      </c>
      <c r="L1890">
        <f xml:space="preserve"> (交易處理資料__3[[#This Row],[售出工時]] * 60) / 5</f>
        <v>0</v>
      </c>
      <c r="M1890" t="str">
        <f>VLOOKUP(交易處理資料__3[[#This Row],[人員代號]],團隊分組!$B$1:$C$52,2,FALSE)</f>
        <v>噴漆維修組</v>
      </c>
      <c r="N1890">
        <f>IF(交易處理資料__3[[#This Row],[上班時間]]=0,0,交易處理資料__3[[#This Row],[售出工時]]/交易處理資料__3[[#This Row],[上班時間]])</f>
        <v>0</v>
      </c>
      <c r="O1890" s="31" t="str">
        <f>IF(交易處理資料__3[[#This Row],[上班時間]]=0,"否","是")</f>
        <v>是</v>
      </c>
    </row>
    <row r="1891" spans="1:15" hidden="1">
      <c r="A1891" t="s">
        <v>74</v>
      </c>
      <c r="B1891" t="s">
        <v>11</v>
      </c>
      <c r="C1891">
        <v>0</v>
      </c>
      <c r="D1891">
        <v>0</v>
      </c>
      <c r="E1891" s="27">
        <v>0</v>
      </c>
      <c r="F1891">
        <v>6.49</v>
      </c>
      <c r="G1891">
        <v>1.63</v>
      </c>
      <c r="H1891">
        <v>8.1199999999999992</v>
      </c>
      <c r="I1891">
        <v>79.930000000000007</v>
      </c>
      <c r="J1891">
        <v>0</v>
      </c>
      <c r="K1891" s="9">
        <v>45339</v>
      </c>
      <c r="L1891">
        <f xml:space="preserve"> (交易處理資料__3[[#This Row],[售出工時]] * 60) / 5</f>
        <v>0</v>
      </c>
      <c r="M1891" t="str">
        <f>VLOOKUP(交易處理資料__3[[#This Row],[人員代號]],團隊分組!$B$1:$C$52,2,FALSE)</f>
        <v>鈑金維修組</v>
      </c>
      <c r="N1891">
        <f>IF(交易處理資料__3[[#This Row],[上班時間]]=0,0,交易處理資料__3[[#This Row],[售出工時]]/交易處理資料__3[[#This Row],[上班時間]])</f>
        <v>0</v>
      </c>
      <c r="O1891" s="31" t="str">
        <f>IF(交易處理資料__3[[#This Row],[上班時間]]=0,"否","是")</f>
        <v>是</v>
      </c>
    </row>
    <row r="1892" spans="1:15" hidden="1">
      <c r="A1892" t="s">
        <v>74</v>
      </c>
      <c r="B1892" t="s">
        <v>12</v>
      </c>
      <c r="C1892">
        <v>3</v>
      </c>
      <c r="D1892">
        <v>0.28000000000000003</v>
      </c>
      <c r="E1892" s="27">
        <v>1071.4285709999999</v>
      </c>
      <c r="F1892">
        <v>5.62</v>
      </c>
      <c r="G1892">
        <v>2.4700000000000002</v>
      </c>
      <c r="H1892">
        <v>8.09</v>
      </c>
      <c r="I1892">
        <v>69.47</v>
      </c>
      <c r="J1892">
        <v>37.08</v>
      </c>
      <c r="K1892" s="9">
        <v>45339</v>
      </c>
      <c r="L1892">
        <f xml:space="preserve"> (交易處理資料__3[[#This Row],[售出工時]] * 60) / 5</f>
        <v>36</v>
      </c>
      <c r="M1892" t="str">
        <f>VLOOKUP(交易處理資料__3[[#This Row],[人員代號]],團隊分組!$B$1:$C$52,2,FALSE)</f>
        <v>鈑金維修組</v>
      </c>
      <c r="N1892">
        <f>IF(交易處理資料__3[[#This Row],[上班時間]]=0,0,交易處理資料__3[[#This Row],[售出工時]]/交易處理資料__3[[#This Row],[上班時間]])</f>
        <v>0.37082818294190362</v>
      </c>
      <c r="O1892" s="31" t="str">
        <f>IF(交易處理資料__3[[#This Row],[上班時間]]=0,"否","是")</f>
        <v>是</v>
      </c>
    </row>
    <row r="1893" spans="1:15" hidden="1">
      <c r="A1893" t="s">
        <v>74</v>
      </c>
      <c r="B1893" t="s">
        <v>13</v>
      </c>
      <c r="C1893">
        <v>0</v>
      </c>
      <c r="D1893">
        <v>0</v>
      </c>
      <c r="E1893" s="27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 s="9">
        <v>45339</v>
      </c>
      <c r="L1893">
        <f xml:space="preserve"> (交易處理資料__3[[#This Row],[售出工時]] * 60) / 5</f>
        <v>0</v>
      </c>
      <c r="M1893" t="str">
        <f>VLOOKUP(交易處理資料__3[[#This Row],[人員代號]],團隊分組!$B$1:$C$52,2,FALSE)</f>
        <v>鈑金維修組</v>
      </c>
      <c r="N1893">
        <f>IF(交易處理資料__3[[#This Row],[上班時間]]=0,0,交易處理資料__3[[#This Row],[售出工時]]/交易處理資料__3[[#This Row],[上班時間]])</f>
        <v>0</v>
      </c>
      <c r="O1893" s="31" t="str">
        <f>IF(交易處理資料__3[[#This Row],[上班時間]]=0,"否","是")</f>
        <v>否</v>
      </c>
    </row>
    <row r="1894" spans="1:15" hidden="1">
      <c r="A1894" t="s">
        <v>74</v>
      </c>
      <c r="B1894" t="s">
        <v>14</v>
      </c>
      <c r="C1894">
        <v>0</v>
      </c>
      <c r="D1894">
        <v>0</v>
      </c>
      <c r="E1894" s="27">
        <v>0</v>
      </c>
      <c r="F1894">
        <v>5.97</v>
      </c>
      <c r="G1894">
        <v>2.13</v>
      </c>
      <c r="H1894">
        <v>8.1</v>
      </c>
      <c r="I1894">
        <v>73.7</v>
      </c>
      <c r="J1894">
        <v>0</v>
      </c>
      <c r="K1894" s="9">
        <v>45339</v>
      </c>
      <c r="L1894">
        <f xml:space="preserve"> (交易處理資料__3[[#This Row],[售出工時]] * 60) / 5</f>
        <v>0</v>
      </c>
      <c r="M1894" t="str">
        <f>VLOOKUP(交易處理資料__3[[#This Row],[人員代號]],團隊分組!$B$1:$C$52,2,FALSE)</f>
        <v>鈑金維修組</v>
      </c>
      <c r="N1894">
        <f>IF(交易處理資料__3[[#This Row],[上班時間]]=0,0,交易處理資料__3[[#This Row],[售出工時]]/交易處理資料__3[[#This Row],[上班時間]])</f>
        <v>0</v>
      </c>
      <c r="O1894" s="31" t="str">
        <f>IF(交易處理資料__3[[#This Row],[上班時間]]=0,"否","是")</f>
        <v>是</v>
      </c>
    </row>
    <row r="1895" spans="1:15" hidden="1">
      <c r="A1895" t="s">
        <v>74</v>
      </c>
      <c r="B1895" t="s">
        <v>15</v>
      </c>
      <c r="C1895">
        <v>2.0833333330000001</v>
      </c>
      <c r="D1895">
        <v>0.88</v>
      </c>
      <c r="E1895" s="27">
        <v>236.74242419999999</v>
      </c>
      <c r="F1895">
        <v>4.33</v>
      </c>
      <c r="G1895">
        <v>3.77</v>
      </c>
      <c r="H1895">
        <v>8.1</v>
      </c>
      <c r="I1895">
        <v>53.46</v>
      </c>
      <c r="J1895">
        <v>25.72</v>
      </c>
      <c r="K1895" s="9">
        <v>45339</v>
      </c>
      <c r="L1895">
        <f xml:space="preserve"> (交易處理資料__3[[#This Row],[售出工時]] * 60) / 5</f>
        <v>24.999999996000003</v>
      </c>
      <c r="M1895" t="str">
        <f>VLOOKUP(交易處理資料__3[[#This Row],[人員代號]],團隊分組!$B$1:$C$52,2,FALSE)</f>
        <v>鈑金維修組</v>
      </c>
      <c r="N1895">
        <f>IF(交易處理資料__3[[#This Row],[上班時間]]=0,0,交易處理資料__3[[#This Row],[售出工時]]/交易處理資料__3[[#This Row],[上班時間]])</f>
        <v>0.25720164604938273</v>
      </c>
      <c r="O1895" s="31" t="str">
        <f>IF(交易處理資料__3[[#This Row],[上班時間]]=0,"否","是")</f>
        <v>是</v>
      </c>
    </row>
    <row r="1896" spans="1:15" hidden="1">
      <c r="A1896" t="s">
        <v>75</v>
      </c>
      <c r="B1896" t="s">
        <v>17</v>
      </c>
      <c r="C1896">
        <v>9.39</v>
      </c>
      <c r="D1896">
        <v>5.85</v>
      </c>
      <c r="E1896" s="27">
        <v>160.5128205</v>
      </c>
      <c r="F1896">
        <v>6.62</v>
      </c>
      <c r="G1896">
        <v>2.42</v>
      </c>
      <c r="H1896">
        <v>9.0399999999999991</v>
      </c>
      <c r="I1896">
        <v>73.23</v>
      </c>
      <c r="J1896">
        <v>103.87</v>
      </c>
      <c r="K1896" s="9">
        <v>45339</v>
      </c>
      <c r="L1896">
        <f xml:space="preserve"> (交易處理資料__3[[#This Row],[售出工時]] * 60) / 5</f>
        <v>112.68000000000002</v>
      </c>
      <c r="M1896" t="str">
        <f>VLOOKUP(交易處理資料__3[[#This Row],[人員代號]],團隊分組!$B$1:$C$52,2,FALSE)</f>
        <v>快速保養團隊A</v>
      </c>
      <c r="N1896">
        <f>IF(交易處理資料__3[[#This Row],[上班時間]]=0,0,交易處理資料__3[[#This Row],[售出工時]]/交易處理資料__3[[#This Row],[上班時間]])</f>
        <v>1.0387168141592922</v>
      </c>
      <c r="O1896" s="31" t="str">
        <f>IF(交易處理資料__3[[#This Row],[上班時間]]=0,"否","是")</f>
        <v>是</v>
      </c>
    </row>
    <row r="1897" spans="1:15" hidden="1">
      <c r="A1897" t="s">
        <v>75</v>
      </c>
      <c r="B1897" t="s">
        <v>18</v>
      </c>
      <c r="C1897">
        <v>5.4166666670000003</v>
      </c>
      <c r="D1897">
        <v>7.1</v>
      </c>
      <c r="E1897" s="27">
        <v>76.291079809999999</v>
      </c>
      <c r="F1897">
        <v>7.15</v>
      </c>
      <c r="G1897">
        <v>1.84</v>
      </c>
      <c r="H1897">
        <v>8.99</v>
      </c>
      <c r="I1897">
        <v>79.53</v>
      </c>
      <c r="J1897">
        <v>60.25</v>
      </c>
      <c r="K1897" s="9">
        <v>45339</v>
      </c>
      <c r="L1897">
        <f xml:space="preserve"> (交易處理資料__3[[#This Row],[售出工時]] * 60) / 5</f>
        <v>65.000000004</v>
      </c>
      <c r="M1897" t="str">
        <f>VLOOKUP(交易處理資料__3[[#This Row],[人員代號]],團隊分組!$B$1:$C$52,2,FALSE)</f>
        <v>查修團隊B</v>
      </c>
      <c r="N1897">
        <f>IF(交易處理資料__3[[#This Row],[上班時間]]=0,0,交易處理資料__3[[#This Row],[售出工時]]/交易處理資料__3[[#This Row],[上班時間]])</f>
        <v>0.60252132002224701</v>
      </c>
      <c r="O1897" s="31" t="str">
        <f>IF(交易處理資料__3[[#This Row],[上班時間]]=0,"否","是")</f>
        <v>是</v>
      </c>
    </row>
    <row r="1898" spans="1:15" hidden="1">
      <c r="A1898" t="s">
        <v>75</v>
      </c>
      <c r="B1898" t="s">
        <v>19</v>
      </c>
      <c r="C1898">
        <v>2.91</v>
      </c>
      <c r="D1898">
        <v>3.11</v>
      </c>
      <c r="E1898" s="27">
        <v>93.569131830000003</v>
      </c>
      <c r="F1898">
        <v>7.63</v>
      </c>
      <c r="G1898">
        <v>0.38</v>
      </c>
      <c r="H1898">
        <v>8.01</v>
      </c>
      <c r="I1898">
        <v>95.26</v>
      </c>
      <c r="J1898">
        <v>36.33</v>
      </c>
      <c r="K1898" s="9">
        <v>45339</v>
      </c>
      <c r="L1898">
        <f xml:space="preserve"> (交易處理資料__3[[#This Row],[售出工時]] * 60) / 5</f>
        <v>34.92</v>
      </c>
      <c r="M1898" t="str">
        <f>VLOOKUP(交易處理資料__3[[#This Row],[人員代號]],團隊分組!$B$1:$C$52,2,FALSE)</f>
        <v>查修團隊A</v>
      </c>
      <c r="N1898">
        <f>IF(交易處理資料__3[[#This Row],[上班時間]]=0,0,交易處理資料__3[[#This Row],[售出工時]]/交易處理資料__3[[#This Row],[上班時間]])</f>
        <v>0.36329588014981279</v>
      </c>
      <c r="O1898" s="31" t="str">
        <f>IF(交易處理資料__3[[#This Row],[上班時間]]=0,"否","是")</f>
        <v>是</v>
      </c>
    </row>
    <row r="1899" spans="1:15" hidden="1">
      <c r="A1899" t="s">
        <v>75</v>
      </c>
      <c r="B1899" t="s">
        <v>20</v>
      </c>
      <c r="C1899">
        <v>2.4166666669999999</v>
      </c>
      <c r="D1899">
        <v>2.21</v>
      </c>
      <c r="E1899" s="27">
        <v>109.35143290000001</v>
      </c>
      <c r="F1899">
        <v>1.45</v>
      </c>
      <c r="G1899">
        <v>7.52</v>
      </c>
      <c r="H1899">
        <v>8.9700000000000006</v>
      </c>
      <c r="I1899">
        <v>16.16</v>
      </c>
      <c r="J1899">
        <v>26.94</v>
      </c>
      <c r="K1899" s="9">
        <v>45339</v>
      </c>
      <c r="L1899">
        <f xml:space="preserve"> (交易處理資料__3[[#This Row],[售出工時]] * 60) / 5</f>
        <v>29.000000003999997</v>
      </c>
      <c r="M1899" t="str">
        <f>VLOOKUP(交易處理資料__3[[#This Row],[人員代號]],團隊分組!$B$1:$C$52,2,FALSE)</f>
        <v>查修團隊B</v>
      </c>
      <c r="N1899">
        <f>IF(交易處理資料__3[[#This Row],[上班時間]]=0,0,交易處理資料__3[[#This Row],[售出工時]]/交易處理資料__3[[#This Row],[上班時間]])</f>
        <v>0.2694165738015607</v>
      </c>
      <c r="O1899" s="31" t="str">
        <f>IF(交易處理資料__3[[#This Row],[上班時間]]=0,"否","是")</f>
        <v>是</v>
      </c>
    </row>
    <row r="1900" spans="1:15" hidden="1">
      <c r="A1900" t="s">
        <v>75</v>
      </c>
      <c r="B1900" t="s">
        <v>21</v>
      </c>
      <c r="C1900">
        <v>3.75</v>
      </c>
      <c r="D1900">
        <v>3.66</v>
      </c>
      <c r="E1900" s="27">
        <v>102.4590164</v>
      </c>
      <c r="F1900">
        <v>5.19</v>
      </c>
      <c r="G1900">
        <v>3.79</v>
      </c>
      <c r="H1900">
        <v>8.98</v>
      </c>
      <c r="I1900">
        <v>57.8</v>
      </c>
      <c r="J1900">
        <v>41.76</v>
      </c>
      <c r="K1900" s="9">
        <v>45339</v>
      </c>
      <c r="L1900">
        <f xml:space="preserve"> (交易處理資料__3[[#This Row],[售出工時]] * 60) / 5</f>
        <v>45</v>
      </c>
      <c r="M1900" t="str">
        <f>VLOOKUP(交易處理資料__3[[#This Row],[人員代號]],團隊分組!$B$1:$C$52,2,FALSE)</f>
        <v>查修團隊B</v>
      </c>
      <c r="N1900">
        <f>IF(交易處理資料__3[[#This Row],[上班時間]]=0,0,交易處理資料__3[[#This Row],[售出工時]]/交易處理資料__3[[#This Row],[上班時間]])</f>
        <v>0.41759465478841867</v>
      </c>
      <c r="O1900" s="31" t="str">
        <f>IF(交易處理資料__3[[#This Row],[上班時間]]=0,"否","是")</f>
        <v>是</v>
      </c>
    </row>
    <row r="1901" spans="1:15" hidden="1">
      <c r="A1901" t="s">
        <v>75</v>
      </c>
      <c r="B1901" t="s">
        <v>22</v>
      </c>
      <c r="C1901">
        <v>11.24333333</v>
      </c>
      <c r="D1901">
        <v>6.38</v>
      </c>
      <c r="E1901" s="27">
        <v>176.2277952</v>
      </c>
      <c r="F1901">
        <v>6.43</v>
      </c>
      <c r="G1901">
        <v>1.23</v>
      </c>
      <c r="H1901">
        <v>7.66</v>
      </c>
      <c r="I1901">
        <v>83.94</v>
      </c>
      <c r="J1901">
        <v>146.78</v>
      </c>
      <c r="K1901" s="9">
        <v>45339</v>
      </c>
      <c r="L1901">
        <f xml:space="preserve"> (交易處理資料__3[[#This Row],[售出工時]] * 60) / 5</f>
        <v>134.91999995999998</v>
      </c>
      <c r="M1901" t="str">
        <f>VLOOKUP(交易處理資料__3[[#This Row],[人員代號]],團隊分組!$B$1:$C$52,2,FALSE)</f>
        <v>快速保養團隊A</v>
      </c>
      <c r="N1901">
        <f>IF(交易處理資料__3[[#This Row],[上班時間]]=0,0,交易處理資料__3[[#This Row],[售出工時]]/交易處理資料__3[[#This Row],[上班時間]])</f>
        <v>1.467798084856397</v>
      </c>
      <c r="O1901" s="31" t="str">
        <f>IF(交易處理資料__3[[#This Row],[上班時間]]=0,"否","是")</f>
        <v>是</v>
      </c>
    </row>
    <row r="1902" spans="1:15" hidden="1">
      <c r="A1902" t="s">
        <v>75</v>
      </c>
      <c r="B1902" t="s">
        <v>23</v>
      </c>
      <c r="C1902">
        <v>10.48</v>
      </c>
      <c r="D1902">
        <v>5.32</v>
      </c>
      <c r="E1902" s="27">
        <v>196.99248119999999</v>
      </c>
      <c r="F1902">
        <v>7.28</v>
      </c>
      <c r="G1902">
        <v>0.84</v>
      </c>
      <c r="H1902">
        <v>8.1199999999999992</v>
      </c>
      <c r="I1902">
        <v>89.66</v>
      </c>
      <c r="J1902">
        <v>129.06</v>
      </c>
      <c r="K1902" s="9">
        <v>45339</v>
      </c>
      <c r="L1902">
        <f xml:space="preserve"> (交易處理資料__3[[#This Row],[售出工時]] * 60) / 5</f>
        <v>125.76000000000002</v>
      </c>
      <c r="M1902" t="str">
        <f>VLOOKUP(交易處理資料__3[[#This Row],[人員代號]],團隊分組!$B$1:$C$52,2,FALSE)</f>
        <v>快速保養團隊B</v>
      </c>
      <c r="N1902">
        <f>IF(交易處理資料__3[[#This Row],[上班時間]]=0,0,交易處理資料__3[[#This Row],[售出工時]]/交易處理資料__3[[#This Row],[上班時間]])</f>
        <v>1.2906403940886702</v>
      </c>
      <c r="O1902" s="31" t="str">
        <f>IF(交易處理資料__3[[#This Row],[上班時間]]=0,"否","是")</f>
        <v>是</v>
      </c>
    </row>
    <row r="1903" spans="1:15" hidden="1">
      <c r="A1903" t="s">
        <v>75</v>
      </c>
      <c r="B1903" t="s">
        <v>25</v>
      </c>
      <c r="C1903">
        <v>0.5</v>
      </c>
      <c r="D1903">
        <v>0.01</v>
      </c>
      <c r="E1903" s="27">
        <v>5000</v>
      </c>
      <c r="F1903">
        <v>7.5</v>
      </c>
      <c r="G1903">
        <v>1.47</v>
      </c>
      <c r="H1903">
        <v>8.9700000000000006</v>
      </c>
      <c r="I1903">
        <v>83.61</v>
      </c>
      <c r="J1903">
        <v>5.57</v>
      </c>
      <c r="K1903" s="9">
        <v>45339</v>
      </c>
      <c r="L1903">
        <f xml:space="preserve"> (交易處理資料__3[[#This Row],[售出工時]] * 60) / 5</f>
        <v>6</v>
      </c>
      <c r="M1903" t="str">
        <f>VLOOKUP(交易處理資料__3[[#This Row],[人員代號]],團隊分組!$B$1:$C$52,2,FALSE)</f>
        <v>查修團隊A</v>
      </c>
      <c r="N1903">
        <f>IF(交易處理資料__3[[#This Row],[上班時間]]=0,0,交易處理資料__3[[#This Row],[售出工時]]/交易處理資料__3[[#This Row],[上班時間]])</f>
        <v>5.5741360089186169E-2</v>
      </c>
      <c r="O1903" s="31" t="str">
        <f>IF(交易處理資料__3[[#This Row],[上班時間]]=0,"否","是")</f>
        <v>是</v>
      </c>
    </row>
    <row r="1904" spans="1:15" hidden="1">
      <c r="A1904" t="s">
        <v>75</v>
      </c>
      <c r="B1904" t="s">
        <v>26</v>
      </c>
      <c r="C1904">
        <v>0.5</v>
      </c>
      <c r="D1904">
        <v>0.01</v>
      </c>
      <c r="E1904" s="27">
        <v>5000</v>
      </c>
      <c r="F1904">
        <v>0</v>
      </c>
      <c r="G1904">
        <v>8.9700000000000006</v>
      </c>
      <c r="H1904">
        <v>8.9700000000000006</v>
      </c>
      <c r="I1904">
        <v>0</v>
      </c>
      <c r="J1904">
        <v>5.57</v>
      </c>
      <c r="K1904" s="9">
        <v>45339</v>
      </c>
      <c r="L1904">
        <f xml:space="preserve"> (交易處理資料__3[[#This Row],[售出工時]] * 60) / 5</f>
        <v>6</v>
      </c>
      <c r="M1904" t="str">
        <f>VLOOKUP(交易處理資料__3[[#This Row],[人員代號]],團隊分組!$B$1:$C$52,2,FALSE)</f>
        <v>查修團隊B</v>
      </c>
      <c r="N1904">
        <f>IF(交易處理資料__3[[#This Row],[上班時間]]=0,0,交易處理資料__3[[#This Row],[售出工時]]/交易處理資料__3[[#This Row],[上班時間]])</f>
        <v>5.5741360089186169E-2</v>
      </c>
      <c r="O1904" s="31" t="str">
        <f>IF(交易處理資料__3[[#This Row],[上班時間]]=0,"否","是")</f>
        <v>是</v>
      </c>
    </row>
    <row r="1905" spans="1:15" hidden="1">
      <c r="A1905" t="s">
        <v>75</v>
      </c>
      <c r="B1905" t="s">
        <v>27</v>
      </c>
      <c r="C1905">
        <v>11.78333333</v>
      </c>
      <c r="D1905">
        <v>7.5</v>
      </c>
      <c r="E1905" s="27">
        <v>157.11111109999999</v>
      </c>
      <c r="F1905">
        <v>6.77</v>
      </c>
      <c r="G1905">
        <v>1.35</v>
      </c>
      <c r="H1905">
        <v>8.1199999999999992</v>
      </c>
      <c r="I1905">
        <v>83.37</v>
      </c>
      <c r="J1905">
        <v>145.11000000000001</v>
      </c>
      <c r="K1905" s="9">
        <v>45339</v>
      </c>
      <c r="L1905">
        <f xml:space="preserve"> (交易處理資料__3[[#This Row],[售出工時]] * 60) / 5</f>
        <v>141.39999996</v>
      </c>
      <c r="M1905" t="str">
        <f>VLOOKUP(交易處理資料__3[[#This Row],[人員代號]],團隊分組!$B$1:$C$52,2,FALSE)</f>
        <v>快速保養團隊B</v>
      </c>
      <c r="N1905">
        <f>IF(交易處理資料__3[[#This Row],[上班時間]]=0,0,交易處理資料__3[[#This Row],[售出工時]]/交易處理資料__3[[#This Row],[上班時間]])</f>
        <v>1.4511494248768473</v>
      </c>
      <c r="O1905" s="31" t="str">
        <f>IF(交易處理資料__3[[#This Row],[上班時間]]=0,"否","是")</f>
        <v>是</v>
      </c>
    </row>
    <row r="1906" spans="1:15" hidden="1">
      <c r="A1906" t="s">
        <v>75</v>
      </c>
      <c r="B1906" t="s">
        <v>28</v>
      </c>
      <c r="C1906">
        <v>4.8333333329999997</v>
      </c>
      <c r="D1906">
        <v>4.7699999999999996</v>
      </c>
      <c r="E1906" s="27">
        <v>101.3277428</v>
      </c>
      <c r="F1906">
        <v>7.42</v>
      </c>
      <c r="G1906">
        <v>0.62</v>
      </c>
      <c r="H1906">
        <v>8.0399999999999991</v>
      </c>
      <c r="I1906">
        <v>92.29</v>
      </c>
      <c r="J1906">
        <v>60.12</v>
      </c>
      <c r="K1906" s="9">
        <v>45339</v>
      </c>
      <c r="L1906">
        <f xml:space="preserve"> (交易處理資料__3[[#This Row],[售出工時]] * 60) / 5</f>
        <v>57.999999996</v>
      </c>
      <c r="M1906" t="str">
        <f>VLOOKUP(交易處理資料__3[[#This Row],[人員代號]],團隊分組!$B$1:$C$52,2,FALSE)</f>
        <v>快速保養團隊A</v>
      </c>
      <c r="N1906">
        <f>IF(交易處理資料__3[[#This Row],[上班時間]]=0,0,交易處理資料__3[[#This Row],[售出工時]]/交易處理資料__3[[#This Row],[上班時間]])</f>
        <v>0.60116086231343291</v>
      </c>
      <c r="O1906" s="31" t="str">
        <f>IF(交易處理資料__3[[#This Row],[上班時間]]=0,"否","是")</f>
        <v>是</v>
      </c>
    </row>
    <row r="1907" spans="1:15" hidden="1">
      <c r="A1907" t="s">
        <v>75</v>
      </c>
      <c r="B1907" t="s">
        <v>29</v>
      </c>
      <c r="C1907">
        <v>2</v>
      </c>
      <c r="D1907">
        <v>1.29</v>
      </c>
      <c r="E1907" s="27">
        <v>155.03875970000001</v>
      </c>
      <c r="F1907">
        <v>6.34</v>
      </c>
      <c r="G1907">
        <v>2.6</v>
      </c>
      <c r="H1907">
        <v>8.94</v>
      </c>
      <c r="I1907">
        <v>70.92</v>
      </c>
      <c r="J1907">
        <v>22.37</v>
      </c>
      <c r="K1907" s="9">
        <v>45339</v>
      </c>
      <c r="L1907">
        <f xml:space="preserve"> (交易處理資料__3[[#This Row],[售出工時]] * 60) / 5</f>
        <v>24</v>
      </c>
      <c r="M1907" t="str">
        <f>VLOOKUP(交易處理資料__3[[#This Row],[人員代號]],團隊分組!$B$1:$C$52,2,FALSE)</f>
        <v>查修團隊B</v>
      </c>
      <c r="N1907">
        <f>IF(交易處理資料__3[[#This Row],[上班時間]]=0,0,交易處理資料__3[[#This Row],[售出工時]]/交易處理資料__3[[#This Row],[上班時間]])</f>
        <v>0.2237136465324385</v>
      </c>
      <c r="O1907" s="31" t="str">
        <f>IF(交易處理資料__3[[#This Row],[上班時間]]=0,"否","是")</f>
        <v>是</v>
      </c>
    </row>
    <row r="1908" spans="1:15" hidden="1">
      <c r="A1908" t="s">
        <v>75</v>
      </c>
      <c r="B1908" t="s">
        <v>30</v>
      </c>
      <c r="C1908">
        <v>0</v>
      </c>
      <c r="D1908">
        <v>0</v>
      </c>
      <c r="E1908" s="27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 s="9">
        <v>45339</v>
      </c>
      <c r="L1908">
        <f xml:space="preserve"> (交易處理資料__3[[#This Row],[售出工時]] * 60) / 5</f>
        <v>0</v>
      </c>
      <c r="M1908" t="str">
        <f>VLOOKUP(交易處理資料__3[[#This Row],[人員代號]],團隊分組!$B$1:$C$52,2,FALSE)</f>
        <v>快速保養團隊B</v>
      </c>
      <c r="N1908">
        <f>IF(交易處理資料__3[[#This Row],[上班時間]]=0,0,交易處理資料__3[[#This Row],[售出工時]]/交易處理資料__3[[#This Row],[上班時間]])</f>
        <v>0</v>
      </c>
      <c r="O1908" s="31" t="str">
        <f>IF(交易處理資料__3[[#This Row],[上班時間]]=0,"否","是")</f>
        <v>否</v>
      </c>
    </row>
    <row r="1909" spans="1:15" hidden="1">
      <c r="A1909" t="s">
        <v>75</v>
      </c>
      <c r="B1909" t="s">
        <v>32</v>
      </c>
      <c r="C1909">
        <v>11.926666669999999</v>
      </c>
      <c r="D1909">
        <v>5.63</v>
      </c>
      <c r="E1909" s="27">
        <v>211.8413262</v>
      </c>
      <c r="F1909">
        <v>5.72</v>
      </c>
      <c r="G1909">
        <v>2.21</v>
      </c>
      <c r="H1909">
        <v>7.93</v>
      </c>
      <c r="I1909">
        <v>72.13</v>
      </c>
      <c r="J1909">
        <v>150.4</v>
      </c>
      <c r="K1909" s="9">
        <v>45339</v>
      </c>
      <c r="L1909">
        <f xml:space="preserve"> (交易處理資料__3[[#This Row],[售出工時]] * 60) / 5</f>
        <v>143.12000003999998</v>
      </c>
      <c r="M1909" t="str">
        <f>VLOOKUP(交易處理資料__3[[#This Row],[人員代號]],團隊分組!$B$1:$C$52,2,FALSE)</f>
        <v>快速保養團隊B</v>
      </c>
      <c r="N1909">
        <f>IF(交易處理資料__3[[#This Row],[上班時間]]=0,0,交易處理資料__3[[#This Row],[售出工時]]/交易處理資料__3[[#This Row],[上班時間]])</f>
        <v>1.5039932749054223</v>
      </c>
      <c r="O1909" s="31" t="str">
        <f>IF(交易處理資料__3[[#This Row],[上班時間]]=0,"否","是")</f>
        <v>是</v>
      </c>
    </row>
    <row r="1910" spans="1:15">
      <c r="A1910" t="s">
        <v>75</v>
      </c>
      <c r="B1910" t="s">
        <v>33</v>
      </c>
      <c r="C1910">
        <v>0</v>
      </c>
      <c r="D1910">
        <v>0</v>
      </c>
      <c r="E1910" s="27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 s="9">
        <v>45339</v>
      </c>
      <c r="L1910">
        <f xml:space="preserve"> (交易處理資料__3[[#This Row],[售出工時]] * 60) / 5</f>
        <v>0</v>
      </c>
      <c r="M1910" t="str">
        <f>VLOOKUP(交易處理資料__3[[#This Row],[人員代號]],團隊分組!$B$1:$C$52,2,FALSE)</f>
        <v>快速保養團隊B</v>
      </c>
      <c r="N1910">
        <f>IF(交易處理資料__3[[#This Row],[上班時間]]=0,0,交易處理資料__3[[#This Row],[售出工時]]/交易處理資料__3[[#This Row],[上班時間]])</f>
        <v>0</v>
      </c>
      <c r="O1910" s="31" t="str">
        <f>IF(交易處理資料__3[[#This Row],[上班時間]]=0,"否","是")</f>
        <v>否</v>
      </c>
    </row>
    <row r="1911" spans="1:15" hidden="1">
      <c r="A1911" t="s">
        <v>75</v>
      </c>
      <c r="B1911" t="s">
        <v>34</v>
      </c>
      <c r="C1911">
        <v>12.096666669999999</v>
      </c>
      <c r="D1911">
        <v>8.0299999999999994</v>
      </c>
      <c r="E1911" s="27">
        <v>150.64342049999999</v>
      </c>
      <c r="F1911">
        <v>6.52</v>
      </c>
      <c r="G1911">
        <v>1.51</v>
      </c>
      <c r="H1911">
        <v>8.0299999999999994</v>
      </c>
      <c r="I1911">
        <v>81.2</v>
      </c>
      <c r="J1911">
        <v>150.63999999999999</v>
      </c>
      <c r="K1911" s="9">
        <v>45339</v>
      </c>
      <c r="L1911">
        <f xml:space="preserve"> (交易處理資料__3[[#This Row],[售出工時]] * 60) / 5</f>
        <v>145.16000004</v>
      </c>
      <c r="M1911" t="str">
        <f>VLOOKUP(交易處理資料__3[[#This Row],[人員代號]],團隊分組!$B$1:$C$52,2,FALSE)</f>
        <v>快速保養團隊A</v>
      </c>
      <c r="N1911">
        <f>IF(交易處理資料__3[[#This Row],[上班時間]]=0,0,交易處理資料__3[[#This Row],[售出工時]]/交易處理資料__3[[#This Row],[上班時間]])</f>
        <v>1.5064342054794522</v>
      </c>
      <c r="O1911" s="31" t="str">
        <f>IF(交易處理資料__3[[#This Row],[上班時間]]=0,"否","是")</f>
        <v>是</v>
      </c>
    </row>
    <row r="1912" spans="1:15" hidden="1">
      <c r="A1912" t="s">
        <v>75</v>
      </c>
      <c r="B1912" t="s">
        <v>35</v>
      </c>
      <c r="C1912">
        <v>2.06</v>
      </c>
      <c r="D1912">
        <v>1.89</v>
      </c>
      <c r="E1912" s="27">
        <v>108.994709</v>
      </c>
      <c r="F1912">
        <v>8.4700000000000006</v>
      </c>
      <c r="G1912">
        <v>0.51</v>
      </c>
      <c r="H1912">
        <v>8.98</v>
      </c>
      <c r="I1912">
        <v>94.32</v>
      </c>
      <c r="J1912">
        <v>22.94</v>
      </c>
      <c r="K1912" s="9">
        <v>45339</v>
      </c>
      <c r="L1912">
        <f xml:space="preserve"> (交易處理資料__3[[#This Row],[售出工時]] * 60) / 5</f>
        <v>24.720000000000002</v>
      </c>
      <c r="M1912" t="str">
        <f>VLOOKUP(交易處理資料__3[[#This Row],[人員代號]],團隊分組!$B$1:$C$52,2,FALSE)</f>
        <v>查修團隊B</v>
      </c>
      <c r="N1912">
        <f>IF(交易處理資料__3[[#This Row],[上班時間]]=0,0,交易處理資料__3[[#This Row],[售出工時]]/交易處理資料__3[[#This Row],[上班時間]])</f>
        <v>0.22939866369710468</v>
      </c>
      <c r="O1912" s="31" t="str">
        <f>IF(交易處理資料__3[[#This Row],[上班時間]]=0,"否","是")</f>
        <v>是</v>
      </c>
    </row>
    <row r="1913" spans="1:15" hidden="1">
      <c r="A1913" t="s">
        <v>75</v>
      </c>
      <c r="B1913" t="s">
        <v>36</v>
      </c>
      <c r="C1913">
        <v>3.06</v>
      </c>
      <c r="D1913">
        <v>2.0299999999999998</v>
      </c>
      <c r="E1913" s="27">
        <v>150.7389163</v>
      </c>
      <c r="F1913">
        <v>1.57</v>
      </c>
      <c r="G1913">
        <v>7.38</v>
      </c>
      <c r="H1913">
        <v>8.9499999999999993</v>
      </c>
      <c r="I1913">
        <v>17.54</v>
      </c>
      <c r="J1913">
        <v>34.19</v>
      </c>
      <c r="K1913" s="9">
        <v>45339</v>
      </c>
      <c r="L1913">
        <f xml:space="preserve"> (交易處理資料__3[[#This Row],[售出工時]] * 60) / 5</f>
        <v>36.72</v>
      </c>
      <c r="M1913" t="str">
        <f>VLOOKUP(交易處理資料__3[[#This Row],[人員代號]],團隊分組!$B$1:$C$52,2,FALSE)</f>
        <v>查修團隊B</v>
      </c>
      <c r="N1913">
        <f>IF(交易處理資料__3[[#This Row],[上班時間]]=0,0,交易處理資料__3[[#This Row],[售出工時]]/交易處理資料__3[[#This Row],[上班時間]])</f>
        <v>0.34189944134078215</v>
      </c>
      <c r="O1913" s="31" t="str">
        <f>IF(交易處理資料__3[[#This Row],[上班時間]]=0,"否","是")</f>
        <v>是</v>
      </c>
    </row>
    <row r="1914" spans="1:15" hidden="1">
      <c r="A1914" t="s">
        <v>75</v>
      </c>
      <c r="B1914" t="s">
        <v>37</v>
      </c>
      <c r="C1914">
        <v>3</v>
      </c>
      <c r="D1914">
        <v>1.31</v>
      </c>
      <c r="E1914" s="27">
        <v>229.00763359999999</v>
      </c>
      <c r="F1914">
        <v>5</v>
      </c>
      <c r="G1914">
        <v>2.98</v>
      </c>
      <c r="H1914">
        <v>7.98</v>
      </c>
      <c r="I1914">
        <v>62.66</v>
      </c>
      <c r="J1914">
        <v>37.590000000000003</v>
      </c>
      <c r="K1914" s="9">
        <v>45339</v>
      </c>
      <c r="L1914">
        <f xml:space="preserve"> (交易處理資料__3[[#This Row],[售出工時]] * 60) / 5</f>
        <v>36</v>
      </c>
      <c r="M1914" t="str">
        <f>VLOOKUP(交易處理資料__3[[#This Row],[人員代號]],團隊分組!$B$1:$C$52,2,FALSE)</f>
        <v>查修團隊A</v>
      </c>
      <c r="N1914">
        <f>IF(交易處理資料__3[[#This Row],[上班時間]]=0,0,交易處理資料__3[[#This Row],[售出工時]]/交易處理資料__3[[#This Row],[上班時間]])</f>
        <v>0.37593984962406013</v>
      </c>
      <c r="O1914" s="31" t="str">
        <f>IF(交易處理資料__3[[#This Row],[上班時間]]=0,"否","是")</f>
        <v>是</v>
      </c>
    </row>
    <row r="1915" spans="1:15" hidden="1">
      <c r="A1915" t="s">
        <v>75</v>
      </c>
      <c r="B1915" t="s">
        <v>38</v>
      </c>
      <c r="C1915">
        <v>17.666666670000001</v>
      </c>
      <c r="D1915">
        <v>6.8</v>
      </c>
      <c r="E1915" s="27">
        <v>259.80392160000002</v>
      </c>
      <c r="F1915">
        <v>6.73</v>
      </c>
      <c r="G1915">
        <v>0.96</v>
      </c>
      <c r="H1915">
        <v>7.69</v>
      </c>
      <c r="I1915">
        <v>87.52</v>
      </c>
      <c r="J1915">
        <v>229.74</v>
      </c>
      <c r="K1915" s="9">
        <v>45339</v>
      </c>
      <c r="L1915">
        <f xml:space="preserve"> (交易處理資料__3[[#This Row],[售出工時]] * 60) / 5</f>
        <v>212.00000004000003</v>
      </c>
      <c r="M1915" t="str">
        <f>VLOOKUP(交易處理資料__3[[#This Row],[人員代號]],團隊分組!$B$1:$C$52,2,FALSE)</f>
        <v>快速保養團隊A</v>
      </c>
      <c r="N1915">
        <f>IF(交易處理資料__3[[#This Row],[上班時間]]=0,0,交易處理資料__3[[#This Row],[售出工時]]/交易處理資料__3[[#This Row],[上班時間]])</f>
        <v>2.2973558738621587</v>
      </c>
      <c r="O1915" s="31" t="str">
        <f>IF(交易處理資料__3[[#This Row],[上班時間]]=0,"否","是")</f>
        <v>是</v>
      </c>
    </row>
    <row r="1916" spans="1:15" hidden="1">
      <c r="A1916" t="s">
        <v>75</v>
      </c>
      <c r="B1916" t="s">
        <v>39</v>
      </c>
      <c r="C1916">
        <v>3.6666666669999999</v>
      </c>
      <c r="D1916">
        <v>1.27</v>
      </c>
      <c r="E1916" s="27">
        <v>288.71391080000001</v>
      </c>
      <c r="F1916">
        <v>5.84</v>
      </c>
      <c r="G1916">
        <v>2.5099999999999998</v>
      </c>
      <c r="H1916">
        <v>8.35</v>
      </c>
      <c r="I1916">
        <v>69.94</v>
      </c>
      <c r="J1916">
        <v>43.91</v>
      </c>
      <c r="K1916" s="9">
        <v>45339</v>
      </c>
      <c r="L1916">
        <f xml:space="preserve"> (交易處理資料__3[[#This Row],[售出工時]] * 60) / 5</f>
        <v>44.000000004</v>
      </c>
      <c r="M1916" t="str">
        <f>VLOOKUP(交易處理資料__3[[#This Row],[人員代號]],團隊分組!$B$1:$C$52,2,FALSE)</f>
        <v>查修團隊A</v>
      </c>
      <c r="N1916">
        <f>IF(交易處理資料__3[[#This Row],[上班時間]]=0,0,交易處理資料__3[[#This Row],[售出工時]]/交易處理資料__3[[#This Row],[上班時間]])</f>
        <v>0.43912175652694613</v>
      </c>
      <c r="O1916" s="31" t="str">
        <f>IF(交易處理資料__3[[#This Row],[上班時間]]=0,"否","是")</f>
        <v>是</v>
      </c>
    </row>
    <row r="1917" spans="1:15" hidden="1">
      <c r="A1917" t="s">
        <v>75</v>
      </c>
      <c r="B1917" t="s">
        <v>40</v>
      </c>
      <c r="C1917">
        <v>0.83333333300000001</v>
      </c>
      <c r="D1917">
        <v>0.56999999999999995</v>
      </c>
      <c r="E1917" s="27">
        <v>146.19883039999999</v>
      </c>
      <c r="F1917">
        <v>8.27</v>
      </c>
      <c r="G1917">
        <v>0.21</v>
      </c>
      <c r="H1917">
        <v>8.48</v>
      </c>
      <c r="I1917">
        <v>97.52</v>
      </c>
      <c r="J1917">
        <v>9.83</v>
      </c>
      <c r="K1917" s="9">
        <v>45339</v>
      </c>
      <c r="L1917">
        <f xml:space="preserve"> (交易處理資料__3[[#This Row],[售出工時]] * 60) / 5</f>
        <v>9.9999999959999997</v>
      </c>
      <c r="M1917" t="str">
        <f>VLOOKUP(交易處理資料__3[[#This Row],[人員代號]],團隊分組!$B$1:$C$52,2,FALSE)</f>
        <v>查修團隊A</v>
      </c>
      <c r="N1917">
        <f>IF(交易處理資料__3[[#This Row],[上班時間]]=0,0,交易處理資料__3[[#This Row],[售出工時]]/交易處理資料__3[[#This Row],[上班時間]])</f>
        <v>9.8270440212264151E-2</v>
      </c>
      <c r="O1917" s="31" t="str">
        <f>IF(交易處理資料__3[[#This Row],[上班時間]]=0,"否","是")</f>
        <v>是</v>
      </c>
    </row>
    <row r="1918" spans="1:15" hidden="1">
      <c r="A1918" t="s">
        <v>75</v>
      </c>
      <c r="B1918" t="s">
        <v>41</v>
      </c>
      <c r="C1918">
        <v>13.91666667</v>
      </c>
      <c r="D1918">
        <v>6.09</v>
      </c>
      <c r="E1918" s="27">
        <v>228.516694</v>
      </c>
      <c r="F1918">
        <v>7.62</v>
      </c>
      <c r="G1918">
        <v>0.75</v>
      </c>
      <c r="H1918">
        <v>8.3699999999999992</v>
      </c>
      <c r="I1918">
        <v>91.04</v>
      </c>
      <c r="J1918">
        <v>166.27</v>
      </c>
      <c r="K1918" s="9">
        <v>45339</v>
      </c>
      <c r="L1918">
        <f xml:space="preserve"> (交易處理資料__3[[#This Row],[售出工時]] * 60) / 5</f>
        <v>167.00000003999997</v>
      </c>
      <c r="M1918" t="str">
        <f>VLOOKUP(交易處理資料__3[[#This Row],[人員代號]],團隊分組!$B$1:$C$52,2,FALSE)</f>
        <v>快速保養團隊A</v>
      </c>
      <c r="N1918">
        <f>IF(交易處理資料__3[[#This Row],[上班時間]]=0,0,交易處理資料__3[[#This Row],[售出工時]]/交易處理資料__3[[#This Row],[上班時間]])</f>
        <v>1.6626841899641578</v>
      </c>
      <c r="O1918" s="31" t="str">
        <f>IF(交易處理資料__3[[#This Row],[上班時間]]=0,"否","是")</f>
        <v>是</v>
      </c>
    </row>
    <row r="1919" spans="1:15" hidden="1">
      <c r="A1919" t="s">
        <v>75</v>
      </c>
      <c r="B1919" t="s">
        <v>42</v>
      </c>
      <c r="C1919">
        <v>8.4233333330000004</v>
      </c>
      <c r="D1919">
        <v>4.8600000000000003</v>
      </c>
      <c r="E1919" s="27">
        <v>173.3196159</v>
      </c>
      <c r="F1919">
        <v>4.8600000000000003</v>
      </c>
      <c r="G1919">
        <v>2.72</v>
      </c>
      <c r="H1919">
        <v>7.58</v>
      </c>
      <c r="I1919">
        <v>64.12</v>
      </c>
      <c r="J1919">
        <v>111.13</v>
      </c>
      <c r="K1919" s="9">
        <v>45339</v>
      </c>
      <c r="L1919">
        <f xml:space="preserve"> (交易處理資料__3[[#This Row],[售出工時]] * 60) / 5</f>
        <v>101.079999996</v>
      </c>
      <c r="M1919" t="str">
        <f>VLOOKUP(交易處理資料__3[[#This Row],[人員代號]],團隊分組!$B$1:$C$52,2,FALSE)</f>
        <v>快速保養團隊A</v>
      </c>
      <c r="N1919">
        <f>IF(交易處理資料__3[[#This Row],[上班時間]]=0,0,交易處理資料__3[[#This Row],[售出工時]]/交易處理資料__3[[#This Row],[上班時間]])</f>
        <v>1.1112576956464379</v>
      </c>
      <c r="O1919" s="31" t="str">
        <f>IF(交易處理資料__3[[#This Row],[上班時間]]=0,"否","是")</f>
        <v>是</v>
      </c>
    </row>
    <row r="1920" spans="1:15" hidden="1">
      <c r="A1920" t="s">
        <v>75</v>
      </c>
      <c r="B1920" t="s">
        <v>43</v>
      </c>
      <c r="C1920">
        <v>1.37</v>
      </c>
      <c r="D1920">
        <v>0.98</v>
      </c>
      <c r="E1920" s="27">
        <v>139.79591840000001</v>
      </c>
      <c r="F1920">
        <v>3.82</v>
      </c>
      <c r="G1920">
        <v>5.16</v>
      </c>
      <c r="H1920">
        <v>8.98</v>
      </c>
      <c r="I1920">
        <v>42.54</v>
      </c>
      <c r="J1920">
        <v>15.26</v>
      </c>
      <c r="K1920" s="9">
        <v>45339</v>
      </c>
      <c r="L1920">
        <f xml:space="preserve"> (交易處理資料__3[[#This Row],[售出工時]] * 60) / 5</f>
        <v>16.440000000000001</v>
      </c>
      <c r="M1920" t="str">
        <f>VLOOKUP(交易處理資料__3[[#This Row],[人員代號]],團隊分組!$B$1:$C$52,2,FALSE)</f>
        <v>查修團隊B</v>
      </c>
      <c r="N1920">
        <f>IF(交易處理資料__3[[#This Row],[上班時間]]=0,0,交易處理資料__3[[#This Row],[售出工時]]/交易處理資料__3[[#This Row],[上班時間]])</f>
        <v>0.15256124721603564</v>
      </c>
      <c r="O1920" s="31" t="str">
        <f>IF(交易處理資料__3[[#This Row],[上班時間]]=0,"否","是")</f>
        <v>是</v>
      </c>
    </row>
    <row r="1921" spans="1:15" hidden="1">
      <c r="A1921" t="s">
        <v>75</v>
      </c>
      <c r="B1921" t="s">
        <v>44</v>
      </c>
      <c r="C1921">
        <v>5.96</v>
      </c>
      <c r="D1921">
        <v>6.98</v>
      </c>
      <c r="E1921" s="27">
        <v>85.38681948</v>
      </c>
      <c r="F1921">
        <v>7.51</v>
      </c>
      <c r="G1921">
        <v>1.48</v>
      </c>
      <c r="H1921">
        <v>8.99</v>
      </c>
      <c r="I1921">
        <v>83.54</v>
      </c>
      <c r="J1921">
        <v>66.3</v>
      </c>
      <c r="K1921" s="9">
        <v>45339</v>
      </c>
      <c r="L1921">
        <f xml:space="preserve"> (交易處理資料__3[[#This Row],[售出工時]] * 60) / 5</f>
        <v>71.52000000000001</v>
      </c>
      <c r="M1921" t="str">
        <f>VLOOKUP(交易處理資料__3[[#This Row],[人員代號]],團隊分組!$B$1:$C$52,2,FALSE)</f>
        <v>快速保養團隊B</v>
      </c>
      <c r="N1921">
        <f>IF(交易處理資料__3[[#This Row],[上班時間]]=0,0,交易處理資料__3[[#This Row],[售出工時]]/交易處理資料__3[[#This Row],[上班時間]])</f>
        <v>0.66295884315906561</v>
      </c>
      <c r="O1921" s="31" t="str">
        <f>IF(交易處理資料__3[[#This Row],[上班時間]]=0,"否","是")</f>
        <v>是</v>
      </c>
    </row>
    <row r="1922" spans="1:15" hidden="1">
      <c r="A1922" t="s">
        <v>75</v>
      </c>
      <c r="B1922" t="s">
        <v>45</v>
      </c>
      <c r="C1922">
        <v>12.98666667</v>
      </c>
      <c r="D1922">
        <v>7.45</v>
      </c>
      <c r="E1922" s="27">
        <v>174.31767339999999</v>
      </c>
      <c r="F1922">
        <v>6.37</v>
      </c>
      <c r="G1922">
        <v>1.66</v>
      </c>
      <c r="H1922">
        <v>8.0299999999999994</v>
      </c>
      <c r="I1922">
        <v>79.33</v>
      </c>
      <c r="J1922">
        <v>161.72999999999999</v>
      </c>
      <c r="K1922" s="9">
        <v>45339</v>
      </c>
      <c r="L1922">
        <f xml:space="preserve"> (交易處理資料__3[[#This Row],[售出工時]] * 60) / 5</f>
        <v>155.84000004000001</v>
      </c>
      <c r="M1922" t="str">
        <f>VLOOKUP(交易處理資料__3[[#This Row],[人員代號]],團隊分組!$B$1:$C$52,2,FALSE)</f>
        <v>快速保養團隊A</v>
      </c>
      <c r="N1922">
        <f>IF(交易處理資料__3[[#This Row],[上班時間]]=0,0,交易處理資料__3[[#This Row],[售出工時]]/交易處理資料__3[[#This Row],[上班時間]])</f>
        <v>1.6172685765877959</v>
      </c>
      <c r="O1922" s="31" t="str">
        <f>IF(交易處理資料__3[[#This Row],[上班時間]]=0,"否","是")</f>
        <v>是</v>
      </c>
    </row>
    <row r="1923" spans="1:15" hidden="1">
      <c r="A1923" t="s">
        <v>75</v>
      </c>
      <c r="B1923" t="s">
        <v>46</v>
      </c>
      <c r="C1923">
        <v>3.8333333330000001</v>
      </c>
      <c r="D1923">
        <v>5.73</v>
      </c>
      <c r="E1923" s="27">
        <v>66.899360090000002</v>
      </c>
      <c r="F1923">
        <v>7.2</v>
      </c>
      <c r="G1923">
        <v>2.5499999999999998</v>
      </c>
      <c r="H1923">
        <v>9.75</v>
      </c>
      <c r="I1923">
        <v>73.849999999999994</v>
      </c>
      <c r="J1923">
        <v>39.32</v>
      </c>
      <c r="K1923" s="9">
        <v>45339</v>
      </c>
      <c r="L1923">
        <f xml:space="preserve"> (交易處理資料__3[[#This Row],[售出工時]] * 60) / 5</f>
        <v>45.999999996</v>
      </c>
      <c r="M1923" t="str">
        <f>VLOOKUP(交易處理資料__3[[#This Row],[人員代號]],團隊分組!$B$1:$C$52,2,FALSE)</f>
        <v>查修團隊B</v>
      </c>
      <c r="N1923">
        <f>IF(交易處理資料__3[[#This Row],[上班時間]]=0,0,交易處理資料__3[[#This Row],[售出工時]]/交易處理資料__3[[#This Row],[上班時間]])</f>
        <v>0.39316239312820517</v>
      </c>
      <c r="O1923" s="31" t="str">
        <f>IF(交易處理資料__3[[#This Row],[上班時間]]=0,"否","是")</f>
        <v>是</v>
      </c>
    </row>
    <row r="1924" spans="1:15" hidden="1">
      <c r="A1924" t="s">
        <v>75</v>
      </c>
      <c r="B1924" t="s">
        <v>47</v>
      </c>
      <c r="C1924">
        <v>5.75</v>
      </c>
      <c r="D1924">
        <v>7.23</v>
      </c>
      <c r="E1924" s="27">
        <v>79.529737209999993</v>
      </c>
      <c r="F1924">
        <v>5.95</v>
      </c>
      <c r="G1924">
        <v>3</v>
      </c>
      <c r="H1924">
        <v>8.9499999999999993</v>
      </c>
      <c r="I1924">
        <v>66.48</v>
      </c>
      <c r="J1924">
        <v>64.25</v>
      </c>
      <c r="K1924" s="9">
        <v>45339</v>
      </c>
      <c r="L1924">
        <f xml:space="preserve"> (交易處理資料__3[[#This Row],[售出工時]] * 60) / 5</f>
        <v>69</v>
      </c>
      <c r="M1924" t="str">
        <f>VLOOKUP(交易處理資料__3[[#This Row],[人員代號]],團隊分組!$B$1:$C$52,2,FALSE)</f>
        <v>查修團隊B</v>
      </c>
      <c r="N1924">
        <f>IF(交易處理資料__3[[#This Row],[上班時間]]=0,0,交易處理資料__3[[#This Row],[售出工時]]/交易處理資料__3[[#This Row],[上班時間]])</f>
        <v>0.64245810055865926</v>
      </c>
      <c r="O1924" s="31" t="str">
        <f>IF(交易處理資料__3[[#This Row],[上班時間]]=0,"否","是")</f>
        <v>是</v>
      </c>
    </row>
    <row r="1925" spans="1:15" hidden="1">
      <c r="A1925" t="s">
        <v>75</v>
      </c>
      <c r="B1925" t="s">
        <v>48</v>
      </c>
      <c r="C1925">
        <v>0.5</v>
      </c>
      <c r="D1925">
        <v>0.01</v>
      </c>
      <c r="E1925" s="27">
        <v>5000</v>
      </c>
      <c r="F1925">
        <v>6.17</v>
      </c>
      <c r="G1925">
        <v>1.89</v>
      </c>
      <c r="H1925">
        <v>8.06</v>
      </c>
      <c r="I1925">
        <v>76.55</v>
      </c>
      <c r="J1925">
        <v>6.2</v>
      </c>
      <c r="K1925" s="9">
        <v>45339</v>
      </c>
      <c r="L1925">
        <f xml:space="preserve"> (交易處理資料__3[[#This Row],[售出工時]] * 60) / 5</f>
        <v>6</v>
      </c>
      <c r="M1925" t="str">
        <f>VLOOKUP(交易處理資料__3[[#This Row],[人員代號]],團隊分組!$B$1:$C$52,2,FALSE)</f>
        <v>查修團隊A</v>
      </c>
      <c r="N1925">
        <f>IF(交易處理資料__3[[#This Row],[上班時間]]=0,0,交易處理資料__3[[#This Row],[售出工時]]/交易處理資料__3[[#This Row],[上班時間]])</f>
        <v>6.2034739454094288E-2</v>
      </c>
      <c r="O1925" s="31" t="str">
        <f>IF(交易處理資料__3[[#This Row],[上班時間]]=0,"否","是")</f>
        <v>是</v>
      </c>
    </row>
    <row r="1926" spans="1:15" hidden="1">
      <c r="A1926" t="s">
        <v>75</v>
      </c>
      <c r="B1926" t="s">
        <v>49</v>
      </c>
      <c r="C1926">
        <v>3.42</v>
      </c>
      <c r="D1926">
        <v>3.12</v>
      </c>
      <c r="E1926" s="27">
        <v>109.6153846</v>
      </c>
      <c r="F1926">
        <v>7.62</v>
      </c>
      <c r="G1926">
        <v>0.39</v>
      </c>
      <c r="H1926">
        <v>8.01</v>
      </c>
      <c r="I1926">
        <v>95.13</v>
      </c>
      <c r="J1926">
        <v>42.7</v>
      </c>
      <c r="K1926" s="9">
        <v>45339</v>
      </c>
      <c r="L1926">
        <f xml:space="preserve"> (交易處理資料__3[[#This Row],[售出工時]] * 60) / 5</f>
        <v>41.04</v>
      </c>
      <c r="M1926" t="str">
        <f>VLOOKUP(交易處理資料__3[[#This Row],[人員代號]],團隊分組!$B$1:$C$52,2,FALSE)</f>
        <v>查修團隊A</v>
      </c>
      <c r="N1926">
        <f>IF(交易處理資料__3[[#This Row],[上班時間]]=0,0,交易處理資料__3[[#This Row],[售出工時]]/交易處理資料__3[[#This Row],[上班時間]])</f>
        <v>0.42696629213483145</v>
      </c>
      <c r="O1926" s="31" t="str">
        <f>IF(交易處理資料__3[[#This Row],[上班時間]]=0,"否","是")</f>
        <v>是</v>
      </c>
    </row>
    <row r="1927" spans="1:15" hidden="1">
      <c r="A1927" t="s">
        <v>75</v>
      </c>
      <c r="B1927" t="s">
        <v>50</v>
      </c>
      <c r="C1927">
        <v>10.07</v>
      </c>
      <c r="D1927">
        <v>6.82</v>
      </c>
      <c r="E1927" s="27">
        <v>147.65395889999999</v>
      </c>
      <c r="F1927">
        <v>7.8</v>
      </c>
      <c r="G1927">
        <v>1.1599999999999999</v>
      </c>
      <c r="H1927">
        <v>8.9600000000000009</v>
      </c>
      <c r="I1927">
        <v>87.05</v>
      </c>
      <c r="J1927">
        <v>112.39</v>
      </c>
      <c r="K1927" s="9">
        <v>45339</v>
      </c>
      <c r="L1927">
        <f xml:space="preserve"> (交易處理資料__3[[#This Row],[售出工時]] * 60) / 5</f>
        <v>120.84</v>
      </c>
      <c r="M1927" t="str">
        <f>VLOOKUP(交易處理資料__3[[#This Row],[人員代號]],團隊分組!$B$1:$C$52,2,FALSE)</f>
        <v>快速保養團隊B</v>
      </c>
      <c r="N1927">
        <f>IF(交易處理資料__3[[#This Row],[上班時間]]=0,0,交易處理資料__3[[#This Row],[售出工時]]/交易處理資料__3[[#This Row],[上班時間]])</f>
        <v>1.1238839285714286</v>
      </c>
      <c r="O1927" s="31" t="str">
        <f>IF(交易處理資料__3[[#This Row],[上班時間]]=0,"否","是")</f>
        <v>是</v>
      </c>
    </row>
    <row r="1928" spans="1:15" hidden="1">
      <c r="A1928" t="s">
        <v>75</v>
      </c>
      <c r="B1928" t="s">
        <v>51</v>
      </c>
      <c r="C1928">
        <v>0</v>
      </c>
      <c r="D1928">
        <v>0</v>
      </c>
      <c r="E1928" s="27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 s="9">
        <v>45339</v>
      </c>
      <c r="L1928">
        <f xml:space="preserve"> (交易處理資料__3[[#This Row],[售出工時]] * 60) / 5</f>
        <v>0</v>
      </c>
      <c r="M1928" t="str">
        <f>VLOOKUP(交易處理資料__3[[#This Row],[人員代號]],團隊分組!$B$1:$C$52,2,FALSE)</f>
        <v>無效數據</v>
      </c>
      <c r="N1928">
        <f>IF(交易處理資料__3[[#This Row],[上班時間]]=0,0,交易處理資料__3[[#This Row],[售出工時]]/交易處理資料__3[[#This Row],[上班時間]])</f>
        <v>0</v>
      </c>
      <c r="O1928" s="31" t="str">
        <f>IF(交易處理資料__3[[#This Row],[上班時間]]=0,"否","是")</f>
        <v>否</v>
      </c>
    </row>
    <row r="1929" spans="1:15" hidden="1">
      <c r="A1929" t="s">
        <v>75</v>
      </c>
      <c r="B1929" t="s">
        <v>52</v>
      </c>
      <c r="C1929">
        <v>0.5</v>
      </c>
      <c r="D1929">
        <v>0.01</v>
      </c>
      <c r="E1929" s="27">
        <v>5000</v>
      </c>
      <c r="F1929">
        <v>7.28</v>
      </c>
      <c r="G1929">
        <v>1.68</v>
      </c>
      <c r="H1929">
        <v>8.9600000000000009</v>
      </c>
      <c r="I1929">
        <v>81.25</v>
      </c>
      <c r="J1929">
        <v>5.58</v>
      </c>
      <c r="K1929" s="9">
        <v>45339</v>
      </c>
      <c r="L1929">
        <f xml:space="preserve"> (交易處理資料__3[[#This Row],[售出工時]] * 60) / 5</f>
        <v>6</v>
      </c>
      <c r="M1929" t="str">
        <f>VLOOKUP(交易處理資料__3[[#This Row],[人員代號]],團隊分組!$B$1:$C$52,2,FALSE)</f>
        <v>查修團隊B</v>
      </c>
      <c r="N1929">
        <f>IF(交易處理資料__3[[#This Row],[上班時間]]=0,0,交易處理資料__3[[#This Row],[售出工時]]/交易處理資料__3[[#This Row],[上班時間]])</f>
        <v>5.5803571428571425E-2</v>
      </c>
      <c r="O1929" s="31" t="str">
        <f>IF(交易處理資料__3[[#This Row],[上班時間]]=0,"否","是")</f>
        <v>是</v>
      </c>
    </row>
    <row r="1930" spans="1:15" hidden="1">
      <c r="A1930" s="10" t="s">
        <v>73</v>
      </c>
      <c r="B1930" t="s">
        <v>1</v>
      </c>
      <c r="C1930">
        <v>0</v>
      </c>
      <c r="D1930">
        <v>0</v>
      </c>
      <c r="E1930" s="27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 s="9">
        <v>45340</v>
      </c>
      <c r="L1930">
        <f xml:space="preserve"> (交易處理資料__3[[#This Row],[售出工時]] * 60) / 5</f>
        <v>0</v>
      </c>
      <c r="M1930" t="str">
        <f>VLOOKUP(交易處理資料__3[[#This Row],[人員代號]],團隊分組!$B$1:$C$52,2,FALSE)</f>
        <v>噴漆維修組</v>
      </c>
      <c r="N1930">
        <f>IF(交易處理資料__3[[#This Row],[上班時間]]=0,0,交易處理資料__3[[#This Row],[售出工時]]/交易處理資料__3[[#This Row],[上班時間]])</f>
        <v>0</v>
      </c>
      <c r="O1930" s="31" t="str">
        <f>IF(交易處理資料__3[[#This Row],[上班時間]]=0,"否","是")</f>
        <v>否</v>
      </c>
    </row>
    <row r="1931" spans="1:15" hidden="1">
      <c r="A1931" s="10" t="s">
        <v>73</v>
      </c>
      <c r="B1931" t="s">
        <v>2</v>
      </c>
      <c r="C1931">
        <v>0</v>
      </c>
      <c r="D1931">
        <v>0</v>
      </c>
      <c r="E1931" s="27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 s="9">
        <v>45340</v>
      </c>
      <c r="L1931">
        <f xml:space="preserve"> (交易處理資料__3[[#This Row],[售出工時]] * 60) / 5</f>
        <v>0</v>
      </c>
      <c r="M1931" t="str">
        <f>VLOOKUP(交易處理資料__3[[#This Row],[人員代號]],團隊分組!$B$1:$C$52,2,FALSE)</f>
        <v>噴漆維修組</v>
      </c>
      <c r="N1931">
        <f>IF(交易處理資料__3[[#This Row],[上班時間]]=0,0,交易處理資料__3[[#This Row],[售出工時]]/交易處理資料__3[[#This Row],[上班時間]])</f>
        <v>0</v>
      </c>
      <c r="O1931" s="31" t="str">
        <f>IF(交易處理資料__3[[#This Row],[上班時間]]=0,"否","是")</f>
        <v>否</v>
      </c>
    </row>
    <row r="1932" spans="1:15" hidden="1">
      <c r="A1932" s="10" t="s">
        <v>73</v>
      </c>
      <c r="B1932" t="s">
        <v>3</v>
      </c>
      <c r="C1932">
        <v>0</v>
      </c>
      <c r="D1932">
        <v>0</v>
      </c>
      <c r="E1932" s="27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 s="9">
        <v>45340</v>
      </c>
      <c r="L1932">
        <f xml:space="preserve"> (交易處理資料__3[[#This Row],[售出工時]] * 60) / 5</f>
        <v>0</v>
      </c>
      <c r="M1932" t="str">
        <f>VLOOKUP(交易處理資料__3[[#This Row],[人員代號]],團隊分組!$B$1:$C$52,2,FALSE)</f>
        <v>噴漆維修組</v>
      </c>
      <c r="N1932">
        <f>IF(交易處理資料__3[[#This Row],[上班時間]]=0,0,交易處理資料__3[[#This Row],[售出工時]]/交易處理資料__3[[#This Row],[上班時間]])</f>
        <v>0</v>
      </c>
      <c r="O1932" s="31" t="str">
        <f>IF(交易處理資料__3[[#This Row],[上班時間]]=0,"否","是")</f>
        <v>否</v>
      </c>
    </row>
    <row r="1933" spans="1:15" hidden="1">
      <c r="A1933" s="10" t="s">
        <v>73</v>
      </c>
      <c r="B1933" t="s">
        <v>4</v>
      </c>
      <c r="C1933">
        <v>0</v>
      </c>
      <c r="D1933">
        <v>0</v>
      </c>
      <c r="E1933" s="27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 s="9">
        <v>45340</v>
      </c>
      <c r="L1933">
        <f xml:space="preserve"> (交易處理資料__3[[#This Row],[售出工時]] * 60) / 5</f>
        <v>0</v>
      </c>
      <c r="M1933" t="str">
        <f>VLOOKUP(交易處理資料__3[[#This Row],[人員代號]],團隊分組!$B$1:$C$52,2,FALSE)</f>
        <v>噴漆維修組</v>
      </c>
      <c r="N1933">
        <f>IF(交易處理資料__3[[#This Row],[上班時間]]=0,0,交易處理資料__3[[#This Row],[售出工時]]/交易處理資料__3[[#This Row],[上班時間]])</f>
        <v>0</v>
      </c>
      <c r="O1933" s="31" t="str">
        <f>IF(交易處理資料__3[[#This Row],[上班時間]]=0,"否","是")</f>
        <v>否</v>
      </c>
    </row>
    <row r="1934" spans="1:15" hidden="1">
      <c r="A1934" s="10" t="s">
        <v>73</v>
      </c>
      <c r="B1934" t="s">
        <v>5</v>
      </c>
      <c r="C1934">
        <v>0</v>
      </c>
      <c r="D1934">
        <v>0</v>
      </c>
      <c r="E1934" s="27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 s="9">
        <v>45340</v>
      </c>
      <c r="L1934">
        <f xml:space="preserve"> (交易處理資料__3[[#This Row],[售出工時]] * 60) / 5</f>
        <v>0</v>
      </c>
      <c r="M1934" t="str">
        <f>VLOOKUP(交易處理資料__3[[#This Row],[人員代號]],團隊分組!$B$1:$C$52,2,FALSE)</f>
        <v>噴漆維修組</v>
      </c>
      <c r="N1934">
        <f>IF(交易處理資料__3[[#This Row],[上班時間]]=0,0,交易處理資料__3[[#This Row],[售出工時]]/交易處理資料__3[[#This Row],[上班時間]])</f>
        <v>0</v>
      </c>
      <c r="O1934" s="31" t="str">
        <f>IF(交易處理資料__3[[#This Row],[上班時間]]=0,"否","是")</f>
        <v>否</v>
      </c>
    </row>
    <row r="1935" spans="1:15" hidden="1">
      <c r="A1935" s="10" t="s">
        <v>73</v>
      </c>
      <c r="B1935" t="s">
        <v>6</v>
      </c>
      <c r="C1935">
        <v>0</v>
      </c>
      <c r="D1935">
        <v>0</v>
      </c>
      <c r="E1935" s="27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 s="9">
        <v>45340</v>
      </c>
      <c r="L1935">
        <f xml:space="preserve"> (交易處理資料__3[[#This Row],[售出工時]] * 60) / 5</f>
        <v>0</v>
      </c>
      <c r="M1935" t="str">
        <f>VLOOKUP(交易處理資料__3[[#This Row],[人員代號]],團隊分組!$B$1:$C$52,2,FALSE)</f>
        <v>噴漆維修組</v>
      </c>
      <c r="N1935">
        <f>IF(交易處理資料__3[[#This Row],[上班時間]]=0,0,交易處理資料__3[[#This Row],[售出工時]]/交易處理資料__3[[#This Row],[上班時間]])</f>
        <v>0</v>
      </c>
      <c r="O1935" s="31" t="str">
        <f>IF(交易處理資料__3[[#This Row],[上班時間]]=0,"否","是")</f>
        <v>否</v>
      </c>
    </row>
    <row r="1936" spans="1:15" hidden="1">
      <c r="A1936" s="10" t="s">
        <v>73</v>
      </c>
      <c r="B1936" t="s">
        <v>7</v>
      </c>
      <c r="C1936">
        <v>0</v>
      </c>
      <c r="D1936">
        <v>0</v>
      </c>
      <c r="E1936" s="27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 s="9">
        <v>45340</v>
      </c>
      <c r="L1936">
        <f xml:space="preserve"> (交易處理資料__3[[#This Row],[售出工時]] * 60) / 5</f>
        <v>0</v>
      </c>
      <c r="M1936" t="str">
        <f>VLOOKUP(交易處理資料__3[[#This Row],[人員代號]],團隊分組!$B$1:$C$52,2,FALSE)</f>
        <v>噴漆維修組</v>
      </c>
      <c r="N1936">
        <f>IF(交易處理資料__3[[#This Row],[上班時間]]=0,0,交易處理資料__3[[#This Row],[售出工時]]/交易處理資料__3[[#This Row],[上班時間]])</f>
        <v>0</v>
      </c>
      <c r="O1936" s="31" t="str">
        <f>IF(交易處理資料__3[[#This Row],[上班時間]]=0,"否","是")</f>
        <v>否</v>
      </c>
    </row>
    <row r="1937" spans="1:15" hidden="1">
      <c r="A1937" s="10" t="s">
        <v>73</v>
      </c>
      <c r="B1937" t="s">
        <v>8</v>
      </c>
      <c r="C1937">
        <v>0</v>
      </c>
      <c r="D1937">
        <v>0</v>
      </c>
      <c r="E1937" s="2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 s="9">
        <v>45340</v>
      </c>
      <c r="L1937">
        <f xml:space="preserve"> (交易處理資料__3[[#This Row],[售出工時]] * 60) / 5</f>
        <v>0</v>
      </c>
      <c r="M1937" t="str">
        <f>VLOOKUP(交易處理資料__3[[#This Row],[人員代號]],團隊分組!$B$1:$C$52,2,FALSE)</f>
        <v>噴漆維修組</v>
      </c>
      <c r="N1937">
        <f>IF(交易處理資料__3[[#This Row],[上班時間]]=0,0,交易處理資料__3[[#This Row],[售出工時]]/交易處理資料__3[[#This Row],[上班時間]])</f>
        <v>0</v>
      </c>
      <c r="O1937" s="31" t="str">
        <f>IF(交易處理資料__3[[#This Row],[上班時間]]=0,"否","是")</f>
        <v>否</v>
      </c>
    </row>
    <row r="1938" spans="1:15" hidden="1">
      <c r="A1938" s="10" t="s">
        <v>73</v>
      </c>
      <c r="B1938" t="s">
        <v>9</v>
      </c>
      <c r="C1938">
        <v>0</v>
      </c>
      <c r="D1938">
        <v>0</v>
      </c>
      <c r="E1938" s="27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 s="9">
        <v>45340</v>
      </c>
      <c r="L1938">
        <f xml:space="preserve"> (交易處理資料__3[[#This Row],[售出工時]] * 60) / 5</f>
        <v>0</v>
      </c>
      <c r="M1938" t="str">
        <f>VLOOKUP(交易處理資料__3[[#This Row],[人員代號]],團隊分組!$B$1:$C$52,2,FALSE)</f>
        <v>噴漆維修組</v>
      </c>
      <c r="N1938">
        <f>IF(交易處理資料__3[[#This Row],[上班時間]]=0,0,交易處理資料__3[[#This Row],[售出工時]]/交易處理資料__3[[#This Row],[上班時間]])</f>
        <v>0</v>
      </c>
      <c r="O1938" s="31" t="str">
        <f>IF(交易處理資料__3[[#This Row],[上班時間]]=0,"否","是")</f>
        <v>否</v>
      </c>
    </row>
    <row r="1939" spans="1:15" hidden="1">
      <c r="A1939" t="s">
        <v>74</v>
      </c>
      <c r="B1939" t="s">
        <v>11</v>
      </c>
      <c r="C1939">
        <v>0</v>
      </c>
      <c r="D1939">
        <v>0</v>
      </c>
      <c r="E1939" s="27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 s="9">
        <v>45340</v>
      </c>
      <c r="L1939">
        <f xml:space="preserve"> (交易處理資料__3[[#This Row],[售出工時]] * 60) / 5</f>
        <v>0</v>
      </c>
      <c r="M1939" t="str">
        <f>VLOOKUP(交易處理資料__3[[#This Row],[人員代號]],團隊分組!$B$1:$C$52,2,FALSE)</f>
        <v>鈑金維修組</v>
      </c>
      <c r="N1939">
        <f>IF(交易處理資料__3[[#This Row],[上班時間]]=0,0,交易處理資料__3[[#This Row],[售出工時]]/交易處理資料__3[[#This Row],[上班時間]])</f>
        <v>0</v>
      </c>
      <c r="O1939" s="31" t="str">
        <f>IF(交易處理資料__3[[#This Row],[上班時間]]=0,"否","是")</f>
        <v>否</v>
      </c>
    </row>
    <row r="1940" spans="1:15" hidden="1">
      <c r="A1940" t="s">
        <v>74</v>
      </c>
      <c r="B1940" t="s">
        <v>12</v>
      </c>
      <c r="C1940">
        <v>0</v>
      </c>
      <c r="D1940">
        <v>0</v>
      </c>
      <c r="E1940" s="27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 s="9">
        <v>45340</v>
      </c>
      <c r="L1940">
        <f xml:space="preserve"> (交易處理資料__3[[#This Row],[售出工時]] * 60) / 5</f>
        <v>0</v>
      </c>
      <c r="M1940" t="str">
        <f>VLOOKUP(交易處理資料__3[[#This Row],[人員代號]],團隊分組!$B$1:$C$52,2,FALSE)</f>
        <v>鈑金維修組</v>
      </c>
      <c r="N1940">
        <f>IF(交易處理資料__3[[#This Row],[上班時間]]=0,0,交易處理資料__3[[#This Row],[售出工時]]/交易處理資料__3[[#This Row],[上班時間]])</f>
        <v>0</v>
      </c>
      <c r="O1940" s="31" t="str">
        <f>IF(交易處理資料__3[[#This Row],[上班時間]]=0,"否","是")</f>
        <v>否</v>
      </c>
    </row>
    <row r="1941" spans="1:15" hidden="1">
      <c r="A1941" t="s">
        <v>74</v>
      </c>
      <c r="B1941" t="s">
        <v>13</v>
      </c>
      <c r="C1941">
        <v>0</v>
      </c>
      <c r="D1941">
        <v>0</v>
      </c>
      <c r="E1941" s="27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 s="9">
        <v>45340</v>
      </c>
      <c r="L1941">
        <f xml:space="preserve"> (交易處理資料__3[[#This Row],[售出工時]] * 60) / 5</f>
        <v>0</v>
      </c>
      <c r="M1941" t="str">
        <f>VLOOKUP(交易處理資料__3[[#This Row],[人員代號]],團隊分組!$B$1:$C$52,2,FALSE)</f>
        <v>鈑金維修組</v>
      </c>
      <c r="N1941">
        <f>IF(交易處理資料__3[[#This Row],[上班時間]]=0,0,交易處理資料__3[[#This Row],[售出工時]]/交易處理資料__3[[#This Row],[上班時間]])</f>
        <v>0</v>
      </c>
      <c r="O1941" s="31" t="str">
        <f>IF(交易處理資料__3[[#This Row],[上班時間]]=0,"否","是")</f>
        <v>否</v>
      </c>
    </row>
    <row r="1942" spans="1:15" hidden="1">
      <c r="A1942" t="s">
        <v>74</v>
      </c>
      <c r="B1942" t="s">
        <v>14</v>
      </c>
      <c r="C1942">
        <v>0</v>
      </c>
      <c r="D1942">
        <v>0</v>
      </c>
      <c r="E1942" s="27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 s="9">
        <v>45340</v>
      </c>
      <c r="L1942">
        <f xml:space="preserve"> (交易處理資料__3[[#This Row],[售出工時]] * 60) / 5</f>
        <v>0</v>
      </c>
      <c r="M1942" t="str">
        <f>VLOOKUP(交易處理資料__3[[#This Row],[人員代號]],團隊分組!$B$1:$C$52,2,FALSE)</f>
        <v>鈑金維修組</v>
      </c>
      <c r="N1942">
        <f>IF(交易處理資料__3[[#This Row],[上班時間]]=0,0,交易處理資料__3[[#This Row],[售出工時]]/交易處理資料__3[[#This Row],[上班時間]])</f>
        <v>0</v>
      </c>
      <c r="O1942" s="31" t="str">
        <f>IF(交易處理資料__3[[#This Row],[上班時間]]=0,"否","是")</f>
        <v>否</v>
      </c>
    </row>
    <row r="1943" spans="1:15" hidden="1">
      <c r="A1943" t="s">
        <v>74</v>
      </c>
      <c r="B1943" t="s">
        <v>15</v>
      </c>
      <c r="C1943">
        <v>0</v>
      </c>
      <c r="D1943">
        <v>0</v>
      </c>
      <c r="E1943" s="27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 s="9">
        <v>45340</v>
      </c>
      <c r="L1943">
        <f xml:space="preserve"> (交易處理資料__3[[#This Row],[售出工時]] * 60) / 5</f>
        <v>0</v>
      </c>
      <c r="M1943" t="str">
        <f>VLOOKUP(交易處理資料__3[[#This Row],[人員代號]],團隊分組!$B$1:$C$52,2,FALSE)</f>
        <v>鈑金維修組</v>
      </c>
      <c r="N1943">
        <f>IF(交易處理資料__3[[#This Row],[上班時間]]=0,0,交易處理資料__3[[#This Row],[售出工時]]/交易處理資料__3[[#This Row],[上班時間]])</f>
        <v>0</v>
      </c>
      <c r="O1943" s="31" t="str">
        <f>IF(交易處理資料__3[[#This Row],[上班時間]]=0,"否","是")</f>
        <v>否</v>
      </c>
    </row>
    <row r="1944" spans="1:15" hidden="1">
      <c r="A1944" t="s">
        <v>75</v>
      </c>
      <c r="B1944" t="s">
        <v>17</v>
      </c>
      <c r="C1944">
        <v>0</v>
      </c>
      <c r="D1944">
        <v>0</v>
      </c>
      <c r="E1944" s="27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 s="9">
        <v>45340</v>
      </c>
      <c r="L1944">
        <f xml:space="preserve"> (交易處理資料__3[[#This Row],[售出工時]] * 60) / 5</f>
        <v>0</v>
      </c>
      <c r="M1944" t="str">
        <f>VLOOKUP(交易處理資料__3[[#This Row],[人員代號]],團隊分組!$B$1:$C$52,2,FALSE)</f>
        <v>快速保養團隊A</v>
      </c>
      <c r="N1944">
        <f>IF(交易處理資料__3[[#This Row],[上班時間]]=0,0,交易處理資料__3[[#This Row],[售出工時]]/交易處理資料__3[[#This Row],[上班時間]])</f>
        <v>0</v>
      </c>
      <c r="O1944" s="31" t="str">
        <f>IF(交易處理資料__3[[#This Row],[上班時間]]=0,"否","是")</f>
        <v>否</v>
      </c>
    </row>
    <row r="1945" spans="1:15" hidden="1">
      <c r="A1945" t="s">
        <v>75</v>
      </c>
      <c r="B1945" t="s">
        <v>18</v>
      </c>
      <c r="C1945">
        <v>0</v>
      </c>
      <c r="D1945">
        <v>0</v>
      </c>
      <c r="E1945" s="27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 s="9">
        <v>45340</v>
      </c>
      <c r="L1945">
        <f xml:space="preserve"> (交易處理資料__3[[#This Row],[售出工時]] * 60) / 5</f>
        <v>0</v>
      </c>
      <c r="M1945" t="str">
        <f>VLOOKUP(交易處理資料__3[[#This Row],[人員代號]],團隊分組!$B$1:$C$52,2,FALSE)</f>
        <v>查修團隊B</v>
      </c>
      <c r="N1945">
        <f>IF(交易處理資料__3[[#This Row],[上班時間]]=0,0,交易處理資料__3[[#This Row],[售出工時]]/交易處理資料__3[[#This Row],[上班時間]])</f>
        <v>0</v>
      </c>
      <c r="O1945" s="31" t="str">
        <f>IF(交易處理資料__3[[#This Row],[上班時間]]=0,"否","是")</f>
        <v>否</v>
      </c>
    </row>
    <row r="1946" spans="1:15" hidden="1">
      <c r="A1946" t="s">
        <v>75</v>
      </c>
      <c r="B1946" t="s">
        <v>19</v>
      </c>
      <c r="C1946">
        <v>0</v>
      </c>
      <c r="D1946">
        <v>0</v>
      </c>
      <c r="E1946" s="27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 s="9">
        <v>45340</v>
      </c>
      <c r="L1946">
        <f xml:space="preserve"> (交易處理資料__3[[#This Row],[售出工時]] * 60) / 5</f>
        <v>0</v>
      </c>
      <c r="M1946" t="str">
        <f>VLOOKUP(交易處理資料__3[[#This Row],[人員代號]],團隊分組!$B$1:$C$52,2,FALSE)</f>
        <v>查修團隊A</v>
      </c>
      <c r="N1946">
        <f>IF(交易處理資料__3[[#This Row],[上班時間]]=0,0,交易處理資料__3[[#This Row],[售出工時]]/交易處理資料__3[[#This Row],[上班時間]])</f>
        <v>0</v>
      </c>
      <c r="O1946" s="31" t="str">
        <f>IF(交易處理資料__3[[#This Row],[上班時間]]=0,"否","是")</f>
        <v>否</v>
      </c>
    </row>
    <row r="1947" spans="1:15" hidden="1">
      <c r="A1947" t="s">
        <v>75</v>
      </c>
      <c r="B1947" t="s">
        <v>20</v>
      </c>
      <c r="C1947">
        <v>0</v>
      </c>
      <c r="D1947">
        <v>0</v>
      </c>
      <c r="E1947" s="2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 s="9">
        <v>45340</v>
      </c>
      <c r="L1947">
        <f xml:space="preserve"> (交易處理資料__3[[#This Row],[售出工時]] * 60) / 5</f>
        <v>0</v>
      </c>
      <c r="M1947" t="str">
        <f>VLOOKUP(交易處理資料__3[[#This Row],[人員代號]],團隊分組!$B$1:$C$52,2,FALSE)</f>
        <v>查修團隊B</v>
      </c>
      <c r="N1947">
        <f>IF(交易處理資料__3[[#This Row],[上班時間]]=0,0,交易處理資料__3[[#This Row],[售出工時]]/交易處理資料__3[[#This Row],[上班時間]])</f>
        <v>0</v>
      </c>
      <c r="O1947" s="31" t="str">
        <f>IF(交易處理資料__3[[#This Row],[上班時間]]=0,"否","是")</f>
        <v>否</v>
      </c>
    </row>
    <row r="1948" spans="1:15" hidden="1">
      <c r="A1948" t="s">
        <v>75</v>
      </c>
      <c r="B1948" t="s">
        <v>21</v>
      </c>
      <c r="C1948">
        <v>0</v>
      </c>
      <c r="D1948">
        <v>0</v>
      </c>
      <c r="E1948" s="27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 s="9">
        <v>45340</v>
      </c>
      <c r="L1948">
        <f xml:space="preserve"> (交易處理資料__3[[#This Row],[售出工時]] * 60) / 5</f>
        <v>0</v>
      </c>
      <c r="M1948" t="str">
        <f>VLOOKUP(交易處理資料__3[[#This Row],[人員代號]],團隊分組!$B$1:$C$52,2,FALSE)</f>
        <v>查修團隊B</v>
      </c>
      <c r="N1948">
        <f>IF(交易處理資料__3[[#This Row],[上班時間]]=0,0,交易處理資料__3[[#This Row],[售出工時]]/交易處理資料__3[[#This Row],[上班時間]])</f>
        <v>0</v>
      </c>
      <c r="O1948" s="31" t="str">
        <f>IF(交易處理資料__3[[#This Row],[上班時間]]=0,"否","是")</f>
        <v>否</v>
      </c>
    </row>
    <row r="1949" spans="1:15" hidden="1">
      <c r="A1949" t="s">
        <v>75</v>
      </c>
      <c r="B1949" t="s">
        <v>22</v>
      </c>
      <c r="C1949">
        <v>0</v>
      </c>
      <c r="D1949">
        <v>0</v>
      </c>
      <c r="E1949" s="27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 s="9">
        <v>45340</v>
      </c>
      <c r="L1949">
        <f xml:space="preserve"> (交易處理資料__3[[#This Row],[售出工時]] * 60) / 5</f>
        <v>0</v>
      </c>
      <c r="M1949" t="str">
        <f>VLOOKUP(交易處理資料__3[[#This Row],[人員代號]],團隊分組!$B$1:$C$52,2,FALSE)</f>
        <v>快速保養團隊A</v>
      </c>
      <c r="N1949">
        <f>IF(交易處理資料__3[[#This Row],[上班時間]]=0,0,交易處理資料__3[[#This Row],[售出工時]]/交易處理資料__3[[#This Row],[上班時間]])</f>
        <v>0</v>
      </c>
      <c r="O1949" s="31" t="str">
        <f>IF(交易處理資料__3[[#This Row],[上班時間]]=0,"否","是")</f>
        <v>否</v>
      </c>
    </row>
    <row r="1950" spans="1:15" hidden="1">
      <c r="A1950" t="s">
        <v>75</v>
      </c>
      <c r="B1950" t="s">
        <v>23</v>
      </c>
      <c r="C1950">
        <v>0</v>
      </c>
      <c r="D1950">
        <v>0</v>
      </c>
      <c r="E1950" s="27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 s="9">
        <v>45340</v>
      </c>
      <c r="L1950">
        <f xml:space="preserve"> (交易處理資料__3[[#This Row],[售出工時]] * 60) / 5</f>
        <v>0</v>
      </c>
      <c r="M1950" t="str">
        <f>VLOOKUP(交易處理資料__3[[#This Row],[人員代號]],團隊分組!$B$1:$C$52,2,FALSE)</f>
        <v>快速保養團隊B</v>
      </c>
      <c r="N1950">
        <f>IF(交易處理資料__3[[#This Row],[上班時間]]=0,0,交易處理資料__3[[#This Row],[售出工時]]/交易處理資料__3[[#This Row],[上班時間]])</f>
        <v>0</v>
      </c>
      <c r="O1950" s="31" t="str">
        <f>IF(交易處理資料__3[[#This Row],[上班時間]]=0,"否","是")</f>
        <v>否</v>
      </c>
    </row>
    <row r="1951" spans="1:15" hidden="1">
      <c r="A1951" t="s">
        <v>75</v>
      </c>
      <c r="B1951" t="s">
        <v>24</v>
      </c>
      <c r="C1951">
        <v>0</v>
      </c>
      <c r="D1951">
        <v>0</v>
      </c>
      <c r="E1951" s="27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 s="9">
        <v>45340</v>
      </c>
      <c r="L1951">
        <f xml:space="preserve"> (交易處理資料__3[[#This Row],[售出工時]] * 60) / 5</f>
        <v>0</v>
      </c>
      <c r="M1951" t="str">
        <f>VLOOKUP(交易處理資料__3[[#This Row],[人員代號]],團隊分組!$B$1:$C$52,2,FALSE)</f>
        <v>快速保養團隊A</v>
      </c>
      <c r="N1951">
        <f>IF(交易處理資料__3[[#This Row],[上班時間]]=0,0,交易處理資料__3[[#This Row],[售出工時]]/交易處理資料__3[[#This Row],[上班時間]])</f>
        <v>0</v>
      </c>
      <c r="O1951" s="31" t="str">
        <f>IF(交易處理資料__3[[#This Row],[上班時間]]=0,"否","是")</f>
        <v>否</v>
      </c>
    </row>
    <row r="1952" spans="1:15" hidden="1">
      <c r="A1952" t="s">
        <v>75</v>
      </c>
      <c r="B1952" t="s">
        <v>25</v>
      </c>
      <c r="C1952">
        <v>0</v>
      </c>
      <c r="D1952">
        <v>0</v>
      </c>
      <c r="E1952" s="27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 s="9">
        <v>45340</v>
      </c>
      <c r="L1952">
        <f xml:space="preserve"> (交易處理資料__3[[#This Row],[售出工時]] * 60) / 5</f>
        <v>0</v>
      </c>
      <c r="M1952" t="str">
        <f>VLOOKUP(交易處理資料__3[[#This Row],[人員代號]],團隊分組!$B$1:$C$52,2,FALSE)</f>
        <v>查修團隊A</v>
      </c>
      <c r="N1952">
        <f>IF(交易處理資料__3[[#This Row],[上班時間]]=0,0,交易處理資料__3[[#This Row],[售出工時]]/交易處理資料__3[[#This Row],[上班時間]])</f>
        <v>0</v>
      </c>
      <c r="O1952" s="31" t="str">
        <f>IF(交易處理資料__3[[#This Row],[上班時間]]=0,"否","是")</f>
        <v>否</v>
      </c>
    </row>
    <row r="1953" spans="1:15" hidden="1">
      <c r="A1953" t="s">
        <v>75</v>
      </c>
      <c r="B1953" t="s">
        <v>26</v>
      </c>
      <c r="C1953">
        <v>0</v>
      </c>
      <c r="D1953">
        <v>0</v>
      </c>
      <c r="E1953" s="27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 s="9">
        <v>45340</v>
      </c>
      <c r="L1953">
        <f xml:space="preserve"> (交易處理資料__3[[#This Row],[售出工時]] * 60) / 5</f>
        <v>0</v>
      </c>
      <c r="M1953" t="str">
        <f>VLOOKUP(交易處理資料__3[[#This Row],[人員代號]],團隊分組!$B$1:$C$52,2,FALSE)</f>
        <v>查修團隊B</v>
      </c>
      <c r="N1953">
        <f>IF(交易處理資料__3[[#This Row],[上班時間]]=0,0,交易處理資料__3[[#This Row],[售出工時]]/交易處理資料__3[[#This Row],[上班時間]])</f>
        <v>0</v>
      </c>
      <c r="O1953" s="31" t="str">
        <f>IF(交易處理資料__3[[#This Row],[上班時間]]=0,"否","是")</f>
        <v>否</v>
      </c>
    </row>
    <row r="1954" spans="1:15" hidden="1">
      <c r="A1954" t="s">
        <v>75</v>
      </c>
      <c r="B1954" t="s">
        <v>27</v>
      </c>
      <c r="C1954">
        <v>0</v>
      </c>
      <c r="D1954">
        <v>0</v>
      </c>
      <c r="E1954" s="27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 s="9">
        <v>45340</v>
      </c>
      <c r="L1954">
        <f xml:space="preserve"> (交易處理資料__3[[#This Row],[售出工時]] * 60) / 5</f>
        <v>0</v>
      </c>
      <c r="M1954" t="str">
        <f>VLOOKUP(交易處理資料__3[[#This Row],[人員代號]],團隊分組!$B$1:$C$52,2,FALSE)</f>
        <v>快速保養團隊B</v>
      </c>
      <c r="N1954">
        <f>IF(交易處理資料__3[[#This Row],[上班時間]]=0,0,交易處理資料__3[[#This Row],[售出工時]]/交易處理資料__3[[#This Row],[上班時間]])</f>
        <v>0</v>
      </c>
      <c r="O1954" s="31" t="str">
        <f>IF(交易處理資料__3[[#This Row],[上班時間]]=0,"否","是")</f>
        <v>否</v>
      </c>
    </row>
    <row r="1955" spans="1:15" hidden="1">
      <c r="A1955" t="s">
        <v>75</v>
      </c>
      <c r="B1955" t="s">
        <v>28</v>
      </c>
      <c r="C1955">
        <v>0</v>
      </c>
      <c r="D1955">
        <v>0</v>
      </c>
      <c r="E1955" s="27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 s="9">
        <v>45340</v>
      </c>
      <c r="L1955">
        <f xml:space="preserve"> (交易處理資料__3[[#This Row],[售出工時]] * 60) / 5</f>
        <v>0</v>
      </c>
      <c r="M1955" t="str">
        <f>VLOOKUP(交易處理資料__3[[#This Row],[人員代號]],團隊分組!$B$1:$C$52,2,FALSE)</f>
        <v>快速保養團隊A</v>
      </c>
      <c r="N1955">
        <f>IF(交易處理資料__3[[#This Row],[上班時間]]=0,0,交易處理資料__3[[#This Row],[售出工時]]/交易處理資料__3[[#This Row],[上班時間]])</f>
        <v>0</v>
      </c>
      <c r="O1955" s="31" t="str">
        <f>IF(交易處理資料__3[[#This Row],[上班時間]]=0,"否","是")</f>
        <v>否</v>
      </c>
    </row>
    <row r="1956" spans="1:15" hidden="1">
      <c r="A1956" t="s">
        <v>75</v>
      </c>
      <c r="B1956" t="s">
        <v>29</v>
      </c>
      <c r="C1956">
        <v>0</v>
      </c>
      <c r="D1956">
        <v>0</v>
      </c>
      <c r="E1956" s="27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 s="9">
        <v>45340</v>
      </c>
      <c r="L1956">
        <f xml:space="preserve"> (交易處理資料__3[[#This Row],[售出工時]] * 60) / 5</f>
        <v>0</v>
      </c>
      <c r="M1956" t="str">
        <f>VLOOKUP(交易處理資料__3[[#This Row],[人員代號]],團隊分組!$B$1:$C$52,2,FALSE)</f>
        <v>查修團隊B</v>
      </c>
      <c r="N1956">
        <f>IF(交易處理資料__3[[#This Row],[上班時間]]=0,0,交易處理資料__3[[#This Row],[售出工時]]/交易處理資料__3[[#This Row],[上班時間]])</f>
        <v>0</v>
      </c>
      <c r="O1956" s="31" t="str">
        <f>IF(交易處理資料__3[[#This Row],[上班時間]]=0,"否","是")</f>
        <v>否</v>
      </c>
    </row>
    <row r="1957" spans="1:15" hidden="1">
      <c r="A1957" t="s">
        <v>75</v>
      </c>
      <c r="B1957" t="s">
        <v>30</v>
      </c>
      <c r="C1957">
        <v>0</v>
      </c>
      <c r="D1957">
        <v>0</v>
      </c>
      <c r="E1957" s="2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 s="9">
        <v>45340</v>
      </c>
      <c r="L1957">
        <f xml:space="preserve"> (交易處理資料__3[[#This Row],[售出工時]] * 60) / 5</f>
        <v>0</v>
      </c>
      <c r="M1957" t="str">
        <f>VLOOKUP(交易處理資料__3[[#This Row],[人員代號]],團隊分組!$B$1:$C$52,2,FALSE)</f>
        <v>快速保養團隊B</v>
      </c>
      <c r="N1957">
        <f>IF(交易處理資料__3[[#This Row],[上班時間]]=0,0,交易處理資料__3[[#This Row],[售出工時]]/交易處理資料__3[[#This Row],[上班時間]])</f>
        <v>0</v>
      </c>
      <c r="O1957" s="31" t="str">
        <f>IF(交易處理資料__3[[#This Row],[上班時間]]=0,"否","是")</f>
        <v>否</v>
      </c>
    </row>
    <row r="1958" spans="1:15" hidden="1">
      <c r="A1958" t="s">
        <v>75</v>
      </c>
      <c r="B1958" t="s">
        <v>32</v>
      </c>
      <c r="C1958">
        <v>0</v>
      </c>
      <c r="D1958">
        <v>0</v>
      </c>
      <c r="E1958" s="27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 s="9">
        <v>45340</v>
      </c>
      <c r="L1958">
        <f xml:space="preserve"> (交易處理資料__3[[#This Row],[售出工時]] * 60) / 5</f>
        <v>0</v>
      </c>
      <c r="M1958" t="str">
        <f>VLOOKUP(交易處理資料__3[[#This Row],[人員代號]],團隊分組!$B$1:$C$52,2,FALSE)</f>
        <v>快速保養團隊B</v>
      </c>
      <c r="N1958">
        <f>IF(交易處理資料__3[[#This Row],[上班時間]]=0,0,交易處理資料__3[[#This Row],[售出工時]]/交易處理資料__3[[#This Row],[上班時間]])</f>
        <v>0</v>
      </c>
      <c r="O1958" s="31" t="str">
        <f>IF(交易處理資料__3[[#This Row],[上班時間]]=0,"否","是")</f>
        <v>否</v>
      </c>
    </row>
    <row r="1959" spans="1:15">
      <c r="A1959" t="s">
        <v>75</v>
      </c>
      <c r="B1959" t="s">
        <v>33</v>
      </c>
      <c r="C1959">
        <v>0</v>
      </c>
      <c r="D1959">
        <v>0</v>
      </c>
      <c r="E1959" s="27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 s="9">
        <v>45340</v>
      </c>
      <c r="L1959">
        <f xml:space="preserve"> (交易處理資料__3[[#This Row],[售出工時]] * 60) / 5</f>
        <v>0</v>
      </c>
      <c r="M1959" t="str">
        <f>VLOOKUP(交易處理資料__3[[#This Row],[人員代號]],團隊分組!$B$1:$C$52,2,FALSE)</f>
        <v>快速保養團隊B</v>
      </c>
      <c r="N1959">
        <f>IF(交易處理資料__3[[#This Row],[上班時間]]=0,0,交易處理資料__3[[#This Row],[售出工時]]/交易處理資料__3[[#This Row],[上班時間]])</f>
        <v>0</v>
      </c>
      <c r="O1959" s="31" t="str">
        <f>IF(交易處理資料__3[[#This Row],[上班時間]]=0,"否","是")</f>
        <v>否</v>
      </c>
    </row>
    <row r="1960" spans="1:15" hidden="1">
      <c r="A1960" t="s">
        <v>75</v>
      </c>
      <c r="B1960" t="s">
        <v>34</v>
      </c>
      <c r="C1960">
        <v>0</v>
      </c>
      <c r="D1960">
        <v>0</v>
      </c>
      <c r="E1960" s="27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 s="9">
        <v>45340</v>
      </c>
      <c r="L1960">
        <f xml:space="preserve"> (交易處理資料__3[[#This Row],[售出工時]] * 60) / 5</f>
        <v>0</v>
      </c>
      <c r="M1960" t="str">
        <f>VLOOKUP(交易處理資料__3[[#This Row],[人員代號]],團隊分組!$B$1:$C$52,2,FALSE)</f>
        <v>快速保養團隊A</v>
      </c>
      <c r="N1960">
        <f>IF(交易處理資料__3[[#This Row],[上班時間]]=0,0,交易處理資料__3[[#This Row],[售出工時]]/交易處理資料__3[[#This Row],[上班時間]])</f>
        <v>0</v>
      </c>
      <c r="O1960" s="31" t="str">
        <f>IF(交易處理資料__3[[#This Row],[上班時間]]=0,"否","是")</f>
        <v>否</v>
      </c>
    </row>
    <row r="1961" spans="1:15" hidden="1">
      <c r="A1961" t="s">
        <v>75</v>
      </c>
      <c r="B1961" t="s">
        <v>35</v>
      </c>
      <c r="C1961">
        <v>0</v>
      </c>
      <c r="D1961">
        <v>0</v>
      </c>
      <c r="E1961" s="27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 s="9">
        <v>45340</v>
      </c>
      <c r="L1961">
        <f xml:space="preserve"> (交易處理資料__3[[#This Row],[售出工時]] * 60) / 5</f>
        <v>0</v>
      </c>
      <c r="M1961" t="str">
        <f>VLOOKUP(交易處理資料__3[[#This Row],[人員代號]],團隊分組!$B$1:$C$52,2,FALSE)</f>
        <v>查修團隊B</v>
      </c>
      <c r="N1961">
        <f>IF(交易處理資料__3[[#This Row],[上班時間]]=0,0,交易處理資料__3[[#This Row],[售出工時]]/交易處理資料__3[[#This Row],[上班時間]])</f>
        <v>0</v>
      </c>
      <c r="O1961" s="31" t="str">
        <f>IF(交易處理資料__3[[#This Row],[上班時間]]=0,"否","是")</f>
        <v>否</v>
      </c>
    </row>
    <row r="1962" spans="1:15" hidden="1">
      <c r="A1962" t="s">
        <v>75</v>
      </c>
      <c r="B1962" t="s">
        <v>36</v>
      </c>
      <c r="C1962">
        <v>0</v>
      </c>
      <c r="D1962">
        <v>0</v>
      </c>
      <c r="E1962" s="27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 s="9">
        <v>45340</v>
      </c>
      <c r="L1962">
        <f xml:space="preserve"> (交易處理資料__3[[#This Row],[售出工時]] * 60) / 5</f>
        <v>0</v>
      </c>
      <c r="M1962" t="str">
        <f>VLOOKUP(交易處理資料__3[[#This Row],[人員代號]],團隊分組!$B$1:$C$52,2,FALSE)</f>
        <v>查修團隊B</v>
      </c>
      <c r="N1962">
        <f>IF(交易處理資料__3[[#This Row],[上班時間]]=0,0,交易處理資料__3[[#This Row],[售出工時]]/交易處理資料__3[[#This Row],[上班時間]])</f>
        <v>0</v>
      </c>
      <c r="O1962" s="31" t="str">
        <f>IF(交易處理資料__3[[#This Row],[上班時間]]=0,"否","是")</f>
        <v>否</v>
      </c>
    </row>
    <row r="1963" spans="1:15" hidden="1">
      <c r="A1963" t="s">
        <v>75</v>
      </c>
      <c r="B1963" t="s">
        <v>37</v>
      </c>
      <c r="C1963">
        <v>0</v>
      </c>
      <c r="D1963">
        <v>0</v>
      </c>
      <c r="E1963" s="27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 s="9">
        <v>45340</v>
      </c>
      <c r="L1963">
        <f xml:space="preserve"> (交易處理資料__3[[#This Row],[售出工時]] * 60) / 5</f>
        <v>0</v>
      </c>
      <c r="M1963" t="str">
        <f>VLOOKUP(交易處理資料__3[[#This Row],[人員代號]],團隊分組!$B$1:$C$52,2,FALSE)</f>
        <v>查修團隊A</v>
      </c>
      <c r="N1963">
        <f>IF(交易處理資料__3[[#This Row],[上班時間]]=0,0,交易處理資料__3[[#This Row],[售出工時]]/交易處理資料__3[[#This Row],[上班時間]])</f>
        <v>0</v>
      </c>
      <c r="O1963" s="31" t="str">
        <f>IF(交易處理資料__3[[#This Row],[上班時間]]=0,"否","是")</f>
        <v>否</v>
      </c>
    </row>
    <row r="1964" spans="1:15" hidden="1">
      <c r="A1964" t="s">
        <v>75</v>
      </c>
      <c r="B1964" t="s">
        <v>38</v>
      </c>
      <c r="C1964">
        <v>0</v>
      </c>
      <c r="D1964">
        <v>0</v>
      </c>
      <c r="E1964" s="27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 s="9">
        <v>45340</v>
      </c>
      <c r="L1964">
        <f xml:space="preserve"> (交易處理資料__3[[#This Row],[售出工時]] * 60) / 5</f>
        <v>0</v>
      </c>
      <c r="M1964" t="str">
        <f>VLOOKUP(交易處理資料__3[[#This Row],[人員代號]],團隊分組!$B$1:$C$52,2,FALSE)</f>
        <v>快速保養團隊A</v>
      </c>
      <c r="N1964">
        <f>IF(交易處理資料__3[[#This Row],[上班時間]]=0,0,交易處理資料__3[[#This Row],[售出工時]]/交易處理資料__3[[#This Row],[上班時間]])</f>
        <v>0</v>
      </c>
      <c r="O1964" s="31" t="str">
        <f>IF(交易處理資料__3[[#This Row],[上班時間]]=0,"否","是")</f>
        <v>否</v>
      </c>
    </row>
    <row r="1965" spans="1:15" hidden="1">
      <c r="A1965" t="s">
        <v>75</v>
      </c>
      <c r="B1965" t="s">
        <v>39</v>
      </c>
      <c r="C1965">
        <v>0</v>
      </c>
      <c r="D1965">
        <v>0</v>
      </c>
      <c r="E1965" s="27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 s="9">
        <v>45340</v>
      </c>
      <c r="L1965">
        <f xml:space="preserve"> (交易處理資料__3[[#This Row],[售出工時]] * 60) / 5</f>
        <v>0</v>
      </c>
      <c r="M1965" t="str">
        <f>VLOOKUP(交易處理資料__3[[#This Row],[人員代號]],團隊分組!$B$1:$C$52,2,FALSE)</f>
        <v>查修團隊A</v>
      </c>
      <c r="N1965">
        <f>IF(交易處理資料__3[[#This Row],[上班時間]]=0,0,交易處理資料__3[[#This Row],[售出工時]]/交易處理資料__3[[#This Row],[上班時間]])</f>
        <v>0</v>
      </c>
      <c r="O1965" s="31" t="str">
        <f>IF(交易處理資料__3[[#This Row],[上班時間]]=0,"否","是")</f>
        <v>否</v>
      </c>
    </row>
    <row r="1966" spans="1:15" hidden="1">
      <c r="A1966" t="s">
        <v>75</v>
      </c>
      <c r="B1966" t="s">
        <v>40</v>
      </c>
      <c r="C1966">
        <v>0</v>
      </c>
      <c r="D1966">
        <v>0</v>
      </c>
      <c r="E1966" s="27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 s="9">
        <v>45340</v>
      </c>
      <c r="L1966">
        <f xml:space="preserve"> (交易處理資料__3[[#This Row],[售出工時]] * 60) / 5</f>
        <v>0</v>
      </c>
      <c r="M1966" t="str">
        <f>VLOOKUP(交易處理資料__3[[#This Row],[人員代號]],團隊分組!$B$1:$C$52,2,FALSE)</f>
        <v>查修團隊A</v>
      </c>
      <c r="N1966">
        <f>IF(交易處理資料__3[[#This Row],[上班時間]]=0,0,交易處理資料__3[[#This Row],[售出工時]]/交易處理資料__3[[#This Row],[上班時間]])</f>
        <v>0</v>
      </c>
      <c r="O1966" s="31" t="str">
        <f>IF(交易處理資料__3[[#This Row],[上班時間]]=0,"否","是")</f>
        <v>否</v>
      </c>
    </row>
    <row r="1967" spans="1:15" hidden="1">
      <c r="A1967" t="s">
        <v>75</v>
      </c>
      <c r="B1967" t="s">
        <v>41</v>
      </c>
      <c r="C1967">
        <v>0</v>
      </c>
      <c r="D1967">
        <v>0</v>
      </c>
      <c r="E1967" s="2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 s="9">
        <v>45340</v>
      </c>
      <c r="L1967">
        <f xml:space="preserve"> (交易處理資料__3[[#This Row],[售出工時]] * 60) / 5</f>
        <v>0</v>
      </c>
      <c r="M1967" t="str">
        <f>VLOOKUP(交易處理資料__3[[#This Row],[人員代號]],團隊分組!$B$1:$C$52,2,FALSE)</f>
        <v>快速保養團隊A</v>
      </c>
      <c r="N1967">
        <f>IF(交易處理資料__3[[#This Row],[上班時間]]=0,0,交易處理資料__3[[#This Row],[售出工時]]/交易處理資料__3[[#This Row],[上班時間]])</f>
        <v>0</v>
      </c>
      <c r="O1967" s="31" t="str">
        <f>IF(交易處理資料__3[[#This Row],[上班時間]]=0,"否","是")</f>
        <v>否</v>
      </c>
    </row>
    <row r="1968" spans="1:15" hidden="1">
      <c r="A1968" t="s">
        <v>75</v>
      </c>
      <c r="B1968" t="s">
        <v>42</v>
      </c>
      <c r="C1968">
        <v>0</v>
      </c>
      <c r="D1968">
        <v>0</v>
      </c>
      <c r="E1968" s="27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 s="9">
        <v>45340</v>
      </c>
      <c r="L1968">
        <f xml:space="preserve"> (交易處理資料__3[[#This Row],[售出工時]] * 60) / 5</f>
        <v>0</v>
      </c>
      <c r="M1968" t="str">
        <f>VLOOKUP(交易處理資料__3[[#This Row],[人員代號]],團隊分組!$B$1:$C$52,2,FALSE)</f>
        <v>快速保養團隊A</v>
      </c>
      <c r="N1968">
        <f>IF(交易處理資料__3[[#This Row],[上班時間]]=0,0,交易處理資料__3[[#This Row],[售出工時]]/交易處理資料__3[[#This Row],[上班時間]])</f>
        <v>0</v>
      </c>
      <c r="O1968" s="31" t="str">
        <f>IF(交易處理資料__3[[#This Row],[上班時間]]=0,"否","是")</f>
        <v>否</v>
      </c>
    </row>
    <row r="1969" spans="1:15" hidden="1">
      <c r="A1969" t="s">
        <v>75</v>
      </c>
      <c r="B1969" t="s">
        <v>43</v>
      </c>
      <c r="C1969">
        <v>0</v>
      </c>
      <c r="D1969">
        <v>0</v>
      </c>
      <c r="E1969" s="27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 s="9">
        <v>45340</v>
      </c>
      <c r="L1969">
        <f xml:space="preserve"> (交易處理資料__3[[#This Row],[售出工時]] * 60) / 5</f>
        <v>0</v>
      </c>
      <c r="M1969" t="str">
        <f>VLOOKUP(交易處理資料__3[[#This Row],[人員代號]],團隊分組!$B$1:$C$52,2,FALSE)</f>
        <v>查修團隊B</v>
      </c>
      <c r="N1969">
        <f>IF(交易處理資料__3[[#This Row],[上班時間]]=0,0,交易處理資料__3[[#This Row],[售出工時]]/交易處理資料__3[[#This Row],[上班時間]])</f>
        <v>0</v>
      </c>
      <c r="O1969" s="31" t="str">
        <f>IF(交易處理資料__3[[#This Row],[上班時間]]=0,"否","是")</f>
        <v>否</v>
      </c>
    </row>
    <row r="1970" spans="1:15" hidden="1">
      <c r="A1970" t="s">
        <v>75</v>
      </c>
      <c r="B1970" t="s">
        <v>44</v>
      </c>
      <c r="C1970">
        <v>0</v>
      </c>
      <c r="D1970">
        <v>0</v>
      </c>
      <c r="E1970" s="27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 s="9">
        <v>45340</v>
      </c>
      <c r="L1970">
        <f xml:space="preserve"> (交易處理資料__3[[#This Row],[售出工時]] * 60) / 5</f>
        <v>0</v>
      </c>
      <c r="M1970" t="str">
        <f>VLOOKUP(交易處理資料__3[[#This Row],[人員代號]],團隊分組!$B$1:$C$52,2,FALSE)</f>
        <v>快速保養團隊B</v>
      </c>
      <c r="N1970">
        <f>IF(交易處理資料__3[[#This Row],[上班時間]]=0,0,交易處理資料__3[[#This Row],[售出工時]]/交易處理資料__3[[#This Row],[上班時間]])</f>
        <v>0</v>
      </c>
      <c r="O1970" s="31" t="str">
        <f>IF(交易處理資料__3[[#This Row],[上班時間]]=0,"否","是")</f>
        <v>否</v>
      </c>
    </row>
    <row r="1971" spans="1:15" hidden="1">
      <c r="A1971" t="s">
        <v>75</v>
      </c>
      <c r="B1971" t="s">
        <v>45</v>
      </c>
      <c r="C1971">
        <v>0</v>
      </c>
      <c r="D1971">
        <v>0</v>
      </c>
      <c r="E1971" s="27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 s="9">
        <v>45340</v>
      </c>
      <c r="L1971">
        <f xml:space="preserve"> (交易處理資料__3[[#This Row],[售出工時]] * 60) / 5</f>
        <v>0</v>
      </c>
      <c r="M1971" t="str">
        <f>VLOOKUP(交易處理資料__3[[#This Row],[人員代號]],團隊分組!$B$1:$C$52,2,FALSE)</f>
        <v>快速保養團隊A</v>
      </c>
      <c r="N1971">
        <f>IF(交易處理資料__3[[#This Row],[上班時間]]=0,0,交易處理資料__3[[#This Row],[售出工時]]/交易處理資料__3[[#This Row],[上班時間]])</f>
        <v>0</v>
      </c>
      <c r="O1971" s="31" t="str">
        <f>IF(交易處理資料__3[[#This Row],[上班時間]]=0,"否","是")</f>
        <v>否</v>
      </c>
    </row>
    <row r="1972" spans="1:15" hidden="1">
      <c r="A1972" t="s">
        <v>75</v>
      </c>
      <c r="B1972" t="s">
        <v>46</v>
      </c>
      <c r="C1972">
        <v>0</v>
      </c>
      <c r="D1972">
        <v>0</v>
      </c>
      <c r="E1972" s="27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 s="9">
        <v>45340</v>
      </c>
      <c r="L1972">
        <f xml:space="preserve"> (交易處理資料__3[[#This Row],[售出工時]] * 60) / 5</f>
        <v>0</v>
      </c>
      <c r="M1972" t="str">
        <f>VLOOKUP(交易處理資料__3[[#This Row],[人員代號]],團隊分組!$B$1:$C$52,2,FALSE)</f>
        <v>查修團隊B</v>
      </c>
      <c r="N1972">
        <f>IF(交易處理資料__3[[#This Row],[上班時間]]=0,0,交易處理資料__3[[#This Row],[售出工時]]/交易處理資料__3[[#This Row],[上班時間]])</f>
        <v>0</v>
      </c>
      <c r="O1972" s="31" t="str">
        <f>IF(交易處理資料__3[[#This Row],[上班時間]]=0,"否","是")</f>
        <v>否</v>
      </c>
    </row>
    <row r="1973" spans="1:15" hidden="1">
      <c r="A1973" t="s">
        <v>75</v>
      </c>
      <c r="B1973" t="s">
        <v>47</v>
      </c>
      <c r="C1973">
        <v>0</v>
      </c>
      <c r="D1973">
        <v>0</v>
      </c>
      <c r="E1973" s="27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 s="9">
        <v>45340</v>
      </c>
      <c r="L1973">
        <f xml:space="preserve"> (交易處理資料__3[[#This Row],[售出工時]] * 60) / 5</f>
        <v>0</v>
      </c>
      <c r="M1973" t="str">
        <f>VLOOKUP(交易處理資料__3[[#This Row],[人員代號]],團隊分組!$B$1:$C$52,2,FALSE)</f>
        <v>查修團隊B</v>
      </c>
      <c r="N1973">
        <f>IF(交易處理資料__3[[#This Row],[上班時間]]=0,0,交易處理資料__3[[#This Row],[售出工時]]/交易處理資料__3[[#This Row],[上班時間]])</f>
        <v>0</v>
      </c>
      <c r="O1973" s="31" t="str">
        <f>IF(交易處理資料__3[[#This Row],[上班時間]]=0,"否","是")</f>
        <v>否</v>
      </c>
    </row>
    <row r="1974" spans="1:15" hidden="1">
      <c r="A1974" t="s">
        <v>75</v>
      </c>
      <c r="B1974" t="s">
        <v>48</v>
      </c>
      <c r="C1974">
        <v>0</v>
      </c>
      <c r="D1974">
        <v>0</v>
      </c>
      <c r="E1974" s="27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 s="9">
        <v>45340</v>
      </c>
      <c r="L1974">
        <f xml:space="preserve"> (交易處理資料__3[[#This Row],[售出工時]] * 60) / 5</f>
        <v>0</v>
      </c>
      <c r="M1974" t="str">
        <f>VLOOKUP(交易處理資料__3[[#This Row],[人員代號]],團隊分組!$B$1:$C$52,2,FALSE)</f>
        <v>查修團隊A</v>
      </c>
      <c r="N1974">
        <f>IF(交易處理資料__3[[#This Row],[上班時間]]=0,0,交易處理資料__3[[#This Row],[售出工時]]/交易處理資料__3[[#This Row],[上班時間]])</f>
        <v>0</v>
      </c>
      <c r="O1974" s="31" t="str">
        <f>IF(交易處理資料__3[[#This Row],[上班時間]]=0,"否","是")</f>
        <v>否</v>
      </c>
    </row>
    <row r="1975" spans="1:15" hidden="1">
      <c r="A1975" t="s">
        <v>75</v>
      </c>
      <c r="B1975" t="s">
        <v>49</v>
      </c>
      <c r="C1975">
        <v>0</v>
      </c>
      <c r="D1975">
        <v>0</v>
      </c>
      <c r="E1975" s="27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 s="9">
        <v>45340</v>
      </c>
      <c r="L1975">
        <f xml:space="preserve"> (交易處理資料__3[[#This Row],[售出工時]] * 60) / 5</f>
        <v>0</v>
      </c>
      <c r="M1975" t="str">
        <f>VLOOKUP(交易處理資料__3[[#This Row],[人員代號]],團隊分組!$B$1:$C$52,2,FALSE)</f>
        <v>查修團隊A</v>
      </c>
      <c r="N1975">
        <f>IF(交易處理資料__3[[#This Row],[上班時間]]=0,0,交易處理資料__3[[#This Row],[售出工時]]/交易處理資料__3[[#This Row],[上班時間]])</f>
        <v>0</v>
      </c>
      <c r="O1975" s="31" t="str">
        <f>IF(交易處理資料__3[[#This Row],[上班時間]]=0,"否","是")</f>
        <v>否</v>
      </c>
    </row>
    <row r="1976" spans="1:15" hidden="1">
      <c r="A1976" t="s">
        <v>75</v>
      </c>
      <c r="B1976" t="s">
        <v>50</v>
      </c>
      <c r="C1976">
        <v>0</v>
      </c>
      <c r="D1976">
        <v>0</v>
      </c>
      <c r="E1976" s="27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 s="9">
        <v>45340</v>
      </c>
      <c r="L1976">
        <f xml:space="preserve"> (交易處理資料__3[[#This Row],[售出工時]] * 60) / 5</f>
        <v>0</v>
      </c>
      <c r="M1976" t="str">
        <f>VLOOKUP(交易處理資料__3[[#This Row],[人員代號]],團隊分組!$B$1:$C$52,2,FALSE)</f>
        <v>快速保養團隊B</v>
      </c>
      <c r="N1976">
        <f>IF(交易處理資料__3[[#This Row],[上班時間]]=0,0,交易處理資料__3[[#This Row],[售出工時]]/交易處理資料__3[[#This Row],[上班時間]])</f>
        <v>0</v>
      </c>
      <c r="O1976" s="31" t="str">
        <f>IF(交易處理資料__3[[#This Row],[上班時間]]=0,"否","是")</f>
        <v>否</v>
      </c>
    </row>
    <row r="1977" spans="1:15" hidden="1">
      <c r="A1977" t="s">
        <v>75</v>
      </c>
      <c r="B1977" t="s">
        <v>51</v>
      </c>
      <c r="C1977">
        <v>0</v>
      </c>
      <c r="D1977">
        <v>0</v>
      </c>
      <c r="E1977" s="2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 s="9">
        <v>45340</v>
      </c>
      <c r="L1977">
        <f xml:space="preserve"> (交易處理資料__3[[#This Row],[售出工時]] * 60) / 5</f>
        <v>0</v>
      </c>
      <c r="M1977" t="str">
        <f>VLOOKUP(交易處理資料__3[[#This Row],[人員代號]],團隊分組!$B$1:$C$52,2,FALSE)</f>
        <v>無效數據</v>
      </c>
      <c r="N1977">
        <f>IF(交易處理資料__3[[#This Row],[上班時間]]=0,0,交易處理資料__3[[#This Row],[售出工時]]/交易處理資料__3[[#This Row],[上班時間]])</f>
        <v>0</v>
      </c>
      <c r="O1977" s="31" t="str">
        <f>IF(交易處理資料__3[[#This Row],[上班時間]]=0,"否","是")</f>
        <v>否</v>
      </c>
    </row>
    <row r="1978" spans="1:15" hidden="1">
      <c r="A1978" t="s">
        <v>75</v>
      </c>
      <c r="B1978" t="s">
        <v>52</v>
      </c>
      <c r="C1978">
        <v>0</v>
      </c>
      <c r="D1978">
        <v>0</v>
      </c>
      <c r="E1978" s="27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 s="9">
        <v>45340</v>
      </c>
      <c r="L1978">
        <f xml:space="preserve"> (交易處理資料__3[[#This Row],[售出工時]] * 60) / 5</f>
        <v>0</v>
      </c>
      <c r="M1978" t="str">
        <f>VLOOKUP(交易處理資料__3[[#This Row],[人員代號]],團隊分組!$B$1:$C$52,2,FALSE)</f>
        <v>查修團隊B</v>
      </c>
      <c r="N1978">
        <f>IF(交易處理資料__3[[#This Row],[上班時間]]=0,0,交易處理資料__3[[#This Row],[售出工時]]/交易處理資料__3[[#This Row],[上班時間]])</f>
        <v>0</v>
      </c>
      <c r="O1978" s="31" t="str">
        <f>IF(交易處理資料__3[[#This Row],[上班時間]]=0,"否","是")</f>
        <v>否</v>
      </c>
    </row>
    <row r="1979" spans="1:15" hidden="1">
      <c r="A1979" t="s">
        <v>75</v>
      </c>
      <c r="B1979" t="s">
        <v>53</v>
      </c>
      <c r="C1979">
        <v>0</v>
      </c>
      <c r="D1979">
        <v>0</v>
      </c>
      <c r="E1979" s="27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 s="9">
        <v>45340</v>
      </c>
      <c r="L1979">
        <f xml:space="preserve"> (交易處理資料__3[[#This Row],[售出工時]] * 60) / 5</f>
        <v>0</v>
      </c>
      <c r="M1979" t="str">
        <f>VLOOKUP(交易處理資料__3[[#This Row],[人員代號]],團隊分組!$B$1:$C$52,2,FALSE)</f>
        <v>查修團隊A</v>
      </c>
      <c r="N1979">
        <f>IF(交易處理資料__3[[#This Row],[上班時間]]=0,0,交易處理資料__3[[#This Row],[售出工時]]/交易處理資料__3[[#This Row],[上班時間]])</f>
        <v>0</v>
      </c>
      <c r="O1979" s="31" t="str">
        <f>IF(交易處理資料__3[[#This Row],[上班時間]]=0,"否","是")</f>
        <v>否</v>
      </c>
    </row>
    <row r="1980" spans="1:15" hidden="1">
      <c r="A1980" s="10" t="s">
        <v>73</v>
      </c>
      <c r="B1980" t="s">
        <v>1</v>
      </c>
      <c r="C1980">
        <v>0</v>
      </c>
      <c r="D1980">
        <v>0</v>
      </c>
      <c r="E1980" s="27">
        <v>0</v>
      </c>
      <c r="F1980">
        <v>6.45</v>
      </c>
      <c r="G1980">
        <v>1.03</v>
      </c>
      <c r="H1980">
        <v>7.48</v>
      </c>
      <c r="I1980">
        <v>86.23</v>
      </c>
      <c r="J1980">
        <v>0</v>
      </c>
      <c r="K1980" s="9">
        <v>45341</v>
      </c>
      <c r="L1980">
        <f xml:space="preserve"> (交易處理資料__3[[#This Row],[售出工時]] * 60) / 5</f>
        <v>0</v>
      </c>
      <c r="M1980" t="str">
        <f>VLOOKUP(交易處理資料__3[[#This Row],[人員代號]],團隊分組!$B$1:$C$52,2,FALSE)</f>
        <v>噴漆維修組</v>
      </c>
      <c r="N1980">
        <f>IF(交易處理資料__3[[#This Row],[上班時間]]=0,0,交易處理資料__3[[#This Row],[售出工時]]/交易處理資料__3[[#This Row],[上班時間]])</f>
        <v>0</v>
      </c>
      <c r="O1980" s="31" t="str">
        <f>IF(交易處理資料__3[[#This Row],[上班時間]]=0,"否","是")</f>
        <v>是</v>
      </c>
    </row>
    <row r="1981" spans="1:15" hidden="1">
      <c r="A1981" s="10" t="s">
        <v>73</v>
      </c>
      <c r="B1981" t="s">
        <v>2</v>
      </c>
      <c r="C1981">
        <v>1.28</v>
      </c>
      <c r="D1981">
        <v>3.97</v>
      </c>
      <c r="E1981" s="27">
        <v>32.2418136</v>
      </c>
      <c r="F1981">
        <v>4.67</v>
      </c>
      <c r="G1981">
        <v>2.89</v>
      </c>
      <c r="H1981">
        <v>7.56</v>
      </c>
      <c r="I1981">
        <v>61.77</v>
      </c>
      <c r="J1981">
        <v>16.93</v>
      </c>
      <c r="K1981" s="9">
        <v>45341</v>
      </c>
      <c r="L1981">
        <f xml:space="preserve"> (交易處理資料__3[[#This Row],[售出工時]] * 60) / 5</f>
        <v>15.36</v>
      </c>
      <c r="M1981" t="str">
        <f>VLOOKUP(交易處理資料__3[[#This Row],[人員代號]],團隊分組!$B$1:$C$52,2,FALSE)</f>
        <v>噴漆維修組</v>
      </c>
      <c r="N1981">
        <f>IF(交易處理資料__3[[#This Row],[上班時間]]=0,0,交易處理資料__3[[#This Row],[售出工時]]/交易處理資料__3[[#This Row],[上班時間]])</f>
        <v>0.16931216931216933</v>
      </c>
      <c r="O1981" s="31" t="str">
        <f>IF(交易處理資料__3[[#This Row],[上班時間]]=0,"否","是")</f>
        <v>是</v>
      </c>
    </row>
    <row r="1982" spans="1:15" hidden="1">
      <c r="A1982" s="10" t="s">
        <v>73</v>
      </c>
      <c r="B1982" t="s">
        <v>3</v>
      </c>
      <c r="C1982">
        <v>1.28</v>
      </c>
      <c r="D1982">
        <v>3.97</v>
      </c>
      <c r="E1982" s="27">
        <v>32.2418136</v>
      </c>
      <c r="F1982">
        <v>4.67</v>
      </c>
      <c r="G1982">
        <v>2.89</v>
      </c>
      <c r="H1982">
        <v>7.56</v>
      </c>
      <c r="I1982">
        <v>61.77</v>
      </c>
      <c r="J1982">
        <v>16.93</v>
      </c>
      <c r="K1982" s="9">
        <v>45341</v>
      </c>
      <c r="L1982">
        <f xml:space="preserve"> (交易處理資料__3[[#This Row],[售出工時]] * 60) / 5</f>
        <v>15.36</v>
      </c>
      <c r="M1982" t="str">
        <f>VLOOKUP(交易處理資料__3[[#This Row],[人員代號]],團隊分組!$B$1:$C$52,2,FALSE)</f>
        <v>噴漆維修組</v>
      </c>
      <c r="N1982">
        <f>IF(交易處理資料__3[[#This Row],[上班時間]]=0,0,交易處理資料__3[[#This Row],[售出工時]]/交易處理資料__3[[#This Row],[上班時間]])</f>
        <v>0.16931216931216933</v>
      </c>
      <c r="O1982" s="31" t="str">
        <f>IF(交易處理資料__3[[#This Row],[上班時間]]=0,"否","是")</f>
        <v>是</v>
      </c>
    </row>
    <row r="1983" spans="1:15" hidden="1">
      <c r="A1983" s="10" t="s">
        <v>73</v>
      </c>
      <c r="B1983" t="s">
        <v>4</v>
      </c>
      <c r="C1983">
        <v>0</v>
      </c>
      <c r="D1983">
        <v>0</v>
      </c>
      <c r="E1983" s="27">
        <v>0</v>
      </c>
      <c r="F1983">
        <v>6.51</v>
      </c>
      <c r="G1983">
        <v>1.01</v>
      </c>
      <c r="H1983">
        <v>7.52</v>
      </c>
      <c r="I1983">
        <v>86.57</v>
      </c>
      <c r="J1983">
        <v>0</v>
      </c>
      <c r="K1983" s="9">
        <v>45341</v>
      </c>
      <c r="L1983">
        <f xml:space="preserve"> (交易處理資料__3[[#This Row],[售出工時]] * 60) / 5</f>
        <v>0</v>
      </c>
      <c r="M1983" t="str">
        <f>VLOOKUP(交易處理資料__3[[#This Row],[人員代號]],團隊分組!$B$1:$C$52,2,FALSE)</f>
        <v>噴漆維修組</v>
      </c>
      <c r="N1983">
        <f>IF(交易處理資料__3[[#This Row],[上班時間]]=0,0,交易處理資料__3[[#This Row],[售出工時]]/交易處理資料__3[[#This Row],[上班時間]])</f>
        <v>0</v>
      </c>
      <c r="O1983" s="31" t="str">
        <f>IF(交易處理資料__3[[#This Row],[上班時間]]=0,"否","是")</f>
        <v>是</v>
      </c>
    </row>
    <row r="1984" spans="1:15" hidden="1">
      <c r="A1984" s="10" t="s">
        <v>73</v>
      </c>
      <c r="B1984" t="s">
        <v>5</v>
      </c>
      <c r="C1984">
        <v>0</v>
      </c>
      <c r="D1984">
        <v>0</v>
      </c>
      <c r="E1984" s="27">
        <v>0</v>
      </c>
      <c r="F1984">
        <v>7.31</v>
      </c>
      <c r="G1984">
        <v>0.34</v>
      </c>
      <c r="H1984">
        <v>7.65</v>
      </c>
      <c r="I1984">
        <v>95.56</v>
      </c>
      <c r="J1984">
        <v>0</v>
      </c>
      <c r="K1984" s="9">
        <v>45341</v>
      </c>
      <c r="L1984">
        <f xml:space="preserve"> (交易處理資料__3[[#This Row],[售出工時]] * 60) / 5</f>
        <v>0</v>
      </c>
      <c r="M1984" t="str">
        <f>VLOOKUP(交易處理資料__3[[#This Row],[人員代號]],團隊分組!$B$1:$C$52,2,FALSE)</f>
        <v>噴漆維修組</v>
      </c>
      <c r="N1984">
        <f>IF(交易處理資料__3[[#This Row],[上班時間]]=0,0,交易處理資料__3[[#This Row],[售出工時]]/交易處理資料__3[[#This Row],[上班時間]])</f>
        <v>0</v>
      </c>
      <c r="O1984" s="31" t="str">
        <f>IF(交易處理資料__3[[#This Row],[上班時間]]=0,"否","是")</f>
        <v>是</v>
      </c>
    </row>
    <row r="1985" spans="1:15" hidden="1">
      <c r="A1985" s="10" t="s">
        <v>73</v>
      </c>
      <c r="B1985" t="s">
        <v>6</v>
      </c>
      <c r="C1985">
        <v>1.28</v>
      </c>
      <c r="D1985">
        <v>3.97</v>
      </c>
      <c r="E1985" s="27">
        <v>32.2418136</v>
      </c>
      <c r="F1985">
        <v>4.67</v>
      </c>
      <c r="G1985">
        <v>2.89</v>
      </c>
      <c r="H1985">
        <v>7.56</v>
      </c>
      <c r="I1985">
        <v>61.77</v>
      </c>
      <c r="J1985">
        <v>16.93</v>
      </c>
      <c r="K1985" s="9">
        <v>45341</v>
      </c>
      <c r="L1985">
        <f xml:space="preserve"> (交易處理資料__3[[#This Row],[售出工時]] * 60) / 5</f>
        <v>15.36</v>
      </c>
      <c r="M1985" t="str">
        <f>VLOOKUP(交易處理資料__3[[#This Row],[人員代號]],團隊分組!$B$1:$C$52,2,FALSE)</f>
        <v>噴漆維修組</v>
      </c>
      <c r="N1985">
        <f>IF(交易處理資料__3[[#This Row],[上班時間]]=0,0,交易處理資料__3[[#This Row],[售出工時]]/交易處理資料__3[[#This Row],[上班時間]])</f>
        <v>0.16931216931216933</v>
      </c>
      <c r="O1985" s="31" t="str">
        <f>IF(交易處理資料__3[[#This Row],[上班時間]]=0,"否","是")</f>
        <v>是</v>
      </c>
    </row>
    <row r="1986" spans="1:15" hidden="1">
      <c r="A1986" s="10" t="s">
        <v>73</v>
      </c>
      <c r="B1986" t="s">
        <v>7</v>
      </c>
      <c r="C1986">
        <v>0</v>
      </c>
      <c r="D1986">
        <v>0</v>
      </c>
      <c r="E1986" s="27">
        <v>0</v>
      </c>
      <c r="F1986">
        <v>7.3</v>
      </c>
      <c r="G1986">
        <v>0.36</v>
      </c>
      <c r="H1986">
        <v>7.66</v>
      </c>
      <c r="I1986">
        <v>95.3</v>
      </c>
      <c r="J1986">
        <v>0</v>
      </c>
      <c r="K1986" s="9">
        <v>45341</v>
      </c>
      <c r="L1986">
        <f xml:space="preserve"> (交易處理資料__3[[#This Row],[售出工時]] * 60) / 5</f>
        <v>0</v>
      </c>
      <c r="M1986" t="str">
        <f>VLOOKUP(交易處理資料__3[[#This Row],[人員代號]],團隊分組!$B$1:$C$52,2,FALSE)</f>
        <v>噴漆維修組</v>
      </c>
      <c r="N1986">
        <f>IF(交易處理資料__3[[#This Row],[上班時間]]=0,0,交易處理資料__3[[#This Row],[售出工時]]/交易處理資料__3[[#This Row],[上班時間]])</f>
        <v>0</v>
      </c>
      <c r="O1986" s="31" t="str">
        <f>IF(交易處理資料__3[[#This Row],[上班時間]]=0,"否","是")</f>
        <v>是</v>
      </c>
    </row>
    <row r="1987" spans="1:15" hidden="1">
      <c r="A1987" s="10" t="s">
        <v>73</v>
      </c>
      <c r="B1987" t="s">
        <v>8</v>
      </c>
      <c r="C1987">
        <v>0</v>
      </c>
      <c r="D1987">
        <v>0</v>
      </c>
      <c r="E1987" s="27">
        <v>0</v>
      </c>
      <c r="F1987">
        <v>6.51</v>
      </c>
      <c r="G1987">
        <v>1.01</v>
      </c>
      <c r="H1987">
        <v>7.52</v>
      </c>
      <c r="I1987">
        <v>86.57</v>
      </c>
      <c r="J1987">
        <v>0</v>
      </c>
      <c r="K1987" s="9">
        <v>45341</v>
      </c>
      <c r="L1987">
        <f xml:space="preserve"> (交易處理資料__3[[#This Row],[售出工時]] * 60) / 5</f>
        <v>0</v>
      </c>
      <c r="M1987" t="str">
        <f>VLOOKUP(交易處理資料__3[[#This Row],[人員代號]],團隊分組!$B$1:$C$52,2,FALSE)</f>
        <v>噴漆維修組</v>
      </c>
      <c r="N1987">
        <f>IF(交易處理資料__3[[#This Row],[上班時間]]=0,0,交易處理資料__3[[#This Row],[售出工時]]/交易處理資料__3[[#This Row],[上班時間]])</f>
        <v>0</v>
      </c>
      <c r="O1987" s="31" t="str">
        <f>IF(交易處理資料__3[[#This Row],[上班時間]]=0,"否","是")</f>
        <v>是</v>
      </c>
    </row>
    <row r="1988" spans="1:15" hidden="1">
      <c r="A1988" s="10" t="s">
        <v>73</v>
      </c>
      <c r="B1988" t="s">
        <v>9</v>
      </c>
      <c r="C1988">
        <v>1.5</v>
      </c>
      <c r="D1988">
        <v>0.78</v>
      </c>
      <c r="E1988" s="27">
        <v>192.30769230000001</v>
      </c>
      <c r="F1988">
        <v>6.46</v>
      </c>
      <c r="G1988">
        <v>1.03</v>
      </c>
      <c r="H1988">
        <v>7.49</v>
      </c>
      <c r="I1988">
        <v>86.25</v>
      </c>
      <c r="J1988">
        <v>20.03</v>
      </c>
      <c r="K1988" s="9">
        <v>45341</v>
      </c>
      <c r="L1988">
        <f xml:space="preserve"> (交易處理資料__3[[#This Row],[售出工時]] * 60) / 5</f>
        <v>18</v>
      </c>
      <c r="M1988" t="str">
        <f>VLOOKUP(交易處理資料__3[[#This Row],[人員代號]],團隊分組!$B$1:$C$52,2,FALSE)</f>
        <v>噴漆維修組</v>
      </c>
      <c r="N1988">
        <f>IF(交易處理資料__3[[#This Row],[上班時間]]=0,0,交易處理資料__3[[#This Row],[售出工時]]/交易處理資料__3[[#This Row],[上班時間]])</f>
        <v>0.20026702269692923</v>
      </c>
      <c r="O1988" s="31" t="str">
        <f>IF(交易處理資料__3[[#This Row],[上班時間]]=0,"否","是")</f>
        <v>是</v>
      </c>
    </row>
    <row r="1989" spans="1:15" hidden="1">
      <c r="A1989" t="s">
        <v>74</v>
      </c>
      <c r="B1989" t="s">
        <v>11</v>
      </c>
      <c r="C1989">
        <v>0</v>
      </c>
      <c r="D1989">
        <v>0</v>
      </c>
      <c r="E1989" s="27">
        <v>0</v>
      </c>
      <c r="F1989">
        <v>3.15</v>
      </c>
      <c r="G1989">
        <v>4.3499999999999996</v>
      </c>
      <c r="H1989">
        <v>7.5</v>
      </c>
      <c r="I1989">
        <v>42</v>
      </c>
      <c r="J1989">
        <v>0</v>
      </c>
      <c r="K1989" s="9">
        <v>45341</v>
      </c>
      <c r="L1989">
        <f xml:space="preserve"> (交易處理資料__3[[#This Row],[售出工時]] * 60) / 5</f>
        <v>0</v>
      </c>
      <c r="M1989" t="str">
        <f>VLOOKUP(交易處理資料__3[[#This Row],[人員代號]],團隊分組!$B$1:$C$52,2,FALSE)</f>
        <v>鈑金維修組</v>
      </c>
      <c r="N1989">
        <f>IF(交易處理資料__3[[#This Row],[上班時間]]=0,0,交易處理資料__3[[#This Row],[售出工時]]/交易處理資料__3[[#This Row],[上班時間]])</f>
        <v>0</v>
      </c>
      <c r="O1989" s="31" t="str">
        <f>IF(交易處理資料__3[[#This Row],[上班時間]]=0,"否","是")</f>
        <v>是</v>
      </c>
    </row>
    <row r="1990" spans="1:15" hidden="1">
      <c r="A1990" t="s">
        <v>74</v>
      </c>
      <c r="B1990" t="s">
        <v>12</v>
      </c>
      <c r="C1990">
        <v>1.25</v>
      </c>
      <c r="D1990">
        <v>0.8</v>
      </c>
      <c r="E1990" s="27">
        <v>156.25</v>
      </c>
      <c r="F1990">
        <v>5.14</v>
      </c>
      <c r="G1990">
        <v>2.36</v>
      </c>
      <c r="H1990">
        <v>7.5</v>
      </c>
      <c r="I1990">
        <v>68.53</v>
      </c>
      <c r="J1990">
        <v>16.670000000000002</v>
      </c>
      <c r="K1990" s="9">
        <v>45341</v>
      </c>
      <c r="L1990">
        <f xml:space="preserve"> (交易處理資料__3[[#This Row],[售出工時]] * 60) / 5</f>
        <v>15</v>
      </c>
      <c r="M1990" t="str">
        <f>VLOOKUP(交易處理資料__3[[#This Row],[人員代號]],團隊分組!$B$1:$C$52,2,FALSE)</f>
        <v>鈑金維修組</v>
      </c>
      <c r="N1990">
        <f>IF(交易處理資料__3[[#This Row],[上班時間]]=0,0,交易處理資料__3[[#This Row],[售出工時]]/交易處理資料__3[[#This Row],[上班時間]])</f>
        <v>0.16666666666666666</v>
      </c>
      <c r="O1990" s="31" t="str">
        <f>IF(交易處理資料__3[[#This Row],[上班時間]]=0,"否","是")</f>
        <v>是</v>
      </c>
    </row>
    <row r="1991" spans="1:15" hidden="1">
      <c r="A1991" t="s">
        <v>74</v>
      </c>
      <c r="B1991" t="s">
        <v>13</v>
      </c>
      <c r="C1991">
        <v>0</v>
      </c>
      <c r="D1991">
        <v>0</v>
      </c>
      <c r="E1991" s="27">
        <v>0</v>
      </c>
      <c r="F1991">
        <v>3.25</v>
      </c>
      <c r="G1991">
        <v>4.25</v>
      </c>
      <c r="H1991">
        <v>7.5</v>
      </c>
      <c r="I1991">
        <v>43.33</v>
      </c>
      <c r="J1991">
        <v>0</v>
      </c>
      <c r="K1991" s="9">
        <v>45341</v>
      </c>
      <c r="L1991">
        <f xml:space="preserve"> (交易處理資料__3[[#This Row],[售出工時]] * 60) / 5</f>
        <v>0</v>
      </c>
      <c r="M1991" t="str">
        <f>VLOOKUP(交易處理資料__3[[#This Row],[人員代號]],團隊分組!$B$1:$C$52,2,FALSE)</f>
        <v>鈑金維修組</v>
      </c>
      <c r="N1991">
        <f>IF(交易處理資料__3[[#This Row],[上班時間]]=0,0,交易處理資料__3[[#This Row],[售出工時]]/交易處理資料__3[[#This Row],[上班時間]])</f>
        <v>0</v>
      </c>
      <c r="O1991" s="31" t="str">
        <f>IF(交易處理資料__3[[#This Row],[上班時間]]=0,"否","是")</f>
        <v>是</v>
      </c>
    </row>
    <row r="1992" spans="1:15" hidden="1">
      <c r="A1992" t="s">
        <v>74</v>
      </c>
      <c r="B1992" t="s">
        <v>14</v>
      </c>
      <c r="C1992">
        <v>2.5833333330000001</v>
      </c>
      <c r="D1992">
        <v>2.4700000000000002</v>
      </c>
      <c r="E1992" s="27">
        <v>104.5883941</v>
      </c>
      <c r="F1992">
        <v>2.0299999999999998</v>
      </c>
      <c r="G1992">
        <v>5.48</v>
      </c>
      <c r="H1992">
        <v>7.51</v>
      </c>
      <c r="I1992">
        <v>27.03</v>
      </c>
      <c r="J1992">
        <v>34.4</v>
      </c>
      <c r="K1992" s="9">
        <v>45341</v>
      </c>
      <c r="L1992">
        <f xml:space="preserve"> (交易處理資料__3[[#This Row],[售出工時]] * 60) / 5</f>
        <v>30.999999996000003</v>
      </c>
      <c r="M1992" t="str">
        <f>VLOOKUP(交易處理資料__3[[#This Row],[人員代號]],團隊分組!$B$1:$C$52,2,FALSE)</f>
        <v>鈑金維修組</v>
      </c>
      <c r="N1992">
        <f>IF(交易處理資料__3[[#This Row],[上班時間]]=0,0,交易處理資料__3[[#This Row],[售出工時]]/交易處理資料__3[[#This Row],[上班時間]])</f>
        <v>0.34398579667110524</v>
      </c>
      <c r="O1992" s="31" t="str">
        <f>IF(交易處理資料__3[[#This Row],[上班時間]]=0,"否","是")</f>
        <v>是</v>
      </c>
    </row>
    <row r="1993" spans="1:15" hidden="1">
      <c r="A1993" t="s">
        <v>74</v>
      </c>
      <c r="B1993" t="s">
        <v>15</v>
      </c>
      <c r="C1993">
        <v>0</v>
      </c>
      <c r="D1993">
        <v>0</v>
      </c>
      <c r="E1993" s="27">
        <v>0</v>
      </c>
      <c r="F1993">
        <v>2.0299999999999998</v>
      </c>
      <c r="G1993">
        <v>5.46</v>
      </c>
      <c r="H1993">
        <v>7.49</v>
      </c>
      <c r="I1993">
        <v>27.1</v>
      </c>
      <c r="J1993">
        <v>0</v>
      </c>
      <c r="K1993" s="9">
        <v>45341</v>
      </c>
      <c r="L1993">
        <f xml:space="preserve"> (交易處理資料__3[[#This Row],[售出工時]] * 60) / 5</f>
        <v>0</v>
      </c>
      <c r="M1993" t="str">
        <f>VLOOKUP(交易處理資料__3[[#This Row],[人員代號]],團隊分組!$B$1:$C$52,2,FALSE)</f>
        <v>鈑金維修組</v>
      </c>
      <c r="N1993">
        <f>IF(交易處理資料__3[[#This Row],[上班時間]]=0,0,交易處理資料__3[[#This Row],[售出工時]]/交易處理資料__3[[#This Row],[上班時間]])</f>
        <v>0</v>
      </c>
      <c r="O1993" s="31" t="str">
        <f>IF(交易處理資料__3[[#This Row],[上班時間]]=0,"否","是")</f>
        <v>是</v>
      </c>
    </row>
    <row r="1994" spans="1:15" hidden="1">
      <c r="A1994" t="s">
        <v>75</v>
      </c>
      <c r="B1994" t="s">
        <v>17</v>
      </c>
      <c r="C1994">
        <v>17.25</v>
      </c>
      <c r="D1994">
        <v>6.76</v>
      </c>
      <c r="E1994" s="27">
        <v>255.17751480000001</v>
      </c>
      <c r="F1994">
        <v>6.76</v>
      </c>
      <c r="G1994">
        <v>0.64</v>
      </c>
      <c r="H1994">
        <v>7.4</v>
      </c>
      <c r="I1994">
        <v>91.35</v>
      </c>
      <c r="J1994">
        <v>233.11</v>
      </c>
      <c r="K1994" s="9">
        <v>45341</v>
      </c>
      <c r="L1994">
        <f xml:space="preserve"> (交易處理資料__3[[#This Row],[售出工時]] * 60) / 5</f>
        <v>207</v>
      </c>
      <c r="M1994" t="str">
        <f>VLOOKUP(交易處理資料__3[[#This Row],[人員代號]],團隊分組!$B$1:$C$52,2,FALSE)</f>
        <v>快速保養團隊A</v>
      </c>
      <c r="N1994">
        <f>IF(交易處理資料__3[[#This Row],[上班時間]]=0,0,交易處理資料__3[[#This Row],[售出工時]]/交易處理資料__3[[#This Row],[上班時間]])</f>
        <v>2.3310810810810811</v>
      </c>
      <c r="O1994" s="31" t="str">
        <f>IF(交易處理資料__3[[#This Row],[上班時間]]=0,"否","是")</f>
        <v>是</v>
      </c>
    </row>
    <row r="1995" spans="1:15" hidden="1">
      <c r="A1995" t="s">
        <v>75</v>
      </c>
      <c r="B1995" t="s">
        <v>20</v>
      </c>
      <c r="C1995">
        <v>0.01</v>
      </c>
      <c r="D1995">
        <v>7.0000000000000007E-2</v>
      </c>
      <c r="E1995" s="27">
        <v>14.28571429</v>
      </c>
      <c r="F1995">
        <v>4.46</v>
      </c>
      <c r="G1995">
        <v>2.92</v>
      </c>
      <c r="H1995">
        <v>7.38</v>
      </c>
      <c r="I1995">
        <v>60.43</v>
      </c>
      <c r="J1995">
        <v>0.14000000000000001</v>
      </c>
      <c r="K1995" s="9">
        <v>45341</v>
      </c>
      <c r="L1995">
        <f xml:space="preserve"> (交易處理資料__3[[#This Row],[售出工時]] * 60) / 5</f>
        <v>0.12</v>
      </c>
      <c r="M1995" t="str">
        <f>VLOOKUP(交易處理資料__3[[#This Row],[人員代號]],團隊分組!$B$1:$C$52,2,FALSE)</f>
        <v>查修團隊B</v>
      </c>
      <c r="N1995">
        <f>IF(交易處理資料__3[[#This Row],[上班時間]]=0,0,交易處理資料__3[[#This Row],[售出工時]]/交易處理資料__3[[#This Row],[上班時間]])</f>
        <v>1.3550135501355014E-3</v>
      </c>
      <c r="O1995" s="31" t="str">
        <f>IF(交易處理資料__3[[#This Row],[上班時間]]=0,"否","是")</f>
        <v>是</v>
      </c>
    </row>
    <row r="1996" spans="1:15" hidden="1">
      <c r="A1996" t="s">
        <v>75</v>
      </c>
      <c r="B1996" t="s">
        <v>21</v>
      </c>
      <c r="C1996">
        <v>0</v>
      </c>
      <c r="D1996">
        <v>0</v>
      </c>
      <c r="E1996" s="27">
        <v>0</v>
      </c>
      <c r="F1996">
        <v>5.05</v>
      </c>
      <c r="G1996">
        <v>2.36</v>
      </c>
      <c r="H1996">
        <v>7.41</v>
      </c>
      <c r="I1996">
        <v>68.150000000000006</v>
      </c>
      <c r="J1996">
        <v>0</v>
      </c>
      <c r="K1996" s="9">
        <v>45341</v>
      </c>
      <c r="L1996">
        <f xml:space="preserve"> (交易處理資料__3[[#This Row],[售出工時]] * 60) / 5</f>
        <v>0</v>
      </c>
      <c r="M1996" t="str">
        <f>VLOOKUP(交易處理資料__3[[#This Row],[人員代號]],團隊分組!$B$1:$C$52,2,FALSE)</f>
        <v>查修團隊B</v>
      </c>
      <c r="N1996">
        <f>IF(交易處理資料__3[[#This Row],[上班時間]]=0,0,交易處理資料__3[[#This Row],[售出工時]]/交易處理資料__3[[#This Row],[上班時間]])</f>
        <v>0</v>
      </c>
      <c r="O1996" s="31" t="str">
        <f>IF(交易處理資料__3[[#This Row],[上班時間]]=0,"否","是")</f>
        <v>是</v>
      </c>
    </row>
    <row r="1997" spans="1:15" hidden="1">
      <c r="A1997" t="s">
        <v>75</v>
      </c>
      <c r="B1997" t="s">
        <v>22</v>
      </c>
      <c r="C1997">
        <v>11</v>
      </c>
      <c r="D1997">
        <v>6.15</v>
      </c>
      <c r="E1997" s="27">
        <v>178.86178860000001</v>
      </c>
      <c r="F1997">
        <v>6.3</v>
      </c>
      <c r="G1997">
        <v>1.04</v>
      </c>
      <c r="H1997">
        <v>7.34</v>
      </c>
      <c r="I1997">
        <v>85.83</v>
      </c>
      <c r="J1997">
        <v>149.86000000000001</v>
      </c>
      <c r="K1997" s="9">
        <v>45341</v>
      </c>
      <c r="L1997">
        <f xml:space="preserve"> (交易處理資料__3[[#This Row],[售出工時]] * 60) / 5</f>
        <v>132</v>
      </c>
      <c r="M1997" t="str">
        <f>VLOOKUP(交易處理資料__3[[#This Row],[人員代號]],團隊分組!$B$1:$C$52,2,FALSE)</f>
        <v>快速保養團隊A</v>
      </c>
      <c r="N1997">
        <f>IF(交易處理資料__3[[#This Row],[上班時間]]=0,0,交易處理資料__3[[#This Row],[售出工時]]/交易處理資料__3[[#This Row],[上班時間]])</f>
        <v>1.4986376021798364</v>
      </c>
      <c r="O1997" s="31" t="str">
        <f>IF(交易處理資料__3[[#This Row],[上班時間]]=0,"否","是")</f>
        <v>是</v>
      </c>
    </row>
    <row r="1998" spans="1:15" hidden="1">
      <c r="A1998" t="s">
        <v>75</v>
      </c>
      <c r="B1998" t="s">
        <v>23</v>
      </c>
      <c r="C1998">
        <v>6.096666667</v>
      </c>
      <c r="D1998">
        <v>7.35</v>
      </c>
      <c r="E1998" s="27">
        <v>82.947845799999996</v>
      </c>
      <c r="F1998">
        <v>6.26</v>
      </c>
      <c r="G1998">
        <v>1.23</v>
      </c>
      <c r="H1998">
        <v>7.49</v>
      </c>
      <c r="I1998">
        <v>83.58</v>
      </c>
      <c r="J1998">
        <v>81.400000000000006</v>
      </c>
      <c r="K1998" s="9">
        <v>45341</v>
      </c>
      <c r="L1998">
        <f xml:space="preserve"> (交易處理資料__3[[#This Row],[售出工時]] * 60) / 5</f>
        <v>73.160000004000011</v>
      </c>
      <c r="M1998" t="str">
        <f>VLOOKUP(交易處理資料__3[[#This Row],[人員代號]],團隊分組!$B$1:$C$52,2,FALSE)</f>
        <v>快速保養團隊B</v>
      </c>
      <c r="N1998">
        <f>IF(交易處理資料__3[[#This Row],[上班時間]]=0,0,交易處理資料__3[[#This Row],[售出工時]]/交易處理資料__3[[#This Row],[上班時間]])</f>
        <v>0.81397418785046727</v>
      </c>
      <c r="O1998" s="31" t="str">
        <f>IF(交易處理資料__3[[#This Row],[上班時間]]=0,"否","是")</f>
        <v>是</v>
      </c>
    </row>
    <row r="1999" spans="1:15" hidden="1">
      <c r="A1999" t="s">
        <v>75</v>
      </c>
      <c r="B1999" t="s">
        <v>24</v>
      </c>
      <c r="C1999">
        <v>9.5</v>
      </c>
      <c r="D1999">
        <v>6.71</v>
      </c>
      <c r="E1999" s="27">
        <v>141.5797317</v>
      </c>
      <c r="F1999">
        <v>6.71</v>
      </c>
      <c r="G1999">
        <v>0.62</v>
      </c>
      <c r="H1999">
        <v>7.33</v>
      </c>
      <c r="I1999">
        <v>91.54</v>
      </c>
      <c r="J1999">
        <v>129.6</v>
      </c>
      <c r="K1999" s="9">
        <v>45341</v>
      </c>
      <c r="L1999">
        <f xml:space="preserve"> (交易處理資料__3[[#This Row],[售出工時]] * 60) / 5</f>
        <v>114</v>
      </c>
      <c r="M1999" t="str">
        <f>VLOOKUP(交易處理資料__3[[#This Row],[人員代號]],團隊分組!$B$1:$C$52,2,FALSE)</f>
        <v>快速保養團隊A</v>
      </c>
      <c r="N1999">
        <f>IF(交易處理資料__3[[#This Row],[上班時間]]=0,0,交易處理資料__3[[#This Row],[售出工時]]/交易處理資料__3[[#This Row],[上班時間]])</f>
        <v>1.2960436562073669</v>
      </c>
      <c r="O1999" s="31" t="str">
        <f>IF(交易處理資料__3[[#This Row],[上班時間]]=0,"否","是")</f>
        <v>是</v>
      </c>
    </row>
    <row r="2000" spans="1:15" hidden="1">
      <c r="A2000" t="s">
        <v>75</v>
      </c>
      <c r="B2000" t="s">
        <v>26</v>
      </c>
      <c r="C2000">
        <v>9.3333333000000004E-2</v>
      </c>
      <c r="D2000">
        <v>0.56000000000000005</v>
      </c>
      <c r="E2000" s="27">
        <v>16.666666670000001</v>
      </c>
      <c r="F2000">
        <v>0.93</v>
      </c>
      <c r="G2000">
        <v>6.43</v>
      </c>
      <c r="H2000">
        <v>7.36</v>
      </c>
      <c r="I2000">
        <v>12.64</v>
      </c>
      <c r="J2000">
        <v>1.27</v>
      </c>
      <c r="K2000" s="9">
        <v>45341</v>
      </c>
      <c r="L2000">
        <f xml:space="preserve"> (交易處理資料__3[[#This Row],[售出工時]] * 60) / 5</f>
        <v>1.1199999960000002</v>
      </c>
      <c r="M2000" t="str">
        <f>VLOOKUP(交易處理資料__3[[#This Row],[人員代號]],團隊分組!$B$1:$C$52,2,FALSE)</f>
        <v>查修團隊B</v>
      </c>
      <c r="N2000">
        <f>IF(交易處理資料__3[[#This Row],[上班時間]]=0,0,交易處理資料__3[[#This Row],[售出工時]]/交易處理資料__3[[#This Row],[上班時間]])</f>
        <v>1.2681159375000001E-2</v>
      </c>
      <c r="O2000" s="31" t="str">
        <f>IF(交易處理資料__3[[#This Row],[上班時間]]=0,"否","是")</f>
        <v>是</v>
      </c>
    </row>
    <row r="2001" spans="1:15" hidden="1">
      <c r="A2001" t="s">
        <v>75</v>
      </c>
      <c r="B2001" t="s">
        <v>27</v>
      </c>
      <c r="C2001">
        <v>3.29</v>
      </c>
      <c r="D2001">
        <v>4.3</v>
      </c>
      <c r="E2001" s="27">
        <v>76.511627910000001</v>
      </c>
      <c r="F2001">
        <v>6.62</v>
      </c>
      <c r="G2001">
        <v>0.92</v>
      </c>
      <c r="H2001">
        <v>7.54</v>
      </c>
      <c r="I2001">
        <v>87.8</v>
      </c>
      <c r="J2001">
        <v>43.63</v>
      </c>
      <c r="K2001" s="9">
        <v>45341</v>
      </c>
      <c r="L2001">
        <f xml:space="preserve"> (交易處理資料__3[[#This Row],[售出工時]] * 60) / 5</f>
        <v>39.480000000000004</v>
      </c>
      <c r="M2001" t="str">
        <f>VLOOKUP(交易處理資料__3[[#This Row],[人員代號]],團隊分組!$B$1:$C$52,2,FALSE)</f>
        <v>快速保養團隊B</v>
      </c>
      <c r="N2001">
        <f>IF(交易處理資料__3[[#This Row],[上班時間]]=0,0,交易處理資料__3[[#This Row],[售出工時]]/交易處理資料__3[[#This Row],[上班時間]])</f>
        <v>0.43633952254641911</v>
      </c>
      <c r="O2001" s="31" t="str">
        <f>IF(交易處理資料__3[[#This Row],[上班時間]]=0,"否","是")</f>
        <v>是</v>
      </c>
    </row>
    <row r="2002" spans="1:15" hidden="1">
      <c r="A2002" t="s">
        <v>75</v>
      </c>
      <c r="B2002" t="s">
        <v>29</v>
      </c>
      <c r="C2002">
        <v>4.25</v>
      </c>
      <c r="D2002">
        <v>3.52</v>
      </c>
      <c r="E2002" s="27">
        <v>120.7386364</v>
      </c>
      <c r="F2002">
        <v>6.68</v>
      </c>
      <c r="G2002">
        <v>0.72</v>
      </c>
      <c r="H2002">
        <v>7.4</v>
      </c>
      <c r="I2002">
        <v>90.27</v>
      </c>
      <c r="J2002">
        <v>57.43</v>
      </c>
      <c r="K2002" s="9">
        <v>45341</v>
      </c>
      <c r="L2002">
        <f xml:space="preserve"> (交易處理資料__3[[#This Row],[售出工時]] * 60) / 5</f>
        <v>51</v>
      </c>
      <c r="M2002" t="str">
        <f>VLOOKUP(交易處理資料__3[[#This Row],[人員代號]],團隊分組!$B$1:$C$52,2,FALSE)</f>
        <v>查修團隊B</v>
      </c>
      <c r="N2002">
        <f>IF(交易處理資料__3[[#This Row],[上班時間]]=0,0,交易處理資料__3[[#This Row],[售出工時]]/交易處理資料__3[[#This Row],[上班時間]])</f>
        <v>0.57432432432432434</v>
      </c>
      <c r="O2002" s="31" t="str">
        <f>IF(交易處理資料__3[[#This Row],[上班時間]]=0,"否","是")</f>
        <v>是</v>
      </c>
    </row>
    <row r="2003" spans="1:15" hidden="1">
      <c r="A2003" t="s">
        <v>75</v>
      </c>
      <c r="B2003" t="s">
        <v>30</v>
      </c>
      <c r="C2003">
        <v>2.35</v>
      </c>
      <c r="D2003">
        <v>1.98</v>
      </c>
      <c r="E2003" s="27">
        <v>118.68686870000001</v>
      </c>
      <c r="F2003">
        <v>6.62</v>
      </c>
      <c r="G2003">
        <v>0.89</v>
      </c>
      <c r="H2003">
        <v>7.51</v>
      </c>
      <c r="I2003">
        <v>88.15</v>
      </c>
      <c r="J2003">
        <v>31.29</v>
      </c>
      <c r="K2003" s="9">
        <v>45341</v>
      </c>
      <c r="L2003">
        <f xml:space="preserve"> (交易處理資料__3[[#This Row],[售出工時]] * 60) / 5</f>
        <v>28.2</v>
      </c>
      <c r="M2003" t="str">
        <f>VLOOKUP(交易處理資料__3[[#This Row],[人員代號]],團隊分組!$B$1:$C$52,2,FALSE)</f>
        <v>快速保養團隊B</v>
      </c>
      <c r="N2003">
        <f>IF(交易處理資料__3[[#This Row],[上班時間]]=0,0,交易處理資料__3[[#This Row],[售出工時]]/交易處理資料__3[[#This Row],[上班時間]])</f>
        <v>0.31291611185086554</v>
      </c>
      <c r="O2003" s="31" t="str">
        <f>IF(交易處理資料__3[[#This Row],[上班時間]]=0,"否","是")</f>
        <v>是</v>
      </c>
    </row>
    <row r="2004" spans="1:15">
      <c r="A2004" t="s">
        <v>75</v>
      </c>
      <c r="B2004" t="s">
        <v>33</v>
      </c>
      <c r="C2004">
        <v>0</v>
      </c>
      <c r="D2004">
        <v>0</v>
      </c>
      <c r="E2004" s="27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 s="9">
        <v>45341</v>
      </c>
      <c r="L2004">
        <f xml:space="preserve"> (交易處理資料__3[[#This Row],[售出工時]] * 60) / 5</f>
        <v>0</v>
      </c>
      <c r="M2004" t="str">
        <f>VLOOKUP(交易處理資料__3[[#This Row],[人員代號]],團隊分組!$B$1:$C$52,2,FALSE)</f>
        <v>快速保養團隊B</v>
      </c>
      <c r="N2004">
        <f>IF(交易處理資料__3[[#This Row],[上班時間]]=0,0,交易處理資料__3[[#This Row],[售出工時]]/交易處理資料__3[[#This Row],[上班時間]])</f>
        <v>0</v>
      </c>
      <c r="O2004" s="31" t="str">
        <f>IF(交易處理資料__3[[#This Row],[上班時間]]=0,"否","是")</f>
        <v>否</v>
      </c>
    </row>
    <row r="2005" spans="1:15" hidden="1">
      <c r="A2005" t="s">
        <v>75</v>
      </c>
      <c r="B2005" t="s">
        <v>36</v>
      </c>
      <c r="C2005">
        <v>0.5</v>
      </c>
      <c r="D2005">
        <v>0.6</v>
      </c>
      <c r="E2005" s="27">
        <v>83.333333330000002</v>
      </c>
      <c r="F2005">
        <v>5.53</v>
      </c>
      <c r="G2005">
        <v>1.94</v>
      </c>
      <c r="H2005">
        <v>7.47</v>
      </c>
      <c r="I2005">
        <v>74.03</v>
      </c>
      <c r="J2005">
        <v>6.69</v>
      </c>
      <c r="K2005" s="9">
        <v>45341</v>
      </c>
      <c r="L2005">
        <f xml:space="preserve"> (交易處理資料__3[[#This Row],[售出工時]] * 60) / 5</f>
        <v>6</v>
      </c>
      <c r="M2005" t="str">
        <f>VLOOKUP(交易處理資料__3[[#This Row],[人員代號]],團隊分組!$B$1:$C$52,2,FALSE)</f>
        <v>查修團隊B</v>
      </c>
      <c r="N2005">
        <f>IF(交易處理資料__3[[#This Row],[上班時間]]=0,0,交易處理資料__3[[#This Row],[售出工時]]/交易處理資料__3[[#This Row],[上班時間]])</f>
        <v>6.6934404283801874E-2</v>
      </c>
      <c r="O2005" s="31" t="str">
        <f>IF(交易處理資料__3[[#This Row],[上班時間]]=0,"否","是")</f>
        <v>是</v>
      </c>
    </row>
    <row r="2006" spans="1:15" hidden="1">
      <c r="A2006" t="s">
        <v>75</v>
      </c>
      <c r="B2006" t="s">
        <v>37</v>
      </c>
      <c r="C2006">
        <v>3.5866666669999998</v>
      </c>
      <c r="D2006">
        <v>7.26</v>
      </c>
      <c r="E2006" s="27">
        <v>49.40312213</v>
      </c>
      <c r="F2006">
        <v>4.55</v>
      </c>
      <c r="G2006">
        <v>3.03</v>
      </c>
      <c r="H2006">
        <v>7.58</v>
      </c>
      <c r="I2006">
        <v>60.03</v>
      </c>
      <c r="J2006">
        <v>47.32</v>
      </c>
      <c r="K2006" s="9">
        <v>45341</v>
      </c>
      <c r="L2006">
        <f xml:space="preserve"> (交易處理資料__3[[#This Row],[售出工時]] * 60) / 5</f>
        <v>43.040000003999992</v>
      </c>
      <c r="M2006" t="str">
        <f>VLOOKUP(交易處理資料__3[[#This Row],[人員代號]],團隊分組!$B$1:$C$52,2,FALSE)</f>
        <v>查修團隊A</v>
      </c>
      <c r="N2006">
        <f>IF(交易處理資料__3[[#This Row],[上班時間]]=0,0,交易處理資料__3[[#This Row],[售出工時]]/交易處理資料__3[[#This Row],[上班時間]])</f>
        <v>0.47317502203166223</v>
      </c>
      <c r="O2006" s="31" t="str">
        <f>IF(交易處理資料__3[[#This Row],[上班時間]]=0,"否","是")</f>
        <v>是</v>
      </c>
    </row>
    <row r="2007" spans="1:15" hidden="1">
      <c r="A2007" t="s">
        <v>75</v>
      </c>
      <c r="B2007" t="s">
        <v>38</v>
      </c>
      <c r="C2007">
        <v>0</v>
      </c>
      <c r="D2007">
        <v>0</v>
      </c>
      <c r="E2007" s="2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 s="9">
        <v>45341</v>
      </c>
      <c r="L2007">
        <f xml:space="preserve"> (交易處理資料__3[[#This Row],[售出工時]] * 60) / 5</f>
        <v>0</v>
      </c>
      <c r="M2007" t="str">
        <f>VLOOKUP(交易處理資料__3[[#This Row],[人員代號]],團隊分組!$B$1:$C$52,2,FALSE)</f>
        <v>快速保養團隊A</v>
      </c>
      <c r="N2007">
        <f>IF(交易處理資料__3[[#This Row],[上班時間]]=0,0,交易處理資料__3[[#This Row],[售出工時]]/交易處理資料__3[[#This Row],[上班時間]])</f>
        <v>0</v>
      </c>
      <c r="O2007" s="31" t="str">
        <f>IF(交易處理資料__3[[#This Row],[上班時間]]=0,"否","是")</f>
        <v>否</v>
      </c>
    </row>
    <row r="2008" spans="1:15" hidden="1">
      <c r="A2008" t="s">
        <v>75</v>
      </c>
      <c r="B2008" t="s">
        <v>39</v>
      </c>
      <c r="C2008">
        <v>1.1666666670000001</v>
      </c>
      <c r="D2008">
        <v>0.96</v>
      </c>
      <c r="E2008" s="27">
        <v>121.5277778</v>
      </c>
      <c r="F2008">
        <v>5</v>
      </c>
      <c r="G2008">
        <v>2.63</v>
      </c>
      <c r="H2008">
        <v>7.63</v>
      </c>
      <c r="I2008">
        <v>65.53</v>
      </c>
      <c r="J2008">
        <v>15.29</v>
      </c>
      <c r="K2008" s="9">
        <v>45341</v>
      </c>
      <c r="L2008">
        <f xml:space="preserve"> (交易處理資料__3[[#This Row],[售出工時]] * 60) / 5</f>
        <v>14.000000004</v>
      </c>
      <c r="M2008" t="str">
        <f>VLOOKUP(交易處理資料__3[[#This Row],[人員代號]],團隊分組!$B$1:$C$52,2,FALSE)</f>
        <v>查修團隊A</v>
      </c>
      <c r="N2008">
        <f>IF(交易處理資料__3[[#This Row],[上班時間]]=0,0,交易處理資料__3[[#This Row],[售出工時]]/交易處理資料__3[[#This Row],[上班時間]])</f>
        <v>0.15290519882044562</v>
      </c>
      <c r="O2008" s="31" t="str">
        <f>IF(交易處理資料__3[[#This Row],[上班時間]]=0,"否","是")</f>
        <v>是</v>
      </c>
    </row>
    <row r="2009" spans="1:15" hidden="1">
      <c r="A2009" t="s">
        <v>75</v>
      </c>
      <c r="B2009" t="s">
        <v>41</v>
      </c>
      <c r="C2009">
        <v>7.8333333329999997</v>
      </c>
      <c r="D2009">
        <v>4.8</v>
      </c>
      <c r="E2009" s="27">
        <v>163.19444440000001</v>
      </c>
      <c r="F2009">
        <v>6.73</v>
      </c>
      <c r="G2009">
        <v>0.65</v>
      </c>
      <c r="H2009">
        <v>7.38</v>
      </c>
      <c r="I2009">
        <v>91.19</v>
      </c>
      <c r="J2009">
        <v>106.14</v>
      </c>
      <c r="K2009" s="9">
        <v>45341</v>
      </c>
      <c r="L2009">
        <f xml:space="preserve"> (交易處理資料__3[[#This Row],[售出工時]] * 60) / 5</f>
        <v>93.999999996</v>
      </c>
      <c r="M2009" t="str">
        <f>VLOOKUP(交易處理資料__3[[#This Row],[人員代號]],團隊分組!$B$1:$C$52,2,FALSE)</f>
        <v>快速保養團隊A</v>
      </c>
      <c r="N2009">
        <f>IF(交易處理資料__3[[#This Row],[上班時間]]=0,0,交易處理資料__3[[#This Row],[售出工時]]/交易處理資料__3[[#This Row],[上班時間]])</f>
        <v>1.0614272808943088</v>
      </c>
      <c r="O2009" s="31" t="str">
        <f>IF(交易處理資料__3[[#This Row],[上班時間]]=0,"否","是")</f>
        <v>是</v>
      </c>
    </row>
    <row r="2010" spans="1:15" hidden="1">
      <c r="A2010" t="s">
        <v>75</v>
      </c>
      <c r="B2010" t="s">
        <v>42</v>
      </c>
      <c r="C2010">
        <v>6.0833333329999997</v>
      </c>
      <c r="D2010">
        <v>3.35</v>
      </c>
      <c r="E2010" s="27">
        <v>181.59203980000001</v>
      </c>
      <c r="F2010">
        <v>5.54</v>
      </c>
      <c r="G2010">
        <v>1.76</v>
      </c>
      <c r="H2010">
        <v>7.3</v>
      </c>
      <c r="I2010">
        <v>75.89</v>
      </c>
      <c r="J2010">
        <v>83.33</v>
      </c>
      <c r="K2010" s="9">
        <v>45341</v>
      </c>
      <c r="L2010">
        <f xml:space="preserve"> (交易處理資料__3[[#This Row],[售出工時]] * 60) / 5</f>
        <v>72.999999996</v>
      </c>
      <c r="M2010" t="str">
        <f>VLOOKUP(交易處理資料__3[[#This Row],[人員代號]],團隊分組!$B$1:$C$52,2,FALSE)</f>
        <v>快速保養團隊A</v>
      </c>
      <c r="N2010">
        <f>IF(交易處理資料__3[[#This Row],[上班時間]]=0,0,交易處理資料__3[[#This Row],[售出工時]]/交易處理資料__3[[#This Row],[上班時間]])</f>
        <v>0.83333333328767123</v>
      </c>
      <c r="O2010" s="31" t="str">
        <f>IF(交易處理資料__3[[#This Row],[上班時間]]=0,"否","是")</f>
        <v>是</v>
      </c>
    </row>
    <row r="2011" spans="1:15" hidden="1">
      <c r="A2011" t="s">
        <v>75</v>
      </c>
      <c r="B2011" t="s">
        <v>43</v>
      </c>
      <c r="C2011">
        <v>1.51</v>
      </c>
      <c r="D2011">
        <v>2.46</v>
      </c>
      <c r="E2011" s="27">
        <v>61.382113820000001</v>
      </c>
      <c r="F2011">
        <v>5.21</v>
      </c>
      <c r="G2011">
        <v>2.2400000000000002</v>
      </c>
      <c r="H2011">
        <v>7.45</v>
      </c>
      <c r="I2011">
        <v>69.930000000000007</v>
      </c>
      <c r="J2011">
        <v>20.27</v>
      </c>
      <c r="K2011" s="9">
        <v>45341</v>
      </c>
      <c r="L2011">
        <f xml:space="preserve"> (交易處理資料__3[[#This Row],[售出工時]] * 60) / 5</f>
        <v>18.119999999999997</v>
      </c>
      <c r="M2011" t="str">
        <f>VLOOKUP(交易處理資料__3[[#This Row],[人員代號]],團隊分組!$B$1:$C$52,2,FALSE)</f>
        <v>查修團隊B</v>
      </c>
      <c r="N2011">
        <f>IF(交易處理資料__3[[#This Row],[上班時間]]=0,0,交易處理資料__3[[#This Row],[售出工時]]/交易處理資料__3[[#This Row],[上班時間]])</f>
        <v>0.20268456375838925</v>
      </c>
      <c r="O2011" s="31" t="str">
        <f>IF(交易處理資料__3[[#This Row],[上班時間]]=0,"否","是")</f>
        <v>是</v>
      </c>
    </row>
    <row r="2012" spans="1:15" hidden="1">
      <c r="A2012" t="s">
        <v>75</v>
      </c>
      <c r="B2012" t="s">
        <v>44</v>
      </c>
      <c r="C2012">
        <v>3.73</v>
      </c>
      <c r="D2012">
        <v>4.28</v>
      </c>
      <c r="E2012" s="27">
        <v>87.149532710000003</v>
      </c>
      <c r="F2012">
        <v>7.1</v>
      </c>
      <c r="G2012">
        <v>0.49</v>
      </c>
      <c r="H2012">
        <v>7.59</v>
      </c>
      <c r="I2012">
        <v>93.54</v>
      </c>
      <c r="J2012">
        <v>49.14</v>
      </c>
      <c r="K2012" s="9">
        <v>45341</v>
      </c>
      <c r="L2012">
        <f xml:space="preserve"> (交易處理資料__3[[#This Row],[售出工時]] * 60) / 5</f>
        <v>44.760000000000005</v>
      </c>
      <c r="M2012" t="str">
        <f>VLOOKUP(交易處理資料__3[[#This Row],[人員代號]],團隊分組!$B$1:$C$52,2,FALSE)</f>
        <v>快速保養團隊B</v>
      </c>
      <c r="N2012">
        <f>IF(交易處理資料__3[[#This Row],[上班時間]]=0,0,交易處理資料__3[[#This Row],[售出工時]]/交易處理資料__3[[#This Row],[上班時間]])</f>
        <v>0.49143610013175232</v>
      </c>
      <c r="O2012" s="31" t="str">
        <f>IF(交易處理資料__3[[#This Row],[上班時間]]=0,"否","是")</f>
        <v>是</v>
      </c>
    </row>
    <row r="2013" spans="1:15" hidden="1">
      <c r="A2013" t="s">
        <v>75</v>
      </c>
      <c r="B2013" t="s">
        <v>45</v>
      </c>
      <c r="C2013">
        <v>4.5</v>
      </c>
      <c r="D2013">
        <v>2.4</v>
      </c>
      <c r="E2013" s="27">
        <v>187.5</v>
      </c>
      <c r="F2013">
        <v>6.91</v>
      </c>
      <c r="G2013">
        <v>0.49</v>
      </c>
      <c r="H2013">
        <v>7.4</v>
      </c>
      <c r="I2013">
        <v>93.38</v>
      </c>
      <c r="J2013">
        <v>60.81</v>
      </c>
      <c r="K2013" s="9">
        <v>45341</v>
      </c>
      <c r="L2013">
        <f xml:space="preserve"> (交易處理資料__3[[#This Row],[售出工時]] * 60) / 5</f>
        <v>54</v>
      </c>
      <c r="M2013" t="str">
        <f>VLOOKUP(交易處理資料__3[[#This Row],[人員代號]],團隊分組!$B$1:$C$52,2,FALSE)</f>
        <v>快速保養團隊A</v>
      </c>
      <c r="N2013">
        <f>IF(交易處理資料__3[[#This Row],[上班時間]]=0,0,交易處理資料__3[[#This Row],[售出工時]]/交易處理資料__3[[#This Row],[上班時間]])</f>
        <v>0.60810810810810811</v>
      </c>
      <c r="O2013" s="31" t="str">
        <f>IF(交易處理資料__3[[#This Row],[上班時間]]=0,"否","是")</f>
        <v>是</v>
      </c>
    </row>
    <row r="2014" spans="1:15" hidden="1">
      <c r="A2014" t="s">
        <v>75</v>
      </c>
      <c r="B2014" t="s">
        <v>46</v>
      </c>
      <c r="C2014">
        <v>0</v>
      </c>
      <c r="D2014">
        <v>0</v>
      </c>
      <c r="E2014" s="27">
        <v>0</v>
      </c>
      <c r="F2014">
        <v>5.23</v>
      </c>
      <c r="G2014">
        <v>2.15</v>
      </c>
      <c r="H2014">
        <v>7.38</v>
      </c>
      <c r="I2014">
        <v>70.87</v>
      </c>
      <c r="J2014">
        <v>0</v>
      </c>
      <c r="K2014" s="9">
        <v>45341</v>
      </c>
      <c r="L2014">
        <f xml:space="preserve"> (交易處理資料__3[[#This Row],[售出工時]] * 60) / 5</f>
        <v>0</v>
      </c>
      <c r="M2014" t="str">
        <f>VLOOKUP(交易處理資料__3[[#This Row],[人員代號]],團隊分組!$B$1:$C$52,2,FALSE)</f>
        <v>查修團隊B</v>
      </c>
      <c r="N2014">
        <f>IF(交易處理資料__3[[#This Row],[上班時間]]=0,0,交易處理資料__3[[#This Row],[售出工時]]/交易處理資料__3[[#This Row],[上班時間]])</f>
        <v>0</v>
      </c>
      <c r="O2014" s="31" t="str">
        <f>IF(交易處理資料__3[[#This Row],[上班時間]]=0,"否","是")</f>
        <v>是</v>
      </c>
    </row>
    <row r="2015" spans="1:15" hidden="1">
      <c r="A2015" t="s">
        <v>75</v>
      </c>
      <c r="B2015" t="s">
        <v>48</v>
      </c>
      <c r="C2015">
        <v>0</v>
      </c>
      <c r="D2015">
        <v>0</v>
      </c>
      <c r="E2015" s="27">
        <v>0</v>
      </c>
      <c r="F2015">
        <v>6.38</v>
      </c>
      <c r="G2015">
        <v>1.26</v>
      </c>
      <c r="H2015">
        <v>7.64</v>
      </c>
      <c r="I2015">
        <v>83.51</v>
      </c>
      <c r="J2015">
        <v>0</v>
      </c>
      <c r="K2015" s="9">
        <v>45341</v>
      </c>
      <c r="L2015">
        <f xml:space="preserve"> (交易處理資料__3[[#This Row],[售出工時]] * 60) / 5</f>
        <v>0</v>
      </c>
      <c r="M2015" t="str">
        <f>VLOOKUP(交易處理資料__3[[#This Row],[人員代號]],團隊分組!$B$1:$C$52,2,FALSE)</f>
        <v>查修團隊A</v>
      </c>
      <c r="N2015">
        <f>IF(交易處理資料__3[[#This Row],[上班時間]]=0,0,交易處理資料__3[[#This Row],[售出工時]]/交易處理資料__3[[#This Row],[上班時間]])</f>
        <v>0</v>
      </c>
      <c r="O2015" s="31" t="str">
        <f>IF(交易處理資料__3[[#This Row],[上班時間]]=0,"否","是")</f>
        <v>是</v>
      </c>
    </row>
    <row r="2016" spans="1:15" hidden="1">
      <c r="A2016" t="s">
        <v>75</v>
      </c>
      <c r="B2016" t="s">
        <v>50</v>
      </c>
      <c r="C2016">
        <v>3.35</v>
      </c>
      <c r="D2016">
        <v>3.97</v>
      </c>
      <c r="E2016" s="27">
        <v>84.382871539999996</v>
      </c>
      <c r="F2016">
        <v>7.25</v>
      </c>
      <c r="G2016">
        <v>0.34</v>
      </c>
      <c r="H2016">
        <v>7.59</v>
      </c>
      <c r="I2016">
        <v>95.52</v>
      </c>
      <c r="J2016">
        <v>44.14</v>
      </c>
      <c r="K2016" s="9">
        <v>45341</v>
      </c>
      <c r="L2016">
        <f xml:space="preserve"> (交易處理資料__3[[#This Row],[售出工時]] * 60) / 5</f>
        <v>40.200000000000003</v>
      </c>
      <c r="M2016" t="str">
        <f>VLOOKUP(交易處理資料__3[[#This Row],[人員代號]],團隊分組!$B$1:$C$52,2,FALSE)</f>
        <v>快速保養團隊B</v>
      </c>
      <c r="N2016">
        <f>IF(交易處理資料__3[[#This Row],[上班時間]]=0,0,交易處理資料__3[[#This Row],[售出工時]]/交易處理資料__3[[#This Row],[上班時間]])</f>
        <v>0.44137022397891967</v>
      </c>
      <c r="O2016" s="31" t="str">
        <f>IF(交易處理資料__3[[#This Row],[上班時間]]=0,"否","是")</f>
        <v>是</v>
      </c>
    </row>
    <row r="2017" spans="1:15" hidden="1">
      <c r="A2017" t="s">
        <v>75</v>
      </c>
      <c r="B2017" t="s">
        <v>51</v>
      </c>
      <c r="C2017">
        <v>0</v>
      </c>
      <c r="D2017">
        <v>0</v>
      </c>
      <c r="E2017" s="2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 s="9">
        <v>45341</v>
      </c>
      <c r="L2017">
        <f xml:space="preserve"> (交易處理資料__3[[#This Row],[售出工時]] * 60) / 5</f>
        <v>0</v>
      </c>
      <c r="M2017" t="str">
        <f>VLOOKUP(交易處理資料__3[[#This Row],[人員代號]],團隊分組!$B$1:$C$52,2,FALSE)</f>
        <v>無效數據</v>
      </c>
      <c r="N2017">
        <f>IF(交易處理資料__3[[#This Row],[上班時間]]=0,0,交易處理資料__3[[#This Row],[售出工時]]/交易處理資料__3[[#This Row],[上班時間]])</f>
        <v>0</v>
      </c>
      <c r="O2017" s="31" t="str">
        <f>IF(交易處理資料__3[[#This Row],[上班時間]]=0,"否","是")</f>
        <v>否</v>
      </c>
    </row>
    <row r="2018" spans="1:15" hidden="1">
      <c r="A2018" t="s">
        <v>75</v>
      </c>
      <c r="B2018" t="s">
        <v>52</v>
      </c>
      <c r="C2018">
        <v>0</v>
      </c>
      <c r="D2018">
        <v>0</v>
      </c>
      <c r="E2018" s="27">
        <v>0</v>
      </c>
      <c r="F2018">
        <v>5.99</v>
      </c>
      <c r="G2018">
        <v>1.4</v>
      </c>
      <c r="H2018">
        <v>7.39</v>
      </c>
      <c r="I2018">
        <v>81.06</v>
      </c>
      <c r="J2018">
        <v>0</v>
      </c>
      <c r="K2018" s="9">
        <v>45341</v>
      </c>
      <c r="L2018">
        <f xml:space="preserve"> (交易處理資料__3[[#This Row],[售出工時]] * 60) / 5</f>
        <v>0</v>
      </c>
      <c r="M2018" t="str">
        <f>VLOOKUP(交易處理資料__3[[#This Row],[人員代號]],團隊分組!$B$1:$C$52,2,FALSE)</f>
        <v>查修團隊B</v>
      </c>
      <c r="N2018">
        <f>IF(交易處理資料__3[[#This Row],[上班時間]]=0,0,交易處理資料__3[[#This Row],[售出工時]]/交易處理資料__3[[#This Row],[上班時間]])</f>
        <v>0</v>
      </c>
      <c r="O2018" s="31" t="str">
        <f>IF(交易處理資料__3[[#This Row],[上班時間]]=0,"否","是")</f>
        <v>是</v>
      </c>
    </row>
    <row r="2019" spans="1:15" hidden="1">
      <c r="A2019" t="s">
        <v>75</v>
      </c>
      <c r="B2019" t="s">
        <v>53</v>
      </c>
      <c r="C2019">
        <v>4.3333333329999997</v>
      </c>
      <c r="D2019">
        <v>5.41</v>
      </c>
      <c r="E2019" s="27">
        <v>80.098582870000001</v>
      </c>
      <c r="F2019">
        <v>6.57</v>
      </c>
      <c r="G2019">
        <v>1.01</v>
      </c>
      <c r="H2019">
        <v>7.58</v>
      </c>
      <c r="I2019">
        <v>86.68</v>
      </c>
      <c r="J2019">
        <v>57.17</v>
      </c>
      <c r="K2019" s="9">
        <v>45341</v>
      </c>
      <c r="L2019">
        <f xml:space="preserve"> (交易處理資料__3[[#This Row],[售出工時]] * 60) / 5</f>
        <v>51.999999996</v>
      </c>
      <c r="M2019" t="str">
        <f>VLOOKUP(交易處理資料__3[[#This Row],[人員代號]],團隊分組!$B$1:$C$52,2,FALSE)</f>
        <v>查修團隊A</v>
      </c>
      <c r="N2019">
        <f>IF(交易處理資料__3[[#This Row],[上班時間]]=0,0,交易處理資料__3[[#This Row],[售出工時]]/交易處理資料__3[[#This Row],[上班時間]])</f>
        <v>0.57167985923482845</v>
      </c>
      <c r="O2019" s="31" t="str">
        <f>IF(交易處理資料__3[[#This Row],[上班時間]]=0,"否","是")</f>
        <v>是</v>
      </c>
    </row>
    <row r="2020" spans="1:15" hidden="1">
      <c r="A2020" s="10" t="s">
        <v>73</v>
      </c>
      <c r="B2020" t="s">
        <v>1</v>
      </c>
      <c r="C2020">
        <v>0</v>
      </c>
      <c r="D2020">
        <v>0</v>
      </c>
      <c r="E2020" s="27">
        <v>0</v>
      </c>
      <c r="F2020">
        <v>7.33</v>
      </c>
      <c r="G2020">
        <v>0.74</v>
      </c>
      <c r="H2020">
        <v>8.07</v>
      </c>
      <c r="I2020">
        <v>90.83</v>
      </c>
      <c r="J2020">
        <v>0</v>
      </c>
      <c r="K2020" s="9">
        <v>45342</v>
      </c>
      <c r="L2020">
        <f xml:space="preserve"> (交易處理資料__3[[#This Row],[售出工時]] * 60) / 5</f>
        <v>0</v>
      </c>
      <c r="M2020" t="str">
        <f>VLOOKUP(交易處理資料__3[[#This Row],[人員代號]],團隊分組!$B$1:$C$52,2,FALSE)</f>
        <v>噴漆維修組</v>
      </c>
      <c r="N2020">
        <f>IF(交易處理資料__3[[#This Row],[上班時間]]=0,0,交易處理資料__3[[#This Row],[售出工時]]/交易處理資料__3[[#This Row],[上班時間]])</f>
        <v>0</v>
      </c>
      <c r="O2020" s="31" t="str">
        <f>IF(交易處理資料__3[[#This Row],[上班時間]]=0,"否","是")</f>
        <v>是</v>
      </c>
    </row>
    <row r="2021" spans="1:15" hidden="1">
      <c r="A2021" s="10" t="s">
        <v>73</v>
      </c>
      <c r="B2021" t="s">
        <v>2</v>
      </c>
      <c r="C2021">
        <v>0</v>
      </c>
      <c r="D2021">
        <v>0</v>
      </c>
      <c r="E2021" s="27">
        <v>0</v>
      </c>
      <c r="F2021">
        <v>7.85</v>
      </c>
      <c r="G2021">
        <v>0.17</v>
      </c>
      <c r="H2021">
        <v>8.02</v>
      </c>
      <c r="I2021">
        <v>97.88</v>
      </c>
      <c r="J2021">
        <v>0</v>
      </c>
      <c r="K2021" s="9">
        <v>45342</v>
      </c>
      <c r="L2021">
        <f xml:space="preserve"> (交易處理資料__3[[#This Row],[售出工時]] * 60) / 5</f>
        <v>0</v>
      </c>
      <c r="M2021" t="str">
        <f>VLOOKUP(交易處理資料__3[[#This Row],[人員代號]],團隊分組!$B$1:$C$52,2,FALSE)</f>
        <v>噴漆維修組</v>
      </c>
      <c r="N2021">
        <f>IF(交易處理資料__3[[#This Row],[上班時間]]=0,0,交易處理資料__3[[#This Row],[售出工時]]/交易處理資料__3[[#This Row],[上班時間]])</f>
        <v>0</v>
      </c>
      <c r="O2021" s="31" t="str">
        <f>IF(交易處理資料__3[[#This Row],[上班時間]]=0,"否","是")</f>
        <v>是</v>
      </c>
    </row>
    <row r="2022" spans="1:15" hidden="1">
      <c r="A2022" s="10" t="s">
        <v>73</v>
      </c>
      <c r="B2022" t="s">
        <v>3</v>
      </c>
      <c r="C2022">
        <v>0</v>
      </c>
      <c r="D2022">
        <v>0</v>
      </c>
      <c r="E2022" s="27">
        <v>0</v>
      </c>
      <c r="F2022">
        <v>7.86</v>
      </c>
      <c r="G2022">
        <v>0.17</v>
      </c>
      <c r="H2022">
        <v>8.0299999999999994</v>
      </c>
      <c r="I2022">
        <v>97.88</v>
      </c>
      <c r="J2022">
        <v>0</v>
      </c>
      <c r="K2022" s="9">
        <v>45342</v>
      </c>
      <c r="L2022">
        <f xml:space="preserve"> (交易處理資料__3[[#This Row],[售出工時]] * 60) / 5</f>
        <v>0</v>
      </c>
      <c r="M2022" t="str">
        <f>VLOOKUP(交易處理資料__3[[#This Row],[人員代號]],團隊分組!$B$1:$C$52,2,FALSE)</f>
        <v>噴漆維修組</v>
      </c>
      <c r="N2022">
        <f>IF(交易處理資料__3[[#This Row],[上班時間]]=0,0,交易處理資料__3[[#This Row],[售出工時]]/交易處理資料__3[[#This Row],[上班時間]])</f>
        <v>0</v>
      </c>
      <c r="O2022" s="31" t="str">
        <f>IF(交易處理資料__3[[#This Row],[上班時間]]=0,"否","是")</f>
        <v>是</v>
      </c>
    </row>
    <row r="2023" spans="1:15" hidden="1">
      <c r="A2023" s="10" t="s">
        <v>73</v>
      </c>
      <c r="B2023" t="s">
        <v>5</v>
      </c>
      <c r="C2023">
        <v>0</v>
      </c>
      <c r="D2023">
        <v>0</v>
      </c>
      <c r="E2023" s="27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 s="9">
        <v>45342</v>
      </c>
      <c r="L2023">
        <f xml:space="preserve"> (交易處理資料__3[[#This Row],[售出工時]] * 60) / 5</f>
        <v>0</v>
      </c>
      <c r="M2023" t="str">
        <f>VLOOKUP(交易處理資料__3[[#This Row],[人員代號]],團隊分組!$B$1:$C$52,2,FALSE)</f>
        <v>噴漆維修組</v>
      </c>
      <c r="N2023">
        <f>IF(交易處理資料__3[[#This Row],[上班時間]]=0,0,交易處理資料__3[[#This Row],[售出工時]]/交易處理資料__3[[#This Row],[上班時間]])</f>
        <v>0</v>
      </c>
      <c r="O2023" s="31" t="str">
        <f>IF(交易處理資料__3[[#This Row],[上班時間]]=0,"否","是")</f>
        <v>否</v>
      </c>
    </row>
    <row r="2024" spans="1:15" hidden="1">
      <c r="A2024" s="10" t="s">
        <v>73</v>
      </c>
      <c r="B2024" t="s">
        <v>6</v>
      </c>
      <c r="C2024">
        <v>0</v>
      </c>
      <c r="D2024">
        <v>0</v>
      </c>
      <c r="E2024" s="27">
        <v>0</v>
      </c>
      <c r="F2024">
        <v>7.87</v>
      </c>
      <c r="G2024">
        <v>0.16</v>
      </c>
      <c r="H2024">
        <v>8.0299999999999994</v>
      </c>
      <c r="I2024">
        <v>98.01</v>
      </c>
      <c r="J2024">
        <v>0</v>
      </c>
      <c r="K2024" s="9">
        <v>45342</v>
      </c>
      <c r="L2024">
        <f xml:space="preserve"> (交易處理資料__3[[#This Row],[售出工時]] * 60) / 5</f>
        <v>0</v>
      </c>
      <c r="M2024" t="str">
        <f>VLOOKUP(交易處理資料__3[[#This Row],[人員代號]],團隊分組!$B$1:$C$52,2,FALSE)</f>
        <v>噴漆維修組</v>
      </c>
      <c r="N2024">
        <f>IF(交易處理資料__3[[#This Row],[上班時間]]=0,0,交易處理資料__3[[#This Row],[售出工時]]/交易處理資料__3[[#This Row],[上班時間]])</f>
        <v>0</v>
      </c>
      <c r="O2024" s="31" t="str">
        <f>IF(交易處理資料__3[[#This Row],[上班時間]]=0,"否","是")</f>
        <v>是</v>
      </c>
    </row>
    <row r="2025" spans="1:15" hidden="1">
      <c r="A2025" s="10" t="s">
        <v>73</v>
      </c>
      <c r="B2025" t="s">
        <v>7</v>
      </c>
      <c r="C2025">
        <v>3.3333333330000001</v>
      </c>
      <c r="D2025">
        <v>3.89</v>
      </c>
      <c r="E2025" s="27">
        <v>85.689802909999997</v>
      </c>
      <c r="F2025">
        <v>7.85</v>
      </c>
      <c r="G2025">
        <v>0.17</v>
      </c>
      <c r="H2025">
        <v>8.02</v>
      </c>
      <c r="I2025">
        <v>97.88</v>
      </c>
      <c r="J2025">
        <v>41.56</v>
      </c>
      <c r="K2025" s="9">
        <v>45342</v>
      </c>
      <c r="L2025">
        <f xml:space="preserve"> (交易處理資料__3[[#This Row],[售出工時]] * 60) / 5</f>
        <v>39.999999996</v>
      </c>
      <c r="M2025" t="str">
        <f>VLOOKUP(交易處理資料__3[[#This Row],[人員代號]],團隊分組!$B$1:$C$52,2,FALSE)</f>
        <v>噴漆維修組</v>
      </c>
      <c r="N2025">
        <f>IF(交易處理資料__3[[#This Row],[上班時間]]=0,0,交易處理資料__3[[#This Row],[售出工時]]/交易處理資料__3[[#This Row],[上班時間]])</f>
        <v>0.41562759763092272</v>
      </c>
      <c r="O2025" s="31" t="str">
        <f>IF(交易處理資料__3[[#This Row],[上班時間]]=0,"否","是")</f>
        <v>是</v>
      </c>
    </row>
    <row r="2026" spans="1:15" hidden="1">
      <c r="A2026" s="10" t="s">
        <v>73</v>
      </c>
      <c r="B2026" t="s">
        <v>8</v>
      </c>
      <c r="C2026">
        <v>0</v>
      </c>
      <c r="D2026">
        <v>0</v>
      </c>
      <c r="E2026" s="27">
        <v>0</v>
      </c>
      <c r="F2026">
        <v>7.3</v>
      </c>
      <c r="G2026">
        <v>0.82</v>
      </c>
      <c r="H2026">
        <v>8.1199999999999992</v>
      </c>
      <c r="I2026">
        <v>89.9</v>
      </c>
      <c r="J2026">
        <v>0</v>
      </c>
      <c r="K2026" s="9">
        <v>45342</v>
      </c>
      <c r="L2026">
        <f xml:space="preserve"> (交易處理資料__3[[#This Row],[售出工時]] * 60) / 5</f>
        <v>0</v>
      </c>
      <c r="M2026" t="str">
        <f>VLOOKUP(交易處理資料__3[[#This Row],[人員代號]],團隊分組!$B$1:$C$52,2,FALSE)</f>
        <v>噴漆維修組</v>
      </c>
      <c r="N2026">
        <f>IF(交易處理資料__3[[#This Row],[上班時間]]=0,0,交易處理資料__3[[#This Row],[售出工時]]/交易處理資料__3[[#This Row],[上班時間]])</f>
        <v>0</v>
      </c>
      <c r="O2026" s="31" t="str">
        <f>IF(交易處理資料__3[[#This Row],[上班時間]]=0,"否","是")</f>
        <v>是</v>
      </c>
    </row>
    <row r="2027" spans="1:15" hidden="1">
      <c r="A2027" s="10" t="s">
        <v>73</v>
      </c>
      <c r="B2027" t="s">
        <v>9</v>
      </c>
      <c r="C2027">
        <v>0</v>
      </c>
      <c r="D2027">
        <v>0</v>
      </c>
      <c r="E2027" s="27">
        <v>0</v>
      </c>
      <c r="F2027">
        <v>7.33</v>
      </c>
      <c r="G2027">
        <v>0.77</v>
      </c>
      <c r="H2027">
        <v>8.1</v>
      </c>
      <c r="I2027">
        <v>90.49</v>
      </c>
      <c r="J2027">
        <v>0</v>
      </c>
      <c r="K2027" s="9">
        <v>45342</v>
      </c>
      <c r="L2027">
        <f xml:space="preserve"> (交易處理資料__3[[#This Row],[售出工時]] * 60) / 5</f>
        <v>0</v>
      </c>
      <c r="M2027" t="str">
        <f>VLOOKUP(交易處理資料__3[[#This Row],[人員代號]],團隊分組!$B$1:$C$52,2,FALSE)</f>
        <v>噴漆維修組</v>
      </c>
      <c r="N2027">
        <f>IF(交易處理資料__3[[#This Row],[上班時間]]=0,0,交易處理資料__3[[#This Row],[售出工時]]/交易處理資料__3[[#This Row],[上班時間]])</f>
        <v>0</v>
      </c>
      <c r="O2027" s="31" t="str">
        <f>IF(交易處理資料__3[[#This Row],[上班時間]]=0,"否","是")</f>
        <v>是</v>
      </c>
    </row>
    <row r="2028" spans="1:15" hidden="1">
      <c r="A2028" t="s">
        <v>74</v>
      </c>
      <c r="B2028" t="s">
        <v>11</v>
      </c>
      <c r="C2028">
        <v>0</v>
      </c>
      <c r="D2028">
        <v>0</v>
      </c>
      <c r="E2028" s="27">
        <v>0</v>
      </c>
      <c r="F2028">
        <v>3.5</v>
      </c>
      <c r="G2028">
        <v>4.5999999999999996</v>
      </c>
      <c r="H2028">
        <v>8.1</v>
      </c>
      <c r="I2028">
        <v>43.21</v>
      </c>
      <c r="J2028">
        <v>0</v>
      </c>
      <c r="K2028" s="9">
        <v>45342</v>
      </c>
      <c r="L2028">
        <f xml:space="preserve"> (交易處理資料__3[[#This Row],[售出工時]] * 60) / 5</f>
        <v>0</v>
      </c>
      <c r="M2028" t="str">
        <f>VLOOKUP(交易處理資料__3[[#This Row],[人員代號]],團隊分組!$B$1:$C$52,2,FALSE)</f>
        <v>鈑金維修組</v>
      </c>
      <c r="N2028">
        <f>IF(交易處理資料__3[[#This Row],[上班時間]]=0,0,交易處理資料__3[[#This Row],[售出工時]]/交易處理資料__3[[#This Row],[上班時間]])</f>
        <v>0</v>
      </c>
      <c r="O2028" s="31" t="str">
        <f>IF(交易處理資料__3[[#This Row],[上班時間]]=0,"否","是")</f>
        <v>是</v>
      </c>
    </row>
    <row r="2029" spans="1:15" hidden="1">
      <c r="A2029" t="s">
        <v>74</v>
      </c>
      <c r="B2029" t="s">
        <v>12</v>
      </c>
      <c r="C2029">
        <v>0</v>
      </c>
      <c r="D2029">
        <v>0</v>
      </c>
      <c r="E2029" s="27">
        <v>0</v>
      </c>
      <c r="F2029">
        <v>5</v>
      </c>
      <c r="G2029">
        <v>3.1</v>
      </c>
      <c r="H2029">
        <v>8.1</v>
      </c>
      <c r="I2029">
        <v>61.73</v>
      </c>
      <c r="J2029">
        <v>0</v>
      </c>
      <c r="K2029" s="9">
        <v>45342</v>
      </c>
      <c r="L2029">
        <f xml:space="preserve"> (交易處理資料__3[[#This Row],[售出工時]] * 60) / 5</f>
        <v>0</v>
      </c>
      <c r="M2029" t="str">
        <f>VLOOKUP(交易處理資料__3[[#This Row],[人員代號]],團隊分組!$B$1:$C$52,2,FALSE)</f>
        <v>鈑金維修組</v>
      </c>
      <c r="N2029">
        <f>IF(交易處理資料__3[[#This Row],[上班時間]]=0,0,交易處理資料__3[[#This Row],[售出工時]]/交易處理資料__3[[#This Row],[上班時間]])</f>
        <v>0</v>
      </c>
      <c r="O2029" s="31" t="str">
        <f>IF(交易處理資料__3[[#This Row],[上班時間]]=0,"否","是")</f>
        <v>是</v>
      </c>
    </row>
    <row r="2030" spans="1:15" hidden="1">
      <c r="A2030" t="s">
        <v>74</v>
      </c>
      <c r="B2030" t="s">
        <v>13</v>
      </c>
      <c r="C2030">
        <v>0</v>
      </c>
      <c r="D2030">
        <v>0</v>
      </c>
      <c r="E2030" s="27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 s="9">
        <v>45342</v>
      </c>
      <c r="L2030">
        <f xml:space="preserve"> (交易處理資料__3[[#This Row],[售出工時]] * 60) / 5</f>
        <v>0</v>
      </c>
      <c r="M2030" t="str">
        <f>VLOOKUP(交易處理資料__3[[#This Row],[人員代號]],團隊分組!$B$1:$C$52,2,FALSE)</f>
        <v>鈑金維修組</v>
      </c>
      <c r="N2030">
        <f>IF(交易處理資料__3[[#This Row],[上班時間]]=0,0,交易處理資料__3[[#This Row],[售出工時]]/交易處理資料__3[[#This Row],[上班時間]])</f>
        <v>0</v>
      </c>
      <c r="O2030" s="31" t="str">
        <f>IF(交易處理資料__3[[#This Row],[上班時間]]=0,"否","是")</f>
        <v>否</v>
      </c>
    </row>
    <row r="2031" spans="1:15" hidden="1">
      <c r="A2031" t="s">
        <v>74</v>
      </c>
      <c r="B2031" t="s">
        <v>15</v>
      </c>
      <c r="C2031">
        <v>2.36</v>
      </c>
      <c r="D2031">
        <v>3.21</v>
      </c>
      <c r="E2031" s="27">
        <v>73.520249219999997</v>
      </c>
      <c r="F2031">
        <v>3.66</v>
      </c>
      <c r="G2031">
        <v>4.4400000000000004</v>
      </c>
      <c r="H2031">
        <v>8.1</v>
      </c>
      <c r="I2031">
        <v>45.19</v>
      </c>
      <c r="J2031">
        <v>29.14</v>
      </c>
      <c r="K2031" s="9">
        <v>45342</v>
      </c>
      <c r="L2031">
        <f xml:space="preserve"> (交易處理資料__3[[#This Row],[售出工時]] * 60) / 5</f>
        <v>28.32</v>
      </c>
      <c r="M2031" t="str">
        <f>VLOOKUP(交易處理資料__3[[#This Row],[人員代號]],團隊分組!$B$1:$C$52,2,FALSE)</f>
        <v>鈑金維修組</v>
      </c>
      <c r="N2031">
        <f>IF(交易處理資料__3[[#This Row],[上班時間]]=0,0,交易處理資料__3[[#This Row],[售出工時]]/交易處理資料__3[[#This Row],[上班時間]])</f>
        <v>0.29135802469135802</v>
      </c>
      <c r="O2031" s="31" t="str">
        <f>IF(交易處理資料__3[[#This Row],[上班時間]]=0,"否","是")</f>
        <v>是</v>
      </c>
    </row>
    <row r="2032" spans="1:15" hidden="1">
      <c r="A2032" t="s">
        <v>75</v>
      </c>
      <c r="B2032" t="s">
        <v>17</v>
      </c>
      <c r="C2032">
        <v>5.3333333329999997</v>
      </c>
      <c r="D2032">
        <v>3.23</v>
      </c>
      <c r="E2032" s="27">
        <v>165.11867910000001</v>
      </c>
      <c r="F2032">
        <v>6.61</v>
      </c>
      <c r="G2032">
        <v>1.53</v>
      </c>
      <c r="H2032">
        <v>8.14</v>
      </c>
      <c r="I2032">
        <v>81.2</v>
      </c>
      <c r="J2032">
        <v>65.52</v>
      </c>
      <c r="K2032" s="9">
        <v>45342</v>
      </c>
      <c r="L2032">
        <f xml:space="preserve"> (交易處理資料__3[[#This Row],[售出工時]] * 60) / 5</f>
        <v>63.999999996</v>
      </c>
      <c r="M2032" t="str">
        <f>VLOOKUP(交易處理資料__3[[#This Row],[人員代號]],團隊分組!$B$1:$C$52,2,FALSE)</f>
        <v>快速保養團隊A</v>
      </c>
      <c r="N2032">
        <f>IF(交易處理資料__3[[#This Row],[上班時間]]=0,0,交易處理資料__3[[#This Row],[售出工時]]/交易處理資料__3[[#This Row],[上班時間]])</f>
        <v>0.65520065515970505</v>
      </c>
      <c r="O2032" s="31" t="str">
        <f>IF(交易處理資料__3[[#This Row],[上班時間]]=0,"否","是")</f>
        <v>是</v>
      </c>
    </row>
    <row r="2033" spans="1:15" hidden="1">
      <c r="A2033" t="s">
        <v>75</v>
      </c>
      <c r="B2033" t="s">
        <v>19</v>
      </c>
      <c r="C2033">
        <v>0</v>
      </c>
      <c r="D2033">
        <v>0</v>
      </c>
      <c r="E2033" s="27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 s="9">
        <v>45342</v>
      </c>
      <c r="L2033">
        <f xml:space="preserve"> (交易處理資料__3[[#This Row],[售出工時]] * 60) / 5</f>
        <v>0</v>
      </c>
      <c r="M2033" t="str">
        <f>VLOOKUP(交易處理資料__3[[#This Row],[人員代號]],團隊分組!$B$1:$C$52,2,FALSE)</f>
        <v>查修團隊A</v>
      </c>
      <c r="N2033">
        <f>IF(交易處理資料__3[[#This Row],[上班時間]]=0,0,交易處理資料__3[[#This Row],[售出工時]]/交易處理資料__3[[#This Row],[上班時間]])</f>
        <v>0</v>
      </c>
      <c r="O2033" s="31" t="str">
        <f>IF(交易處理資料__3[[#This Row],[上班時間]]=0,"否","是")</f>
        <v>否</v>
      </c>
    </row>
    <row r="2034" spans="1:15" hidden="1">
      <c r="A2034" t="s">
        <v>75</v>
      </c>
      <c r="B2034" t="s">
        <v>20</v>
      </c>
      <c r="C2034">
        <v>0.75</v>
      </c>
      <c r="D2034">
        <v>2.0299999999999998</v>
      </c>
      <c r="E2034" s="27">
        <v>36.94581281</v>
      </c>
      <c r="F2034">
        <v>6.81</v>
      </c>
      <c r="G2034">
        <v>4.13</v>
      </c>
      <c r="H2034">
        <v>10.94</v>
      </c>
      <c r="I2034">
        <v>62.25</v>
      </c>
      <c r="J2034">
        <v>6.86</v>
      </c>
      <c r="K2034" s="9">
        <v>45342</v>
      </c>
      <c r="L2034">
        <f xml:space="preserve"> (交易處理資料__3[[#This Row],[售出工時]] * 60) / 5</f>
        <v>9</v>
      </c>
      <c r="M2034" t="str">
        <f>VLOOKUP(交易處理資料__3[[#This Row],[人員代號]],團隊分組!$B$1:$C$52,2,FALSE)</f>
        <v>查修團隊B</v>
      </c>
      <c r="N2034">
        <f>IF(交易處理資料__3[[#This Row],[上班時間]]=0,0,交易處理資料__3[[#This Row],[售出工時]]/交易處理資料__3[[#This Row],[上班時間]])</f>
        <v>6.8555758683729442E-2</v>
      </c>
      <c r="O2034" s="31" t="str">
        <f>IF(交易處理資料__3[[#This Row],[上班時間]]=0,"否","是")</f>
        <v>是</v>
      </c>
    </row>
    <row r="2035" spans="1:15" hidden="1">
      <c r="A2035" t="s">
        <v>75</v>
      </c>
      <c r="B2035" t="s">
        <v>21</v>
      </c>
      <c r="C2035">
        <v>3.1666666669999999</v>
      </c>
      <c r="D2035">
        <v>7</v>
      </c>
      <c r="E2035" s="27">
        <v>45.23809524</v>
      </c>
      <c r="F2035">
        <v>7.49</v>
      </c>
      <c r="G2035">
        <v>0.6</v>
      </c>
      <c r="H2035">
        <v>8.09</v>
      </c>
      <c r="I2035">
        <v>92.58</v>
      </c>
      <c r="J2035">
        <v>39.14</v>
      </c>
      <c r="K2035" s="9">
        <v>45342</v>
      </c>
      <c r="L2035">
        <f xml:space="preserve"> (交易處理資料__3[[#This Row],[售出工時]] * 60) / 5</f>
        <v>38.000000004</v>
      </c>
      <c r="M2035" t="str">
        <f>VLOOKUP(交易處理資料__3[[#This Row],[人員代號]],團隊分組!$B$1:$C$52,2,FALSE)</f>
        <v>查修團隊B</v>
      </c>
      <c r="N2035">
        <f>IF(交易處理資料__3[[#This Row],[上班時間]]=0,0,交易處理資料__3[[#This Row],[售出工時]]/交易處理資料__3[[#This Row],[上班時間]])</f>
        <v>0.39142974870210134</v>
      </c>
      <c r="O2035" s="31" t="str">
        <f>IF(交易處理資料__3[[#This Row],[上班時間]]=0,"否","是")</f>
        <v>是</v>
      </c>
    </row>
    <row r="2036" spans="1:15" hidden="1">
      <c r="A2036" t="s">
        <v>75</v>
      </c>
      <c r="B2036" t="s">
        <v>22</v>
      </c>
      <c r="C2036">
        <v>10.41666667</v>
      </c>
      <c r="D2036">
        <v>6.22</v>
      </c>
      <c r="E2036" s="27">
        <v>167.4705252</v>
      </c>
      <c r="F2036">
        <v>8.09</v>
      </c>
      <c r="G2036">
        <v>0.72</v>
      </c>
      <c r="H2036">
        <v>8.81</v>
      </c>
      <c r="I2036">
        <v>91.83</v>
      </c>
      <c r="J2036">
        <v>118.24</v>
      </c>
      <c r="K2036" s="9">
        <v>45342</v>
      </c>
      <c r="L2036">
        <f xml:space="preserve"> (交易處理資料__3[[#This Row],[售出工時]] * 60) / 5</f>
        <v>125.00000003999999</v>
      </c>
      <c r="M2036" t="str">
        <f>VLOOKUP(交易處理資料__3[[#This Row],[人員代號]],團隊分組!$B$1:$C$52,2,FALSE)</f>
        <v>快速保養團隊A</v>
      </c>
      <c r="N2036">
        <f>IF(交易處理資料__3[[#This Row],[上班時間]]=0,0,交易處理資料__3[[#This Row],[售出工時]]/交易處理資料__3[[#This Row],[上班時間]])</f>
        <v>1.1823685209988648</v>
      </c>
      <c r="O2036" s="31" t="str">
        <f>IF(交易處理資料__3[[#This Row],[上班時間]]=0,"否","是")</f>
        <v>是</v>
      </c>
    </row>
    <row r="2037" spans="1:15" hidden="1">
      <c r="A2037" t="s">
        <v>75</v>
      </c>
      <c r="B2037" t="s">
        <v>23</v>
      </c>
      <c r="C2037">
        <v>8.1066666670000007</v>
      </c>
      <c r="D2037">
        <v>7.03</v>
      </c>
      <c r="E2037" s="27">
        <v>115.31531529999999</v>
      </c>
      <c r="F2037">
        <v>6.74</v>
      </c>
      <c r="G2037">
        <v>0.49</v>
      </c>
      <c r="H2037">
        <v>7.23</v>
      </c>
      <c r="I2037">
        <v>93.22</v>
      </c>
      <c r="J2037">
        <v>112.13</v>
      </c>
      <c r="K2037" s="9">
        <v>45342</v>
      </c>
      <c r="L2037">
        <f xml:space="preserve"> (交易處理資料__3[[#This Row],[售出工時]] * 60) / 5</f>
        <v>97.280000004000016</v>
      </c>
      <c r="M2037" t="str">
        <f>VLOOKUP(交易處理資料__3[[#This Row],[人員代號]],團隊分組!$B$1:$C$52,2,FALSE)</f>
        <v>快速保養團隊B</v>
      </c>
      <c r="N2037">
        <f>IF(交易處理資料__3[[#This Row],[上班時間]]=0,0,交易處理資料__3[[#This Row],[售出工時]]/交易處理資料__3[[#This Row],[上班時間]])</f>
        <v>1.1212540341632089</v>
      </c>
      <c r="O2037" s="31" t="str">
        <f>IF(交易處理資料__3[[#This Row],[上班時間]]=0,"否","是")</f>
        <v>是</v>
      </c>
    </row>
    <row r="2038" spans="1:15" hidden="1">
      <c r="A2038" t="s">
        <v>75</v>
      </c>
      <c r="B2038" t="s">
        <v>24</v>
      </c>
      <c r="C2038">
        <v>6.59</v>
      </c>
      <c r="D2038">
        <v>6.57</v>
      </c>
      <c r="E2038" s="27">
        <v>100.30441399999999</v>
      </c>
      <c r="F2038">
        <v>6.57</v>
      </c>
      <c r="G2038">
        <v>1.54</v>
      </c>
      <c r="H2038">
        <v>8.11</v>
      </c>
      <c r="I2038">
        <v>81.010000000000005</v>
      </c>
      <c r="J2038">
        <v>81.260000000000005</v>
      </c>
      <c r="K2038" s="9">
        <v>45342</v>
      </c>
      <c r="L2038">
        <f xml:space="preserve"> (交易處理資料__3[[#This Row],[售出工時]] * 60) / 5</f>
        <v>79.08</v>
      </c>
      <c r="M2038" t="str">
        <f>VLOOKUP(交易處理資料__3[[#This Row],[人員代號]],團隊分組!$B$1:$C$52,2,FALSE)</f>
        <v>快速保養團隊A</v>
      </c>
      <c r="N2038">
        <f>IF(交易處理資料__3[[#This Row],[上班時間]]=0,0,交易處理資料__3[[#This Row],[售出工時]]/交易處理資料__3[[#This Row],[上班時間]])</f>
        <v>0.81257706535141805</v>
      </c>
      <c r="O2038" s="31" t="str">
        <f>IF(交易處理資料__3[[#This Row],[上班時間]]=0,"否","是")</f>
        <v>是</v>
      </c>
    </row>
    <row r="2039" spans="1:15" hidden="1">
      <c r="A2039" t="s">
        <v>75</v>
      </c>
      <c r="B2039" t="s">
        <v>25</v>
      </c>
      <c r="C2039">
        <v>8</v>
      </c>
      <c r="D2039">
        <v>7.23</v>
      </c>
      <c r="E2039" s="27">
        <v>110.6500692</v>
      </c>
      <c r="F2039">
        <v>6.79</v>
      </c>
      <c r="G2039">
        <v>1.23</v>
      </c>
      <c r="H2039">
        <v>8.02</v>
      </c>
      <c r="I2039">
        <v>84.66</v>
      </c>
      <c r="J2039">
        <v>99.75</v>
      </c>
      <c r="K2039" s="9">
        <v>45342</v>
      </c>
      <c r="L2039">
        <f xml:space="preserve"> (交易處理資料__3[[#This Row],[售出工時]] * 60) / 5</f>
        <v>96</v>
      </c>
      <c r="M2039" t="str">
        <f>VLOOKUP(交易處理資料__3[[#This Row],[人員代號]],團隊分組!$B$1:$C$52,2,FALSE)</f>
        <v>查修團隊A</v>
      </c>
      <c r="N2039">
        <f>IF(交易處理資料__3[[#This Row],[上班時間]]=0,0,交易處理資料__3[[#This Row],[售出工時]]/交易處理資料__3[[#This Row],[上班時間]])</f>
        <v>0.99750623441396513</v>
      </c>
      <c r="O2039" s="31" t="str">
        <f>IF(交易處理資料__3[[#This Row],[上班時間]]=0,"否","是")</f>
        <v>是</v>
      </c>
    </row>
    <row r="2040" spans="1:15" hidden="1">
      <c r="A2040" t="s">
        <v>75</v>
      </c>
      <c r="B2040" t="s">
        <v>26</v>
      </c>
      <c r="C2040">
        <v>2</v>
      </c>
      <c r="D2040">
        <v>2.2799999999999998</v>
      </c>
      <c r="E2040" s="27">
        <v>87.719298249999994</v>
      </c>
      <c r="F2040">
        <v>9.41</v>
      </c>
      <c r="G2040">
        <v>1.54</v>
      </c>
      <c r="H2040">
        <v>10.95</v>
      </c>
      <c r="I2040">
        <v>85.94</v>
      </c>
      <c r="J2040">
        <v>18.260000000000002</v>
      </c>
      <c r="K2040" s="9">
        <v>45342</v>
      </c>
      <c r="L2040">
        <f xml:space="preserve"> (交易處理資料__3[[#This Row],[售出工時]] * 60) / 5</f>
        <v>24</v>
      </c>
      <c r="M2040" t="str">
        <f>VLOOKUP(交易處理資料__3[[#This Row],[人員代號]],團隊分組!$B$1:$C$52,2,FALSE)</f>
        <v>查修團隊B</v>
      </c>
      <c r="N2040">
        <f>IF(交易處理資料__3[[#This Row],[上班時間]]=0,0,交易處理資料__3[[#This Row],[售出工時]]/交易處理資料__3[[#This Row],[上班時間]])</f>
        <v>0.18264840182648404</v>
      </c>
      <c r="O2040" s="31" t="str">
        <f>IF(交易處理資料__3[[#This Row],[上班時間]]=0,"否","是")</f>
        <v>是</v>
      </c>
    </row>
    <row r="2041" spans="1:15" hidden="1">
      <c r="A2041" t="s">
        <v>75</v>
      </c>
      <c r="B2041" t="s">
        <v>27</v>
      </c>
      <c r="C2041">
        <v>3.36</v>
      </c>
      <c r="D2041">
        <v>2.95</v>
      </c>
      <c r="E2041" s="27">
        <v>113.8983051</v>
      </c>
      <c r="F2041">
        <v>7.79</v>
      </c>
      <c r="G2041">
        <v>0.24</v>
      </c>
      <c r="H2041">
        <v>8.0299999999999994</v>
      </c>
      <c r="I2041">
        <v>97.01</v>
      </c>
      <c r="J2041">
        <v>41.84</v>
      </c>
      <c r="K2041" s="9">
        <v>45342</v>
      </c>
      <c r="L2041">
        <f xml:space="preserve"> (交易處理資料__3[[#This Row],[售出工時]] * 60) / 5</f>
        <v>40.32</v>
      </c>
      <c r="M2041" t="str">
        <f>VLOOKUP(交易處理資料__3[[#This Row],[人員代號]],團隊分組!$B$1:$C$52,2,FALSE)</f>
        <v>快速保養團隊B</v>
      </c>
      <c r="N2041">
        <f>IF(交易處理資料__3[[#This Row],[上班時間]]=0,0,交易處理資料__3[[#This Row],[售出工時]]/交易處理資料__3[[#This Row],[上班時間]])</f>
        <v>0.41843088418430885</v>
      </c>
      <c r="O2041" s="31" t="str">
        <f>IF(交易處理資料__3[[#This Row],[上班時間]]=0,"否","是")</f>
        <v>是</v>
      </c>
    </row>
    <row r="2042" spans="1:15" hidden="1">
      <c r="A2042" t="s">
        <v>75</v>
      </c>
      <c r="B2042" t="s">
        <v>28</v>
      </c>
      <c r="C2042">
        <v>6.13</v>
      </c>
      <c r="D2042">
        <v>6.57</v>
      </c>
      <c r="E2042" s="27">
        <v>93.302891930000001</v>
      </c>
      <c r="F2042">
        <v>6.57</v>
      </c>
      <c r="G2042">
        <v>1.52</v>
      </c>
      <c r="H2042">
        <v>8.09</v>
      </c>
      <c r="I2042">
        <v>81.209999999999994</v>
      </c>
      <c r="J2042">
        <v>75.77</v>
      </c>
      <c r="K2042" s="9">
        <v>45342</v>
      </c>
      <c r="L2042">
        <f xml:space="preserve"> (交易處理資料__3[[#This Row],[售出工時]] * 60) / 5</f>
        <v>73.56</v>
      </c>
      <c r="M2042" t="str">
        <f>VLOOKUP(交易處理資料__3[[#This Row],[人員代號]],團隊分組!$B$1:$C$52,2,FALSE)</f>
        <v>快速保養團隊A</v>
      </c>
      <c r="N2042">
        <f>IF(交易處理資料__3[[#This Row],[上班時間]]=0,0,交易處理資料__3[[#This Row],[售出工時]]/交易處理資料__3[[#This Row],[上班時間]])</f>
        <v>0.75772558714462301</v>
      </c>
      <c r="O2042" s="31" t="str">
        <f>IF(交易處理資料__3[[#This Row],[上班時間]]=0,"否","是")</f>
        <v>是</v>
      </c>
    </row>
    <row r="2043" spans="1:15" hidden="1">
      <c r="A2043" t="s">
        <v>75</v>
      </c>
      <c r="B2043" t="s">
        <v>29</v>
      </c>
      <c r="C2043">
        <v>0</v>
      </c>
      <c r="D2043">
        <v>0</v>
      </c>
      <c r="E2043" s="27">
        <v>0</v>
      </c>
      <c r="F2043">
        <v>7.6</v>
      </c>
      <c r="G2043">
        <v>0.46</v>
      </c>
      <c r="H2043">
        <v>8.06</v>
      </c>
      <c r="I2043">
        <v>94.29</v>
      </c>
      <c r="J2043">
        <v>0</v>
      </c>
      <c r="K2043" s="9">
        <v>45342</v>
      </c>
      <c r="L2043">
        <f xml:space="preserve"> (交易處理資料__3[[#This Row],[售出工時]] * 60) / 5</f>
        <v>0</v>
      </c>
      <c r="M2043" t="str">
        <f>VLOOKUP(交易處理資料__3[[#This Row],[人員代號]],團隊分組!$B$1:$C$52,2,FALSE)</f>
        <v>查修團隊B</v>
      </c>
      <c r="N2043">
        <f>IF(交易處理資料__3[[#This Row],[上班時間]]=0,0,交易處理資料__3[[#This Row],[售出工時]]/交易處理資料__3[[#This Row],[上班時間]])</f>
        <v>0</v>
      </c>
      <c r="O2043" s="31" t="str">
        <f>IF(交易處理資料__3[[#This Row],[上班時間]]=0,"否","是")</f>
        <v>是</v>
      </c>
    </row>
    <row r="2044" spans="1:15" hidden="1">
      <c r="A2044" t="s">
        <v>75</v>
      </c>
      <c r="B2044" t="s">
        <v>30</v>
      </c>
      <c r="C2044">
        <v>7.8166666669999998</v>
      </c>
      <c r="D2044">
        <v>6.17</v>
      </c>
      <c r="E2044" s="27">
        <v>126.68827659999999</v>
      </c>
      <c r="F2044">
        <v>7.76</v>
      </c>
      <c r="G2044">
        <v>0.27</v>
      </c>
      <c r="H2044">
        <v>8.0299999999999994</v>
      </c>
      <c r="I2044">
        <v>96.64</v>
      </c>
      <c r="J2044">
        <v>97.34</v>
      </c>
      <c r="K2044" s="9">
        <v>45342</v>
      </c>
      <c r="L2044">
        <f xml:space="preserve"> (交易處理資料__3[[#This Row],[售出工時]] * 60) / 5</f>
        <v>93.800000003999997</v>
      </c>
      <c r="M2044" t="str">
        <f>VLOOKUP(交易處理資料__3[[#This Row],[人員代號]],團隊分組!$B$1:$C$52,2,FALSE)</f>
        <v>快速保養團隊B</v>
      </c>
      <c r="N2044">
        <f>IF(交易處理資料__3[[#This Row],[上班時間]]=0,0,交易處理資料__3[[#This Row],[售出工時]]/交易處理資料__3[[#This Row],[上班時間]])</f>
        <v>0.97343295977584066</v>
      </c>
      <c r="O2044" s="31" t="str">
        <f>IF(交易處理資料__3[[#This Row],[上班時間]]=0,"否","是")</f>
        <v>是</v>
      </c>
    </row>
    <row r="2045" spans="1:15" hidden="1">
      <c r="A2045" t="s">
        <v>75</v>
      </c>
      <c r="B2045" t="s">
        <v>32</v>
      </c>
      <c r="C2045">
        <v>5.37</v>
      </c>
      <c r="D2045">
        <v>5.8</v>
      </c>
      <c r="E2045" s="27">
        <v>92.586206899999993</v>
      </c>
      <c r="F2045">
        <v>7.9</v>
      </c>
      <c r="G2045">
        <v>0.51</v>
      </c>
      <c r="H2045">
        <v>8.41</v>
      </c>
      <c r="I2045">
        <v>93.94</v>
      </c>
      <c r="J2045">
        <v>63.85</v>
      </c>
      <c r="K2045" s="9">
        <v>45342</v>
      </c>
      <c r="L2045">
        <f xml:space="preserve"> (交易處理資料__3[[#This Row],[售出工時]] * 60) / 5</f>
        <v>64.44</v>
      </c>
      <c r="M2045" t="str">
        <f>VLOOKUP(交易處理資料__3[[#This Row],[人員代號]],團隊分組!$B$1:$C$52,2,FALSE)</f>
        <v>快速保養團隊B</v>
      </c>
      <c r="N2045">
        <f>IF(交易處理資料__3[[#This Row],[上班時間]]=0,0,交易處理資料__3[[#This Row],[售出工時]]/交易處理資料__3[[#This Row],[上班時間]])</f>
        <v>0.63852556480380496</v>
      </c>
      <c r="O2045" s="31" t="str">
        <f>IF(交易處理資料__3[[#This Row],[上班時間]]=0,"否","是")</f>
        <v>是</v>
      </c>
    </row>
    <row r="2046" spans="1:15">
      <c r="A2046" t="s">
        <v>75</v>
      </c>
      <c r="B2046" t="s">
        <v>33</v>
      </c>
      <c r="C2046">
        <v>0</v>
      </c>
      <c r="D2046">
        <v>0</v>
      </c>
      <c r="E2046" s="27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 s="9">
        <v>45342</v>
      </c>
      <c r="L2046">
        <f xml:space="preserve"> (交易處理資料__3[[#This Row],[售出工時]] * 60) / 5</f>
        <v>0</v>
      </c>
      <c r="M2046" t="str">
        <f>VLOOKUP(交易處理資料__3[[#This Row],[人員代號]],團隊分組!$B$1:$C$52,2,FALSE)</f>
        <v>快速保養團隊B</v>
      </c>
      <c r="N2046">
        <f>IF(交易處理資料__3[[#This Row],[上班時間]]=0,0,交易處理資料__3[[#This Row],[售出工時]]/交易處理資料__3[[#This Row],[上班時間]])</f>
        <v>0</v>
      </c>
      <c r="O2046" s="31" t="str">
        <f>IF(交易處理資料__3[[#This Row],[上班時間]]=0,"否","是")</f>
        <v>否</v>
      </c>
    </row>
    <row r="2047" spans="1:15" hidden="1">
      <c r="A2047" t="s">
        <v>75</v>
      </c>
      <c r="B2047" t="s">
        <v>34</v>
      </c>
      <c r="C2047">
        <v>6.1266666670000003</v>
      </c>
      <c r="D2047">
        <v>3.96</v>
      </c>
      <c r="E2047" s="27">
        <v>154.7138047</v>
      </c>
      <c r="F2047">
        <v>5.83</v>
      </c>
      <c r="G2047">
        <v>2.2000000000000002</v>
      </c>
      <c r="H2047">
        <v>8.0299999999999994</v>
      </c>
      <c r="I2047">
        <v>72.599999999999994</v>
      </c>
      <c r="J2047">
        <v>76.3</v>
      </c>
      <c r="K2047" s="9">
        <v>45342</v>
      </c>
      <c r="L2047">
        <f xml:space="preserve"> (交易處理資料__3[[#This Row],[售出工時]] * 60) / 5</f>
        <v>73.520000004000011</v>
      </c>
      <c r="M2047" t="str">
        <f>VLOOKUP(交易處理資料__3[[#This Row],[人員代號]],團隊分組!$B$1:$C$52,2,FALSE)</f>
        <v>快速保養團隊A</v>
      </c>
      <c r="N2047">
        <f>IF(交易處理資料__3[[#This Row],[上班時間]]=0,0,交易處理資料__3[[#This Row],[售出工時]]/交易處理資料__3[[#This Row],[上班時間]])</f>
        <v>0.76297218767123298</v>
      </c>
      <c r="O2047" s="31" t="str">
        <f>IF(交易處理資料__3[[#This Row],[上班時間]]=0,"否","是")</f>
        <v>是</v>
      </c>
    </row>
    <row r="2048" spans="1:15" hidden="1">
      <c r="A2048" t="s">
        <v>75</v>
      </c>
      <c r="B2048" t="s">
        <v>35</v>
      </c>
      <c r="C2048">
        <v>2.5</v>
      </c>
      <c r="D2048">
        <v>1.88</v>
      </c>
      <c r="E2048" s="27">
        <v>132.97872340000001</v>
      </c>
      <c r="F2048">
        <v>8.19</v>
      </c>
      <c r="G2048">
        <v>2.74</v>
      </c>
      <c r="H2048">
        <v>10.93</v>
      </c>
      <c r="I2048">
        <v>74.930000000000007</v>
      </c>
      <c r="J2048">
        <v>22.87</v>
      </c>
      <c r="K2048" s="9">
        <v>45342</v>
      </c>
      <c r="L2048">
        <f xml:space="preserve"> (交易處理資料__3[[#This Row],[售出工時]] * 60) / 5</f>
        <v>30</v>
      </c>
      <c r="M2048" t="str">
        <f>VLOOKUP(交易處理資料__3[[#This Row],[人員代號]],團隊分組!$B$1:$C$52,2,FALSE)</f>
        <v>查修團隊B</v>
      </c>
      <c r="N2048">
        <f>IF(交易處理資料__3[[#This Row],[上班時間]]=0,0,交易處理資料__3[[#This Row],[售出工時]]/交易處理資料__3[[#This Row],[上班時間]])</f>
        <v>0.22872827081427266</v>
      </c>
      <c r="O2048" s="31" t="str">
        <f>IF(交易處理資料__3[[#This Row],[上班時間]]=0,"否","是")</f>
        <v>是</v>
      </c>
    </row>
    <row r="2049" spans="1:15" hidden="1">
      <c r="A2049" t="s">
        <v>75</v>
      </c>
      <c r="B2049" t="s">
        <v>37</v>
      </c>
      <c r="C2049">
        <v>3.6066666669999998</v>
      </c>
      <c r="D2049">
        <v>4.05</v>
      </c>
      <c r="E2049" s="27">
        <v>89.05349794</v>
      </c>
      <c r="F2049">
        <v>5.21</v>
      </c>
      <c r="G2049">
        <v>2.79</v>
      </c>
      <c r="H2049">
        <v>8</v>
      </c>
      <c r="I2049">
        <v>65.13</v>
      </c>
      <c r="J2049">
        <v>45.08</v>
      </c>
      <c r="K2049" s="9">
        <v>45342</v>
      </c>
      <c r="L2049">
        <f xml:space="preserve"> (交易處理資料__3[[#This Row],[售出工時]] * 60) / 5</f>
        <v>43.280000004000001</v>
      </c>
      <c r="M2049" t="str">
        <f>VLOOKUP(交易處理資料__3[[#This Row],[人員代號]],團隊分組!$B$1:$C$52,2,FALSE)</f>
        <v>查修團隊A</v>
      </c>
      <c r="N2049">
        <f>IF(交易處理資料__3[[#This Row],[上班時間]]=0,0,交易處理資料__3[[#This Row],[售出工時]]/交易處理資料__3[[#This Row],[上班時間]])</f>
        <v>0.45083333337499998</v>
      </c>
      <c r="O2049" s="31" t="str">
        <f>IF(交易處理資料__3[[#This Row],[上班時間]]=0,"否","是")</f>
        <v>是</v>
      </c>
    </row>
    <row r="2050" spans="1:15" hidden="1">
      <c r="A2050" t="s">
        <v>75</v>
      </c>
      <c r="B2050" t="s">
        <v>39</v>
      </c>
      <c r="C2050">
        <v>3.75</v>
      </c>
      <c r="D2050">
        <v>5.01</v>
      </c>
      <c r="E2050" s="27">
        <v>74.850299399999997</v>
      </c>
      <c r="F2050">
        <v>8.85</v>
      </c>
      <c r="G2050">
        <v>1.68</v>
      </c>
      <c r="H2050">
        <v>10.53</v>
      </c>
      <c r="I2050">
        <v>84.05</v>
      </c>
      <c r="J2050">
        <v>35.61</v>
      </c>
      <c r="K2050" s="9">
        <v>45342</v>
      </c>
      <c r="L2050">
        <f xml:space="preserve"> (交易處理資料__3[[#This Row],[售出工時]] * 60) / 5</f>
        <v>45</v>
      </c>
      <c r="M2050" t="str">
        <f>VLOOKUP(交易處理資料__3[[#This Row],[人員代號]],團隊分組!$B$1:$C$52,2,FALSE)</f>
        <v>查修團隊A</v>
      </c>
      <c r="N2050">
        <f>IF(交易處理資料__3[[#This Row],[上班時間]]=0,0,交易處理資料__3[[#This Row],[售出工時]]/交易處理資料__3[[#This Row],[上班時間]])</f>
        <v>0.35612535612535617</v>
      </c>
      <c r="O2050" s="31" t="str">
        <f>IF(交易處理資料__3[[#This Row],[上班時間]]=0,"否","是")</f>
        <v>是</v>
      </c>
    </row>
    <row r="2051" spans="1:15" hidden="1">
      <c r="A2051" t="s">
        <v>75</v>
      </c>
      <c r="B2051" t="s">
        <v>40</v>
      </c>
      <c r="C2051">
        <v>0</v>
      </c>
      <c r="D2051">
        <v>0</v>
      </c>
      <c r="E2051" s="27">
        <v>0</v>
      </c>
      <c r="F2051">
        <v>8.98</v>
      </c>
      <c r="G2051">
        <v>1.93</v>
      </c>
      <c r="H2051">
        <v>10.91</v>
      </c>
      <c r="I2051">
        <v>82.31</v>
      </c>
      <c r="J2051">
        <v>0</v>
      </c>
      <c r="K2051" s="9">
        <v>45342</v>
      </c>
      <c r="L2051">
        <f xml:space="preserve"> (交易處理資料__3[[#This Row],[售出工時]] * 60) / 5</f>
        <v>0</v>
      </c>
      <c r="M2051" t="str">
        <f>VLOOKUP(交易處理資料__3[[#This Row],[人員代號]],團隊分組!$B$1:$C$52,2,FALSE)</f>
        <v>查修團隊A</v>
      </c>
      <c r="N2051">
        <f>IF(交易處理資料__3[[#This Row],[上班時間]]=0,0,交易處理資料__3[[#This Row],[售出工時]]/交易處理資料__3[[#This Row],[上班時間]])</f>
        <v>0</v>
      </c>
      <c r="O2051" s="31" t="str">
        <f>IF(交易處理資料__3[[#This Row],[上班時間]]=0,"否","是")</f>
        <v>是</v>
      </c>
    </row>
    <row r="2052" spans="1:15" hidden="1">
      <c r="A2052" t="s">
        <v>75</v>
      </c>
      <c r="B2052" t="s">
        <v>43</v>
      </c>
      <c r="C2052">
        <v>0.83333333300000001</v>
      </c>
      <c r="D2052">
        <v>1.88</v>
      </c>
      <c r="E2052" s="27">
        <v>44.32624113</v>
      </c>
      <c r="F2052">
        <v>7.51</v>
      </c>
      <c r="G2052">
        <v>0.47</v>
      </c>
      <c r="H2052">
        <v>7.98</v>
      </c>
      <c r="I2052">
        <v>94.11</v>
      </c>
      <c r="J2052">
        <v>10.44</v>
      </c>
      <c r="K2052" s="9">
        <v>45342</v>
      </c>
      <c r="L2052">
        <f xml:space="preserve"> (交易處理資料__3[[#This Row],[售出工時]] * 60) / 5</f>
        <v>9.9999999959999997</v>
      </c>
      <c r="M2052" t="str">
        <f>VLOOKUP(交易處理資料__3[[#This Row],[人員代號]],團隊分組!$B$1:$C$52,2,FALSE)</f>
        <v>查修團隊B</v>
      </c>
      <c r="N2052">
        <f>IF(交易處理資料__3[[#This Row],[上班時間]]=0,0,交易處理資料__3[[#This Row],[售出工時]]/交易處理資料__3[[#This Row],[上班時間]])</f>
        <v>0.10442773596491228</v>
      </c>
      <c r="O2052" s="31" t="str">
        <f>IF(交易處理資料__3[[#This Row],[上班時間]]=0,"否","是")</f>
        <v>是</v>
      </c>
    </row>
    <row r="2053" spans="1:15" hidden="1">
      <c r="A2053" t="s">
        <v>75</v>
      </c>
      <c r="B2053" t="s">
        <v>44</v>
      </c>
      <c r="C2053">
        <v>8.8333333330000006</v>
      </c>
      <c r="D2053">
        <v>6.77</v>
      </c>
      <c r="E2053" s="27">
        <v>130.47759719999999</v>
      </c>
      <c r="F2053">
        <v>7.39</v>
      </c>
      <c r="G2053">
        <v>1.52</v>
      </c>
      <c r="H2053">
        <v>8.91</v>
      </c>
      <c r="I2053">
        <v>82.94</v>
      </c>
      <c r="J2053">
        <v>99.14</v>
      </c>
      <c r="K2053" s="9">
        <v>45342</v>
      </c>
      <c r="L2053">
        <f xml:space="preserve"> (交易處理資料__3[[#This Row],[售出工時]] * 60) / 5</f>
        <v>105.999999996</v>
      </c>
      <c r="M2053" t="str">
        <f>VLOOKUP(交易處理資料__3[[#This Row],[人員代號]],團隊分組!$B$1:$C$52,2,FALSE)</f>
        <v>快速保養團隊B</v>
      </c>
      <c r="N2053">
        <f>IF(交易處理資料__3[[#This Row],[上班時間]]=0,0,交易處理資料__3[[#This Row],[售出工時]]/交易處理資料__3[[#This Row],[上班時間]])</f>
        <v>0.99139543580246914</v>
      </c>
      <c r="O2053" s="31" t="str">
        <f>IF(交易處理資料__3[[#This Row],[上班時間]]=0,"否","是")</f>
        <v>是</v>
      </c>
    </row>
    <row r="2054" spans="1:15" hidden="1">
      <c r="A2054" t="s">
        <v>75</v>
      </c>
      <c r="B2054" t="s">
        <v>45</v>
      </c>
      <c r="C2054">
        <v>8.9633333329999996</v>
      </c>
      <c r="D2054">
        <v>5.61</v>
      </c>
      <c r="E2054" s="27">
        <v>159.77421269999999</v>
      </c>
      <c r="F2054">
        <v>7.33</v>
      </c>
      <c r="G2054">
        <v>0.8</v>
      </c>
      <c r="H2054">
        <v>8.1300000000000008</v>
      </c>
      <c r="I2054">
        <v>90.16</v>
      </c>
      <c r="J2054">
        <v>110.25</v>
      </c>
      <c r="K2054" s="9">
        <v>45342</v>
      </c>
      <c r="L2054">
        <f xml:space="preserve"> (交易處理資料__3[[#This Row],[售出工時]] * 60) / 5</f>
        <v>107.55999999599999</v>
      </c>
      <c r="M2054" t="str">
        <f>VLOOKUP(交易處理資料__3[[#This Row],[人員代號]],團隊分組!$B$1:$C$52,2,FALSE)</f>
        <v>快速保養團隊A</v>
      </c>
      <c r="N2054">
        <f>IF(交易處理資料__3[[#This Row],[上班時間]]=0,0,交易處理資料__3[[#This Row],[售出工時]]/交易處理資料__3[[#This Row],[上班時間]])</f>
        <v>1.1025010249692495</v>
      </c>
      <c r="O2054" s="31" t="str">
        <f>IF(交易處理資料__3[[#This Row],[上班時間]]=0,"否","是")</f>
        <v>是</v>
      </c>
    </row>
    <row r="2055" spans="1:15" hidden="1">
      <c r="A2055" t="s">
        <v>75</v>
      </c>
      <c r="B2055" t="s">
        <v>47</v>
      </c>
      <c r="C2055">
        <v>4.4166666670000003</v>
      </c>
      <c r="D2055">
        <v>5.65</v>
      </c>
      <c r="E2055" s="27">
        <v>78.171091450000006</v>
      </c>
      <c r="F2055">
        <v>6.71</v>
      </c>
      <c r="G2055">
        <v>1.54</v>
      </c>
      <c r="H2055">
        <v>8.25</v>
      </c>
      <c r="I2055">
        <v>81.33</v>
      </c>
      <c r="J2055">
        <v>53.54</v>
      </c>
      <c r="K2055" s="9">
        <v>45342</v>
      </c>
      <c r="L2055">
        <f xml:space="preserve"> (交易處理資料__3[[#This Row],[售出工時]] * 60) / 5</f>
        <v>53.000000004</v>
      </c>
      <c r="M2055" t="str">
        <f>VLOOKUP(交易處理資料__3[[#This Row],[人員代號]],團隊分組!$B$1:$C$52,2,FALSE)</f>
        <v>查修團隊B</v>
      </c>
      <c r="N2055">
        <f>IF(交易處理資料__3[[#This Row],[上班時間]]=0,0,交易處理資料__3[[#This Row],[售出工時]]/交易處理資料__3[[#This Row],[上班時間]])</f>
        <v>0.53535353539393948</v>
      </c>
      <c r="O2055" s="31" t="str">
        <f>IF(交易處理資料__3[[#This Row],[上班時間]]=0,"否","是")</f>
        <v>是</v>
      </c>
    </row>
    <row r="2056" spans="1:15" hidden="1">
      <c r="A2056" t="s">
        <v>75</v>
      </c>
      <c r="B2056" t="s">
        <v>49</v>
      </c>
      <c r="C2056">
        <v>0</v>
      </c>
      <c r="D2056">
        <v>0</v>
      </c>
      <c r="E2056" s="27">
        <v>0</v>
      </c>
      <c r="F2056">
        <v>8.0399999999999991</v>
      </c>
      <c r="G2056">
        <v>0.18</v>
      </c>
      <c r="H2056">
        <v>8.2200000000000006</v>
      </c>
      <c r="I2056">
        <v>97.81</v>
      </c>
      <c r="J2056">
        <v>0</v>
      </c>
      <c r="K2056" s="9">
        <v>45342</v>
      </c>
      <c r="L2056">
        <f xml:space="preserve"> (交易處理資料__3[[#This Row],[售出工時]] * 60) / 5</f>
        <v>0</v>
      </c>
      <c r="M2056" t="str">
        <f>VLOOKUP(交易處理資料__3[[#This Row],[人員代號]],團隊分組!$B$1:$C$52,2,FALSE)</f>
        <v>查修團隊A</v>
      </c>
      <c r="N2056">
        <f>IF(交易處理資料__3[[#This Row],[上班時間]]=0,0,交易處理資料__3[[#This Row],[售出工時]]/交易處理資料__3[[#This Row],[上班時間]])</f>
        <v>0</v>
      </c>
      <c r="O2056" s="31" t="str">
        <f>IF(交易處理資料__3[[#This Row],[上班時間]]=0,"否","是")</f>
        <v>是</v>
      </c>
    </row>
    <row r="2057" spans="1:15" hidden="1">
      <c r="A2057" t="s">
        <v>75</v>
      </c>
      <c r="B2057" t="s">
        <v>50</v>
      </c>
      <c r="C2057">
        <v>9.7899999999999991</v>
      </c>
      <c r="D2057">
        <v>7.53</v>
      </c>
      <c r="E2057" s="27">
        <v>130.0132802</v>
      </c>
      <c r="F2057">
        <v>9.9499999999999993</v>
      </c>
      <c r="G2057">
        <v>0.08</v>
      </c>
      <c r="H2057">
        <v>10.029999999999999</v>
      </c>
      <c r="I2057">
        <v>99.2</v>
      </c>
      <c r="J2057">
        <v>97.61</v>
      </c>
      <c r="K2057" s="9">
        <v>45342</v>
      </c>
      <c r="L2057">
        <f xml:space="preserve"> (交易處理資料__3[[#This Row],[售出工時]] * 60) / 5</f>
        <v>117.47999999999999</v>
      </c>
      <c r="M2057" t="str">
        <f>VLOOKUP(交易處理資料__3[[#This Row],[人員代號]],團隊分組!$B$1:$C$52,2,FALSE)</f>
        <v>快速保養團隊B</v>
      </c>
      <c r="N2057">
        <f>IF(交易處理資料__3[[#This Row],[上班時間]]=0,0,交易處理資料__3[[#This Row],[售出工時]]/交易處理資料__3[[#This Row],[上班時間]])</f>
        <v>0.97607178464606181</v>
      </c>
      <c r="O2057" s="31" t="str">
        <f>IF(交易處理資料__3[[#This Row],[上班時間]]=0,"否","是")</f>
        <v>是</v>
      </c>
    </row>
    <row r="2058" spans="1:15" hidden="1">
      <c r="A2058" t="s">
        <v>75</v>
      </c>
      <c r="B2058" t="s">
        <v>51</v>
      </c>
      <c r="C2058">
        <v>0</v>
      </c>
      <c r="D2058">
        <v>0</v>
      </c>
      <c r="E2058" s="27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 s="9">
        <v>45342</v>
      </c>
      <c r="L2058">
        <f xml:space="preserve"> (交易處理資料__3[[#This Row],[售出工時]] * 60) / 5</f>
        <v>0</v>
      </c>
      <c r="M2058" t="str">
        <f>VLOOKUP(交易處理資料__3[[#This Row],[人員代號]],團隊分組!$B$1:$C$52,2,FALSE)</f>
        <v>無效數據</v>
      </c>
      <c r="N2058">
        <f>IF(交易處理資料__3[[#This Row],[上班時間]]=0,0,交易處理資料__3[[#This Row],[售出工時]]/交易處理資料__3[[#This Row],[上班時間]])</f>
        <v>0</v>
      </c>
      <c r="O2058" s="31" t="str">
        <f>IF(交易處理資料__3[[#This Row],[上班時間]]=0,"否","是")</f>
        <v>否</v>
      </c>
    </row>
    <row r="2059" spans="1:15" hidden="1">
      <c r="A2059" t="s">
        <v>75</v>
      </c>
      <c r="B2059" t="s">
        <v>53</v>
      </c>
      <c r="C2059">
        <v>5.6033333330000001</v>
      </c>
      <c r="D2059">
        <v>2.81</v>
      </c>
      <c r="E2059" s="27">
        <v>199.40688019999999</v>
      </c>
      <c r="F2059">
        <v>9.65</v>
      </c>
      <c r="G2059">
        <v>0.33</v>
      </c>
      <c r="H2059">
        <v>9.98</v>
      </c>
      <c r="I2059">
        <v>96.69</v>
      </c>
      <c r="J2059">
        <v>56.15</v>
      </c>
      <c r="K2059" s="9">
        <v>45342</v>
      </c>
      <c r="L2059">
        <f xml:space="preserve"> (交易處理資料__3[[#This Row],[售出工時]] * 60) / 5</f>
        <v>67.239999996000009</v>
      </c>
      <c r="M2059" t="str">
        <f>VLOOKUP(交易處理資料__3[[#This Row],[人員代號]],團隊分組!$B$1:$C$52,2,FALSE)</f>
        <v>查修團隊A</v>
      </c>
      <c r="N2059">
        <f>IF(交易處理資料__3[[#This Row],[上班時間]]=0,0,交易處理資料__3[[#This Row],[售出工時]]/交易處理資料__3[[#This Row],[上班時間]])</f>
        <v>0.56145624579158315</v>
      </c>
      <c r="O2059" s="31" t="str">
        <f>IF(交易處理資料__3[[#This Row],[上班時間]]=0,"否","是")</f>
        <v>是</v>
      </c>
    </row>
    <row r="2060" spans="1:15" hidden="1">
      <c r="A2060" s="10" t="s">
        <v>73</v>
      </c>
      <c r="B2060" t="s">
        <v>2</v>
      </c>
      <c r="C2060">
        <v>2.0299999999999998</v>
      </c>
      <c r="D2060">
        <v>11.37</v>
      </c>
      <c r="E2060" s="27">
        <v>17.854001759999999</v>
      </c>
      <c r="F2060">
        <v>11.45</v>
      </c>
      <c r="G2060">
        <v>0.03</v>
      </c>
      <c r="H2060">
        <v>11.48</v>
      </c>
      <c r="I2060">
        <v>99.74</v>
      </c>
      <c r="J2060">
        <v>17.68</v>
      </c>
      <c r="K2060" s="9">
        <v>45343</v>
      </c>
      <c r="L2060">
        <f xml:space="preserve"> (交易處理資料__3[[#This Row],[售出工時]] * 60) / 5</f>
        <v>24.359999999999996</v>
      </c>
      <c r="M2060" t="str">
        <f>VLOOKUP(交易處理資料__3[[#This Row],[人員代號]],團隊分組!$B$1:$C$52,2,FALSE)</f>
        <v>噴漆維修組</v>
      </c>
      <c r="N2060">
        <f>IF(交易處理資料__3[[#This Row],[上班時間]]=0,0,交易處理資料__3[[#This Row],[售出工時]]/交易處理資料__3[[#This Row],[上班時間]])</f>
        <v>0.17682926829268289</v>
      </c>
      <c r="O2060" s="31" t="str">
        <f>IF(交易處理資料__3[[#This Row],[上班時間]]=0,"否","是")</f>
        <v>是</v>
      </c>
    </row>
    <row r="2061" spans="1:15" hidden="1">
      <c r="A2061" s="10" t="s">
        <v>73</v>
      </c>
      <c r="B2061" t="s">
        <v>3</v>
      </c>
      <c r="C2061">
        <v>2.0299999999999998</v>
      </c>
      <c r="D2061">
        <v>11.37</v>
      </c>
      <c r="E2061" s="27">
        <v>17.854001759999999</v>
      </c>
      <c r="F2061">
        <v>10.8</v>
      </c>
      <c r="G2061">
        <v>0.68</v>
      </c>
      <c r="H2061">
        <v>11.48</v>
      </c>
      <c r="I2061">
        <v>94.08</v>
      </c>
      <c r="J2061">
        <v>17.68</v>
      </c>
      <c r="K2061" s="9">
        <v>45343</v>
      </c>
      <c r="L2061">
        <f xml:space="preserve"> (交易處理資料__3[[#This Row],[售出工時]] * 60) / 5</f>
        <v>24.359999999999996</v>
      </c>
      <c r="M2061" t="str">
        <f>VLOOKUP(交易處理資料__3[[#This Row],[人員代號]],團隊分組!$B$1:$C$52,2,FALSE)</f>
        <v>噴漆維修組</v>
      </c>
      <c r="N2061">
        <f>IF(交易處理資料__3[[#This Row],[上班時間]]=0,0,交易處理資料__3[[#This Row],[售出工時]]/交易處理資料__3[[#This Row],[上班時間]])</f>
        <v>0.17682926829268289</v>
      </c>
      <c r="O2061" s="31" t="str">
        <f>IF(交易處理資料__3[[#This Row],[上班時間]]=0,"否","是")</f>
        <v>是</v>
      </c>
    </row>
    <row r="2062" spans="1:15" hidden="1">
      <c r="A2062" s="10" t="s">
        <v>73</v>
      </c>
      <c r="B2062" t="s">
        <v>5</v>
      </c>
      <c r="C2062">
        <v>2.13</v>
      </c>
      <c r="D2062">
        <v>3.97</v>
      </c>
      <c r="E2062" s="27">
        <v>53.652392949999999</v>
      </c>
      <c r="F2062">
        <v>11.47</v>
      </c>
      <c r="G2062">
        <v>0.03</v>
      </c>
      <c r="H2062">
        <v>11.5</v>
      </c>
      <c r="I2062">
        <v>99.74</v>
      </c>
      <c r="J2062">
        <v>18.52</v>
      </c>
      <c r="K2062" s="9">
        <v>45343</v>
      </c>
      <c r="L2062">
        <f xml:space="preserve"> (交易處理資料__3[[#This Row],[售出工時]] * 60) / 5</f>
        <v>25.56</v>
      </c>
      <c r="M2062" t="str">
        <f>VLOOKUP(交易處理資料__3[[#This Row],[人員代號]],團隊分組!$B$1:$C$52,2,FALSE)</f>
        <v>噴漆維修組</v>
      </c>
      <c r="N2062">
        <f>IF(交易處理資料__3[[#This Row],[上班時間]]=0,0,交易處理資料__3[[#This Row],[售出工時]]/交易處理資料__3[[#This Row],[上班時間]])</f>
        <v>0.18521739130434781</v>
      </c>
      <c r="O2062" s="31" t="str">
        <f>IF(交易處理資料__3[[#This Row],[上班時間]]=0,"否","是")</f>
        <v>是</v>
      </c>
    </row>
    <row r="2063" spans="1:15" hidden="1">
      <c r="A2063" s="10" t="s">
        <v>73</v>
      </c>
      <c r="B2063" t="s">
        <v>7</v>
      </c>
      <c r="C2063">
        <v>3.0466666670000002</v>
      </c>
      <c r="D2063">
        <v>4.97</v>
      </c>
      <c r="E2063" s="27">
        <v>61.301140169999996</v>
      </c>
      <c r="F2063">
        <v>11.04</v>
      </c>
      <c r="G2063">
        <v>0.04</v>
      </c>
      <c r="H2063">
        <v>11.08</v>
      </c>
      <c r="I2063">
        <v>99.64</v>
      </c>
      <c r="J2063">
        <v>27.5</v>
      </c>
      <c r="K2063" s="9">
        <v>45343</v>
      </c>
      <c r="L2063">
        <f xml:space="preserve"> (交易處理資料__3[[#This Row],[售出工時]] * 60) / 5</f>
        <v>36.560000004000003</v>
      </c>
      <c r="M2063" t="str">
        <f>VLOOKUP(交易處理資料__3[[#This Row],[人員代號]],團隊分組!$B$1:$C$52,2,FALSE)</f>
        <v>噴漆維修組</v>
      </c>
      <c r="N2063">
        <f>IF(交易處理資料__3[[#This Row],[上班時間]]=0,0,交易處理資料__3[[#This Row],[售出工時]]/交易處理資料__3[[#This Row],[上班時間]])</f>
        <v>0.27496991579422386</v>
      </c>
      <c r="O2063" s="31" t="str">
        <f>IF(交易處理資料__3[[#This Row],[上班時間]]=0,"否","是")</f>
        <v>是</v>
      </c>
    </row>
    <row r="2064" spans="1:15" hidden="1">
      <c r="A2064" t="s">
        <v>74</v>
      </c>
      <c r="B2064" t="s">
        <v>14</v>
      </c>
      <c r="C2064">
        <v>1.97</v>
      </c>
      <c r="D2064">
        <v>1.33</v>
      </c>
      <c r="E2064" s="27">
        <v>148.1203008</v>
      </c>
      <c r="F2064">
        <v>2.42</v>
      </c>
      <c r="G2064">
        <v>5.68</v>
      </c>
      <c r="H2064">
        <v>8.1</v>
      </c>
      <c r="I2064">
        <v>29.88</v>
      </c>
      <c r="J2064">
        <v>24.32</v>
      </c>
      <c r="K2064" s="9">
        <v>45343</v>
      </c>
      <c r="L2064">
        <f xml:space="preserve"> (交易處理資料__3[[#This Row],[售出工時]] * 60) / 5</f>
        <v>23.64</v>
      </c>
      <c r="M2064" t="str">
        <f>VLOOKUP(交易處理資料__3[[#This Row],[人員代號]],團隊分組!$B$1:$C$52,2,FALSE)</f>
        <v>鈑金維修組</v>
      </c>
      <c r="N2064">
        <f>IF(交易處理資料__3[[#This Row],[上班時間]]=0,0,交易處理資料__3[[#This Row],[售出工時]]/交易處理資料__3[[#This Row],[上班時間]])</f>
        <v>0.24320987654320989</v>
      </c>
      <c r="O2064" s="31" t="str">
        <f>IF(交易處理資料__3[[#This Row],[上班時間]]=0,"否","是")</f>
        <v>是</v>
      </c>
    </row>
    <row r="2065" spans="1:15" hidden="1">
      <c r="A2065" t="s">
        <v>74</v>
      </c>
      <c r="B2065" t="s">
        <v>15</v>
      </c>
      <c r="C2065">
        <v>0</v>
      </c>
      <c r="D2065">
        <v>0</v>
      </c>
      <c r="E2065" s="27">
        <v>0</v>
      </c>
      <c r="F2065">
        <v>5.28</v>
      </c>
      <c r="G2065">
        <v>2.81</v>
      </c>
      <c r="H2065">
        <v>8.09</v>
      </c>
      <c r="I2065">
        <v>65.27</v>
      </c>
      <c r="J2065">
        <v>0</v>
      </c>
      <c r="K2065" s="9">
        <v>45343</v>
      </c>
      <c r="L2065">
        <f xml:space="preserve"> (交易處理資料__3[[#This Row],[售出工時]] * 60) / 5</f>
        <v>0</v>
      </c>
      <c r="M2065" t="str">
        <f>VLOOKUP(交易處理資料__3[[#This Row],[人員代號]],團隊分組!$B$1:$C$52,2,FALSE)</f>
        <v>鈑金維修組</v>
      </c>
      <c r="N2065">
        <f>IF(交易處理資料__3[[#This Row],[上班時間]]=0,0,交易處理資料__3[[#This Row],[售出工時]]/交易處理資料__3[[#This Row],[上班時間]])</f>
        <v>0</v>
      </c>
      <c r="O2065" s="31" t="str">
        <f>IF(交易處理資料__3[[#This Row],[上班時間]]=0,"否","是")</f>
        <v>是</v>
      </c>
    </row>
    <row r="2066" spans="1:15" hidden="1">
      <c r="A2066" t="s">
        <v>75</v>
      </c>
      <c r="B2066" t="s">
        <v>17</v>
      </c>
      <c r="C2066">
        <v>11.91333333</v>
      </c>
      <c r="D2066">
        <v>6.65</v>
      </c>
      <c r="E2066" s="27">
        <v>179.1478697</v>
      </c>
      <c r="F2066">
        <v>6.71</v>
      </c>
      <c r="G2066">
        <v>3.51</v>
      </c>
      <c r="H2066">
        <v>10.220000000000001</v>
      </c>
      <c r="I2066">
        <v>65.66</v>
      </c>
      <c r="J2066">
        <v>116.57</v>
      </c>
      <c r="K2066" s="9">
        <v>45343</v>
      </c>
      <c r="L2066">
        <f xml:space="preserve"> (交易處理資料__3[[#This Row],[售出工時]] * 60) / 5</f>
        <v>142.95999996</v>
      </c>
      <c r="M2066" t="str">
        <f>VLOOKUP(交易處理資料__3[[#This Row],[人員代號]],團隊分組!$B$1:$C$52,2,FALSE)</f>
        <v>快速保養團隊A</v>
      </c>
      <c r="N2066">
        <f>IF(交易處理資料__3[[#This Row],[上班時間]]=0,0,交易處理資料__3[[#This Row],[售出工時]]/交易處理資料__3[[#This Row],[上班時間]])</f>
        <v>1.1656881927592955</v>
      </c>
      <c r="O2066" s="31" t="str">
        <f>IF(交易處理資料__3[[#This Row],[上班時間]]=0,"否","是")</f>
        <v>是</v>
      </c>
    </row>
    <row r="2067" spans="1:15" hidden="1">
      <c r="A2067" t="s">
        <v>75</v>
      </c>
      <c r="B2067" t="s">
        <v>18</v>
      </c>
      <c r="C2067">
        <v>2.25</v>
      </c>
      <c r="D2067">
        <v>6.88</v>
      </c>
      <c r="E2067" s="27">
        <v>32.703488370000002</v>
      </c>
      <c r="F2067">
        <v>8.26</v>
      </c>
      <c r="G2067">
        <v>0.73</v>
      </c>
      <c r="H2067">
        <v>8.99</v>
      </c>
      <c r="I2067">
        <v>91.88</v>
      </c>
      <c r="J2067">
        <v>25.03</v>
      </c>
      <c r="K2067" s="9">
        <v>45343</v>
      </c>
      <c r="L2067">
        <f xml:space="preserve"> (交易處理資料__3[[#This Row],[售出工時]] * 60) / 5</f>
        <v>27</v>
      </c>
      <c r="M2067" t="str">
        <f>VLOOKUP(交易處理資料__3[[#This Row],[人員代號]],團隊分組!$B$1:$C$52,2,FALSE)</f>
        <v>查修團隊B</v>
      </c>
      <c r="N2067">
        <f>IF(交易處理資料__3[[#This Row],[上班時間]]=0,0,交易處理資料__3[[#This Row],[售出工時]]/交易處理資料__3[[#This Row],[上班時間]])</f>
        <v>0.25027808676307006</v>
      </c>
      <c r="O2067" s="31" t="str">
        <f>IF(交易處理資料__3[[#This Row],[上班時間]]=0,"否","是")</f>
        <v>是</v>
      </c>
    </row>
    <row r="2068" spans="1:15" hidden="1">
      <c r="A2068" t="s">
        <v>75</v>
      </c>
      <c r="B2068" t="s">
        <v>19</v>
      </c>
      <c r="C2068">
        <v>0</v>
      </c>
      <c r="D2068">
        <v>0</v>
      </c>
      <c r="E2068" s="27">
        <v>0</v>
      </c>
      <c r="F2068">
        <v>7.41</v>
      </c>
      <c r="G2068">
        <v>0.49</v>
      </c>
      <c r="H2068">
        <v>7.9</v>
      </c>
      <c r="I2068">
        <v>93.8</v>
      </c>
      <c r="J2068">
        <v>0</v>
      </c>
      <c r="K2068" s="9">
        <v>45343</v>
      </c>
      <c r="L2068">
        <f xml:space="preserve"> (交易處理資料__3[[#This Row],[售出工時]] * 60) / 5</f>
        <v>0</v>
      </c>
      <c r="M2068" t="str">
        <f>VLOOKUP(交易處理資料__3[[#This Row],[人員代號]],團隊分組!$B$1:$C$52,2,FALSE)</f>
        <v>查修團隊A</v>
      </c>
      <c r="N2068">
        <f>IF(交易處理資料__3[[#This Row],[上班時間]]=0,0,交易處理資料__3[[#This Row],[售出工時]]/交易處理資料__3[[#This Row],[上班時間]])</f>
        <v>0</v>
      </c>
      <c r="O2068" s="31" t="str">
        <f>IF(交易處理資料__3[[#This Row],[上班時間]]=0,"否","是")</f>
        <v>是</v>
      </c>
    </row>
    <row r="2069" spans="1:15" hidden="1">
      <c r="A2069" t="s">
        <v>75</v>
      </c>
      <c r="B2069" t="s">
        <v>20</v>
      </c>
      <c r="C2069">
        <v>3.1</v>
      </c>
      <c r="D2069">
        <v>4.1399999999999997</v>
      </c>
      <c r="E2069" s="27">
        <v>74.879227049999997</v>
      </c>
      <c r="F2069">
        <v>1.27</v>
      </c>
      <c r="G2069">
        <v>9.18</v>
      </c>
      <c r="H2069">
        <v>10.45</v>
      </c>
      <c r="I2069">
        <v>12.15</v>
      </c>
      <c r="J2069">
        <v>29.67</v>
      </c>
      <c r="K2069" s="9">
        <v>45343</v>
      </c>
      <c r="L2069">
        <f xml:space="preserve"> (交易處理資料__3[[#This Row],[售出工時]] * 60) / 5</f>
        <v>37.200000000000003</v>
      </c>
      <c r="M2069" t="str">
        <f>VLOOKUP(交易處理資料__3[[#This Row],[人員代號]],團隊分組!$B$1:$C$52,2,FALSE)</f>
        <v>查修團隊B</v>
      </c>
      <c r="N2069">
        <f>IF(交易處理資料__3[[#This Row],[上班時間]]=0,0,交易處理資料__3[[#This Row],[售出工時]]/交易處理資料__3[[#This Row],[上班時間]])</f>
        <v>0.29665071770334933</v>
      </c>
      <c r="O2069" s="31" t="str">
        <f>IF(交易處理資料__3[[#This Row],[上班時間]]=0,"否","是")</f>
        <v>是</v>
      </c>
    </row>
    <row r="2070" spans="1:15" hidden="1">
      <c r="A2070" t="s">
        <v>75</v>
      </c>
      <c r="B2070" t="s">
        <v>21</v>
      </c>
      <c r="C2070">
        <v>1</v>
      </c>
      <c r="D2070">
        <v>0.4</v>
      </c>
      <c r="E2070" s="27">
        <v>250</v>
      </c>
      <c r="F2070">
        <v>5.86</v>
      </c>
      <c r="G2070">
        <v>2.71</v>
      </c>
      <c r="H2070">
        <v>8.57</v>
      </c>
      <c r="I2070">
        <v>68.38</v>
      </c>
      <c r="J2070">
        <v>11.67</v>
      </c>
      <c r="K2070" s="9">
        <v>45343</v>
      </c>
      <c r="L2070">
        <f xml:space="preserve"> (交易處理資料__3[[#This Row],[售出工時]] * 60) / 5</f>
        <v>12</v>
      </c>
      <c r="M2070" t="str">
        <f>VLOOKUP(交易處理資料__3[[#This Row],[人員代號]],團隊分組!$B$1:$C$52,2,FALSE)</f>
        <v>查修團隊B</v>
      </c>
      <c r="N2070">
        <f>IF(交易處理資料__3[[#This Row],[上班時間]]=0,0,交易處理資料__3[[#This Row],[售出工時]]/交易處理資料__3[[#This Row],[上班時間]])</f>
        <v>0.11668611435239207</v>
      </c>
      <c r="O2070" s="31" t="str">
        <f>IF(交易處理資料__3[[#This Row],[上班時間]]=0,"否","是")</f>
        <v>是</v>
      </c>
    </row>
    <row r="2071" spans="1:15" hidden="1">
      <c r="A2071" t="s">
        <v>75</v>
      </c>
      <c r="B2071" t="s">
        <v>23</v>
      </c>
      <c r="C2071">
        <v>5.5033333329999996</v>
      </c>
      <c r="D2071">
        <v>2.85</v>
      </c>
      <c r="E2071" s="27">
        <v>193.09941520000001</v>
      </c>
      <c r="F2071">
        <v>7.61</v>
      </c>
      <c r="G2071">
        <v>0.81</v>
      </c>
      <c r="H2071">
        <v>8.42</v>
      </c>
      <c r="I2071">
        <v>90.38</v>
      </c>
      <c r="J2071">
        <v>65.36</v>
      </c>
      <c r="K2071" s="9">
        <v>45343</v>
      </c>
      <c r="L2071">
        <f xml:space="preserve"> (交易處理資料__3[[#This Row],[售出工時]] * 60) / 5</f>
        <v>66.039999995999992</v>
      </c>
      <c r="M2071" t="str">
        <f>VLOOKUP(交易處理資料__3[[#This Row],[人員代號]],團隊分組!$B$1:$C$52,2,FALSE)</f>
        <v>快速保養團隊B</v>
      </c>
      <c r="N2071">
        <f>IF(交易處理資料__3[[#This Row],[上班時間]]=0,0,交易處理資料__3[[#This Row],[售出工時]]/交易處理資料__3[[#This Row],[上班時間]])</f>
        <v>0.65360253361045129</v>
      </c>
      <c r="O2071" s="31" t="str">
        <f>IF(交易處理資料__3[[#This Row],[上班時間]]=0,"否","是")</f>
        <v>是</v>
      </c>
    </row>
    <row r="2072" spans="1:15" hidden="1">
      <c r="A2072" t="s">
        <v>75</v>
      </c>
      <c r="B2072" t="s">
        <v>24</v>
      </c>
      <c r="C2072">
        <v>7.89</v>
      </c>
      <c r="D2072">
        <v>5.15</v>
      </c>
      <c r="E2072" s="27">
        <v>153.20388349999999</v>
      </c>
      <c r="F2072">
        <v>6.15</v>
      </c>
      <c r="G2072">
        <v>2.08</v>
      </c>
      <c r="H2072">
        <v>8.23</v>
      </c>
      <c r="I2072">
        <v>74.73</v>
      </c>
      <c r="J2072">
        <v>95.87</v>
      </c>
      <c r="K2072" s="9">
        <v>45343</v>
      </c>
      <c r="L2072">
        <f xml:space="preserve"> (交易處理資料__3[[#This Row],[售出工時]] * 60) / 5</f>
        <v>94.679999999999993</v>
      </c>
      <c r="M2072" t="str">
        <f>VLOOKUP(交易處理資料__3[[#This Row],[人員代號]],團隊分組!$B$1:$C$52,2,FALSE)</f>
        <v>快速保養團隊A</v>
      </c>
      <c r="N2072">
        <f>IF(交易處理資料__3[[#This Row],[上班時間]]=0,0,交易處理資料__3[[#This Row],[售出工時]]/交易處理資料__3[[#This Row],[上班時間]])</f>
        <v>0.95868772782503031</v>
      </c>
      <c r="O2072" s="31" t="str">
        <f>IF(交易處理資料__3[[#This Row],[上班時間]]=0,"否","是")</f>
        <v>是</v>
      </c>
    </row>
    <row r="2073" spans="1:15" hidden="1">
      <c r="A2073" t="s">
        <v>75</v>
      </c>
      <c r="B2073" t="s">
        <v>25</v>
      </c>
      <c r="C2073">
        <v>4</v>
      </c>
      <c r="D2073">
        <v>6.83</v>
      </c>
      <c r="E2073" s="27">
        <v>58.565153729999999</v>
      </c>
      <c r="F2073">
        <v>8.66</v>
      </c>
      <c r="G2073">
        <v>1.51</v>
      </c>
      <c r="H2073">
        <v>10.17</v>
      </c>
      <c r="I2073">
        <v>85.15</v>
      </c>
      <c r="J2073">
        <v>39.33</v>
      </c>
      <c r="K2073" s="9">
        <v>45343</v>
      </c>
      <c r="L2073">
        <f xml:space="preserve"> (交易處理資料__3[[#This Row],[售出工時]] * 60) / 5</f>
        <v>48</v>
      </c>
      <c r="M2073" t="str">
        <f>VLOOKUP(交易處理資料__3[[#This Row],[人員代號]],團隊分組!$B$1:$C$52,2,FALSE)</f>
        <v>查修團隊A</v>
      </c>
      <c r="N2073">
        <f>IF(交易處理資料__3[[#This Row],[上班時間]]=0,0,交易處理資料__3[[#This Row],[售出工時]]/交易處理資料__3[[#This Row],[上班時間]])</f>
        <v>0.39331366764995085</v>
      </c>
      <c r="O2073" s="31" t="str">
        <f>IF(交易處理資料__3[[#This Row],[上班時間]]=0,"否","是")</f>
        <v>是</v>
      </c>
    </row>
    <row r="2074" spans="1:15" hidden="1">
      <c r="A2074" t="s">
        <v>75</v>
      </c>
      <c r="B2074" t="s">
        <v>26</v>
      </c>
      <c r="C2074">
        <v>1</v>
      </c>
      <c r="D2074">
        <v>4.62</v>
      </c>
      <c r="E2074" s="27">
        <v>21.64502165</v>
      </c>
      <c r="F2074">
        <v>0</v>
      </c>
      <c r="G2074">
        <v>9.25</v>
      </c>
      <c r="H2074">
        <v>9.25</v>
      </c>
      <c r="I2074">
        <v>0</v>
      </c>
      <c r="J2074">
        <v>10.81</v>
      </c>
      <c r="K2074" s="9">
        <v>45343</v>
      </c>
      <c r="L2074">
        <f xml:space="preserve"> (交易處理資料__3[[#This Row],[售出工時]] * 60) / 5</f>
        <v>12</v>
      </c>
      <c r="M2074" t="str">
        <f>VLOOKUP(交易處理資料__3[[#This Row],[人員代號]],團隊分組!$B$1:$C$52,2,FALSE)</f>
        <v>查修團隊B</v>
      </c>
      <c r="N2074">
        <f>IF(交易處理資料__3[[#This Row],[上班時間]]=0,0,交易處理資料__3[[#This Row],[售出工時]]/交易處理資料__3[[#This Row],[上班時間]])</f>
        <v>0.10810810810810811</v>
      </c>
      <c r="O2074" s="31" t="str">
        <f>IF(交易處理資料__3[[#This Row],[上班時間]]=0,"否","是")</f>
        <v>是</v>
      </c>
    </row>
    <row r="2075" spans="1:15" hidden="1">
      <c r="A2075" t="s">
        <v>75</v>
      </c>
      <c r="B2075" t="s">
        <v>27</v>
      </c>
      <c r="C2075">
        <v>7.28</v>
      </c>
      <c r="D2075">
        <v>3.37</v>
      </c>
      <c r="E2075" s="27">
        <v>216.02373890000001</v>
      </c>
      <c r="F2075">
        <v>7.8</v>
      </c>
      <c r="G2075">
        <v>0.46</v>
      </c>
      <c r="H2075">
        <v>8.26</v>
      </c>
      <c r="I2075">
        <v>94.43</v>
      </c>
      <c r="J2075">
        <v>88.14</v>
      </c>
      <c r="K2075" s="9">
        <v>45343</v>
      </c>
      <c r="L2075">
        <f xml:space="preserve"> (交易處理資料__3[[#This Row],[售出工時]] * 60) / 5</f>
        <v>87.36</v>
      </c>
      <c r="M2075" t="str">
        <f>VLOOKUP(交易處理資料__3[[#This Row],[人員代號]],團隊分組!$B$1:$C$52,2,FALSE)</f>
        <v>快速保養團隊B</v>
      </c>
      <c r="N2075">
        <f>IF(交易處理資料__3[[#This Row],[上班時間]]=0,0,交易處理資料__3[[#This Row],[售出工時]]/交易處理資料__3[[#This Row],[上班時間]])</f>
        <v>0.88135593220338992</v>
      </c>
      <c r="O2075" s="31" t="str">
        <f>IF(交易處理資料__3[[#This Row],[上班時間]]=0,"否","是")</f>
        <v>是</v>
      </c>
    </row>
    <row r="2076" spans="1:15" hidden="1">
      <c r="A2076" t="s">
        <v>75</v>
      </c>
      <c r="B2076" t="s">
        <v>28</v>
      </c>
      <c r="C2076">
        <v>9.6133333329999999</v>
      </c>
      <c r="D2076">
        <v>5.47</v>
      </c>
      <c r="E2076" s="27">
        <v>175.74649600000001</v>
      </c>
      <c r="F2076">
        <v>6.17</v>
      </c>
      <c r="G2076">
        <v>2.0299999999999998</v>
      </c>
      <c r="H2076">
        <v>8.1999999999999993</v>
      </c>
      <c r="I2076">
        <v>75.239999999999995</v>
      </c>
      <c r="J2076">
        <v>117.24</v>
      </c>
      <c r="K2076" s="9">
        <v>45343</v>
      </c>
      <c r="L2076">
        <f xml:space="preserve"> (交易處理資料__3[[#This Row],[售出工時]] * 60) / 5</f>
        <v>115.35999999599998</v>
      </c>
      <c r="M2076" t="str">
        <f>VLOOKUP(交易處理資料__3[[#This Row],[人員代號]],團隊分組!$B$1:$C$52,2,FALSE)</f>
        <v>快速保養團隊A</v>
      </c>
      <c r="N2076">
        <f>IF(交易處理資料__3[[#This Row],[上班時間]]=0,0,交易處理資料__3[[#This Row],[售出工時]]/交易處理資料__3[[#This Row],[上班時間]])</f>
        <v>1.1723577235365854</v>
      </c>
      <c r="O2076" s="31" t="str">
        <f>IF(交易處理資料__3[[#This Row],[上班時間]]=0,"否","是")</f>
        <v>是</v>
      </c>
    </row>
    <row r="2077" spans="1:15" hidden="1">
      <c r="A2077" t="s">
        <v>75</v>
      </c>
      <c r="B2077" t="s">
        <v>30</v>
      </c>
      <c r="C2077">
        <v>7.99</v>
      </c>
      <c r="D2077">
        <v>4.68</v>
      </c>
      <c r="E2077" s="27">
        <v>170.72649569999999</v>
      </c>
      <c r="F2077">
        <v>8.01</v>
      </c>
      <c r="G2077">
        <v>0.23</v>
      </c>
      <c r="H2077">
        <v>8.24</v>
      </c>
      <c r="I2077">
        <v>97.21</v>
      </c>
      <c r="J2077">
        <v>96.97</v>
      </c>
      <c r="K2077" s="9">
        <v>45343</v>
      </c>
      <c r="L2077">
        <f xml:space="preserve"> (交易處理資料__3[[#This Row],[售出工時]] * 60) / 5</f>
        <v>95.88000000000001</v>
      </c>
      <c r="M2077" t="str">
        <f>VLOOKUP(交易處理資料__3[[#This Row],[人員代號]],團隊分組!$B$1:$C$52,2,FALSE)</f>
        <v>快速保養團隊B</v>
      </c>
      <c r="N2077">
        <f>IF(交易處理資料__3[[#This Row],[上班時間]]=0,0,交易處理資料__3[[#This Row],[售出工時]]/交易處理資料__3[[#This Row],[上班時間]])</f>
        <v>0.96966019417475724</v>
      </c>
      <c r="O2077" s="31" t="str">
        <f>IF(交易處理資料__3[[#This Row],[上班時間]]=0,"否","是")</f>
        <v>是</v>
      </c>
    </row>
    <row r="2078" spans="1:15" hidden="1">
      <c r="A2078" t="s">
        <v>75</v>
      </c>
      <c r="B2078" t="s">
        <v>32</v>
      </c>
      <c r="C2078">
        <v>9.17</v>
      </c>
      <c r="D2078">
        <v>5.33</v>
      </c>
      <c r="E2078" s="27">
        <v>172.0450281</v>
      </c>
      <c r="F2078">
        <v>9.1</v>
      </c>
      <c r="G2078">
        <v>0.85</v>
      </c>
      <c r="H2078">
        <v>9.9499999999999993</v>
      </c>
      <c r="I2078">
        <v>91.46</v>
      </c>
      <c r="J2078">
        <v>92.16</v>
      </c>
      <c r="K2078" s="9">
        <v>45343</v>
      </c>
      <c r="L2078">
        <f xml:space="preserve"> (交易處理資料__3[[#This Row],[售出工時]] * 60) / 5</f>
        <v>110.04</v>
      </c>
      <c r="M2078" t="str">
        <f>VLOOKUP(交易處理資料__3[[#This Row],[人員代號]],團隊分組!$B$1:$C$52,2,FALSE)</f>
        <v>快速保養團隊B</v>
      </c>
      <c r="N2078">
        <f>IF(交易處理資料__3[[#This Row],[上班時間]]=0,0,交易處理資料__3[[#This Row],[售出工時]]/交易處理資料__3[[#This Row],[上班時間]])</f>
        <v>0.92160804020100506</v>
      </c>
      <c r="O2078" s="31" t="str">
        <f>IF(交易處理資料__3[[#This Row],[上班時間]]=0,"否","是")</f>
        <v>是</v>
      </c>
    </row>
    <row r="2079" spans="1:15">
      <c r="A2079" t="s">
        <v>75</v>
      </c>
      <c r="B2079" t="s">
        <v>33</v>
      </c>
      <c r="C2079">
        <v>0</v>
      </c>
      <c r="D2079">
        <v>0</v>
      </c>
      <c r="E2079" s="27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 s="9">
        <v>45343</v>
      </c>
      <c r="L2079">
        <f xml:space="preserve"> (交易處理資料__3[[#This Row],[售出工時]] * 60) / 5</f>
        <v>0</v>
      </c>
      <c r="M2079" t="str">
        <f>VLOOKUP(交易處理資料__3[[#This Row],[人員代號]],團隊分組!$B$1:$C$52,2,FALSE)</f>
        <v>快速保養團隊B</v>
      </c>
      <c r="N2079">
        <f>IF(交易處理資料__3[[#This Row],[上班時間]]=0,0,交易處理資料__3[[#This Row],[售出工時]]/交易處理資料__3[[#This Row],[上班時間]])</f>
        <v>0</v>
      </c>
      <c r="O2079" s="31" t="str">
        <f>IF(交易處理資料__3[[#This Row],[上班時間]]=0,"否","是")</f>
        <v>否</v>
      </c>
    </row>
    <row r="2080" spans="1:15" hidden="1">
      <c r="A2080" t="s">
        <v>75</v>
      </c>
      <c r="B2080" t="s">
        <v>34</v>
      </c>
      <c r="C2080">
        <v>8.4166666669999994</v>
      </c>
      <c r="D2080">
        <v>7.5</v>
      </c>
      <c r="E2080" s="27">
        <v>112.2222222</v>
      </c>
      <c r="F2080">
        <v>8.25</v>
      </c>
      <c r="G2080">
        <v>0.02</v>
      </c>
      <c r="H2080">
        <v>8.27</v>
      </c>
      <c r="I2080">
        <v>99.76</v>
      </c>
      <c r="J2080">
        <v>101.77</v>
      </c>
      <c r="K2080" s="9">
        <v>45343</v>
      </c>
      <c r="L2080">
        <f xml:space="preserve"> (交易處理資料__3[[#This Row],[售出工時]] * 60) / 5</f>
        <v>101.00000000399999</v>
      </c>
      <c r="M2080" t="str">
        <f>VLOOKUP(交易處理資料__3[[#This Row],[人員代號]],團隊分組!$B$1:$C$52,2,FALSE)</f>
        <v>快速保養團隊A</v>
      </c>
      <c r="N2080">
        <f>IF(交易處理資料__3[[#This Row],[上班時間]]=0,0,交易處理資料__3[[#This Row],[售出工時]]/交易處理資料__3[[#This Row],[上班時間]])</f>
        <v>1.017734784401451</v>
      </c>
      <c r="O2080" s="31" t="str">
        <f>IF(交易處理資料__3[[#This Row],[上班時間]]=0,"否","是")</f>
        <v>是</v>
      </c>
    </row>
    <row r="2081" spans="1:15" hidden="1">
      <c r="A2081" t="s">
        <v>75</v>
      </c>
      <c r="B2081" t="s">
        <v>36</v>
      </c>
      <c r="C2081">
        <v>1.4266666670000001</v>
      </c>
      <c r="D2081">
        <v>1.9</v>
      </c>
      <c r="E2081" s="27">
        <v>75.087719300000003</v>
      </c>
      <c r="F2081">
        <v>9.61</v>
      </c>
      <c r="G2081">
        <v>1.89</v>
      </c>
      <c r="H2081">
        <v>11.5</v>
      </c>
      <c r="I2081">
        <v>83.57</v>
      </c>
      <c r="J2081">
        <v>12.41</v>
      </c>
      <c r="K2081" s="9">
        <v>45343</v>
      </c>
      <c r="L2081">
        <f xml:space="preserve"> (交易處理資料__3[[#This Row],[售出工時]] * 60) / 5</f>
        <v>17.120000004000001</v>
      </c>
      <c r="M2081" t="str">
        <f>VLOOKUP(交易處理資料__3[[#This Row],[人員代號]],團隊分組!$B$1:$C$52,2,FALSE)</f>
        <v>查修團隊B</v>
      </c>
      <c r="N2081">
        <f>IF(交易處理資料__3[[#This Row],[上班時間]]=0,0,交易處理資料__3[[#This Row],[售出工時]]/交易處理資料__3[[#This Row],[上班時間]])</f>
        <v>0.12405797104347827</v>
      </c>
      <c r="O2081" s="31" t="str">
        <f>IF(交易處理資料__3[[#This Row],[上班時間]]=0,"否","是")</f>
        <v>是</v>
      </c>
    </row>
    <row r="2082" spans="1:15" hidden="1">
      <c r="A2082" t="s">
        <v>75</v>
      </c>
      <c r="B2082" t="s">
        <v>37</v>
      </c>
      <c r="C2082">
        <v>4.54</v>
      </c>
      <c r="D2082">
        <v>3.98</v>
      </c>
      <c r="E2082" s="27">
        <v>114.0703518</v>
      </c>
      <c r="F2082">
        <v>8.11</v>
      </c>
      <c r="G2082">
        <v>1.6</v>
      </c>
      <c r="H2082">
        <v>9.7100000000000009</v>
      </c>
      <c r="I2082">
        <v>83.52</v>
      </c>
      <c r="J2082">
        <v>46.76</v>
      </c>
      <c r="K2082" s="9">
        <v>45343</v>
      </c>
      <c r="L2082">
        <f xml:space="preserve"> (交易處理資料__3[[#This Row],[售出工時]] * 60) / 5</f>
        <v>54.48</v>
      </c>
      <c r="M2082" t="str">
        <f>VLOOKUP(交易處理資料__3[[#This Row],[人員代號]],團隊分組!$B$1:$C$52,2,FALSE)</f>
        <v>查修團隊A</v>
      </c>
      <c r="N2082">
        <f>IF(交易處理資料__3[[#This Row],[上班時間]]=0,0,交易處理資料__3[[#This Row],[售出工時]]/交易處理資料__3[[#This Row],[上班時間]])</f>
        <v>0.46755921730175076</v>
      </c>
      <c r="O2082" s="31" t="str">
        <f>IF(交易處理資料__3[[#This Row],[上班時間]]=0,"否","是")</f>
        <v>是</v>
      </c>
    </row>
    <row r="2083" spans="1:15" hidden="1">
      <c r="A2083" t="s">
        <v>75</v>
      </c>
      <c r="B2083" t="s">
        <v>39</v>
      </c>
      <c r="C2083">
        <v>2.4166666669999999</v>
      </c>
      <c r="D2083">
        <v>4.75</v>
      </c>
      <c r="E2083" s="27">
        <v>50.877192979999997</v>
      </c>
      <c r="F2083">
        <v>8.44</v>
      </c>
      <c r="G2083">
        <v>1.78</v>
      </c>
      <c r="H2083">
        <v>10.220000000000001</v>
      </c>
      <c r="I2083">
        <v>82.58</v>
      </c>
      <c r="J2083">
        <v>23.65</v>
      </c>
      <c r="K2083" s="9">
        <v>45343</v>
      </c>
      <c r="L2083">
        <f xml:space="preserve"> (交易處理資料__3[[#This Row],[售出工時]] * 60) / 5</f>
        <v>29.000000003999997</v>
      </c>
      <c r="M2083" t="str">
        <f>VLOOKUP(交易處理資料__3[[#This Row],[人員代號]],團隊分組!$B$1:$C$52,2,FALSE)</f>
        <v>查修團隊A</v>
      </c>
      <c r="N2083">
        <f>IF(交易處理資料__3[[#This Row],[上班時間]]=0,0,交易處理資料__3[[#This Row],[售出工時]]/交易處理資料__3[[#This Row],[上班時間]])</f>
        <v>0.23646444882583167</v>
      </c>
      <c r="O2083" s="31" t="str">
        <f>IF(交易處理資料__3[[#This Row],[上班時間]]=0,"否","是")</f>
        <v>是</v>
      </c>
    </row>
    <row r="2084" spans="1:15" hidden="1">
      <c r="A2084" t="s">
        <v>75</v>
      </c>
      <c r="B2084" t="s">
        <v>41</v>
      </c>
      <c r="C2084">
        <v>21.333333329999999</v>
      </c>
      <c r="D2084">
        <v>7.93</v>
      </c>
      <c r="E2084" s="27">
        <v>269.02059689999999</v>
      </c>
      <c r="F2084">
        <v>9.5500000000000007</v>
      </c>
      <c r="G2084">
        <v>1.17</v>
      </c>
      <c r="H2084">
        <v>10.72</v>
      </c>
      <c r="I2084">
        <v>89.09</v>
      </c>
      <c r="J2084">
        <v>199</v>
      </c>
      <c r="K2084" s="9">
        <v>45343</v>
      </c>
      <c r="L2084">
        <f xml:space="preserve"> (交易處理資料__3[[#This Row],[售出工時]] * 60) / 5</f>
        <v>255.99999995999997</v>
      </c>
      <c r="M2084" t="str">
        <f>VLOOKUP(交易處理資料__3[[#This Row],[人員代號]],團隊分組!$B$1:$C$52,2,FALSE)</f>
        <v>快速保養團隊A</v>
      </c>
      <c r="N2084">
        <f>IF(交易處理資料__3[[#This Row],[上班時間]]=0,0,交易處理資料__3[[#This Row],[售出工時]]/交易處理資料__3[[#This Row],[上班時間]])</f>
        <v>1.9900497509328356</v>
      </c>
      <c r="O2084" s="31" t="str">
        <f>IF(交易處理資料__3[[#This Row],[上班時間]]=0,"否","是")</f>
        <v>是</v>
      </c>
    </row>
    <row r="2085" spans="1:15" hidden="1">
      <c r="A2085" t="s">
        <v>75</v>
      </c>
      <c r="B2085" t="s">
        <v>42</v>
      </c>
      <c r="C2085">
        <v>9.0833333330000006</v>
      </c>
      <c r="D2085">
        <v>5.8</v>
      </c>
      <c r="E2085" s="27">
        <v>156.6091954</v>
      </c>
      <c r="F2085">
        <v>7.85</v>
      </c>
      <c r="G2085">
        <v>0.82</v>
      </c>
      <c r="H2085">
        <v>8.67</v>
      </c>
      <c r="I2085">
        <v>90.54</v>
      </c>
      <c r="J2085">
        <v>104.77</v>
      </c>
      <c r="K2085" s="9">
        <v>45343</v>
      </c>
      <c r="L2085">
        <f xml:space="preserve"> (交易處理資料__3[[#This Row],[售出工時]] * 60) / 5</f>
        <v>108.999999996</v>
      </c>
      <c r="M2085" t="str">
        <f>VLOOKUP(交易處理資料__3[[#This Row],[人員代號]],團隊分組!$B$1:$C$52,2,FALSE)</f>
        <v>快速保養團隊A</v>
      </c>
      <c r="N2085">
        <f>IF(交易處理資料__3[[#This Row],[上班時間]]=0,0,交易處理資料__3[[#This Row],[售出工時]]/交易處理資料__3[[#This Row],[上班時間]])</f>
        <v>1.0476739715109573</v>
      </c>
      <c r="O2085" s="31" t="str">
        <f>IF(交易處理資料__3[[#This Row],[上班時間]]=0,"否","是")</f>
        <v>是</v>
      </c>
    </row>
    <row r="2086" spans="1:15" hidden="1">
      <c r="A2086" t="s">
        <v>75</v>
      </c>
      <c r="B2086" t="s">
        <v>43</v>
      </c>
      <c r="C2086">
        <v>4.903333333</v>
      </c>
      <c r="D2086">
        <v>7.61</v>
      </c>
      <c r="E2086" s="27">
        <v>64.432763910000006</v>
      </c>
      <c r="F2086">
        <v>7.33</v>
      </c>
      <c r="G2086">
        <v>2.2799999999999998</v>
      </c>
      <c r="H2086">
        <v>9.61</v>
      </c>
      <c r="I2086">
        <v>76.27</v>
      </c>
      <c r="J2086">
        <v>51.02</v>
      </c>
      <c r="K2086" s="9">
        <v>45343</v>
      </c>
      <c r="L2086">
        <f xml:space="preserve"> (交易處理資料__3[[#This Row],[售出工時]] * 60) / 5</f>
        <v>58.839999995999996</v>
      </c>
      <c r="M2086" t="str">
        <f>VLOOKUP(交易處理資料__3[[#This Row],[人員代號]],團隊分組!$B$1:$C$52,2,FALSE)</f>
        <v>查修團隊B</v>
      </c>
      <c r="N2086">
        <f>IF(交易處理資料__3[[#This Row],[上班時間]]=0,0,交易處理資料__3[[#This Row],[售出工時]]/交易處理資料__3[[#This Row],[上班時間]])</f>
        <v>0.51023239677419352</v>
      </c>
      <c r="O2086" s="31" t="str">
        <f>IF(交易處理資料__3[[#This Row],[上班時間]]=0,"否","是")</f>
        <v>是</v>
      </c>
    </row>
    <row r="2087" spans="1:15" hidden="1">
      <c r="A2087" t="s">
        <v>75</v>
      </c>
      <c r="B2087" t="s">
        <v>44</v>
      </c>
      <c r="C2087">
        <v>12.25</v>
      </c>
      <c r="D2087">
        <v>6.91</v>
      </c>
      <c r="E2087" s="27">
        <v>177.2793054</v>
      </c>
      <c r="F2087">
        <v>8.31</v>
      </c>
      <c r="G2087">
        <v>0.32</v>
      </c>
      <c r="H2087">
        <v>8.6300000000000008</v>
      </c>
      <c r="I2087">
        <v>96.29</v>
      </c>
      <c r="J2087">
        <v>141.94999999999999</v>
      </c>
      <c r="K2087" s="9">
        <v>45343</v>
      </c>
      <c r="L2087">
        <f xml:space="preserve"> (交易處理資料__3[[#This Row],[售出工時]] * 60) / 5</f>
        <v>147</v>
      </c>
      <c r="M2087" t="str">
        <f>VLOOKUP(交易處理資料__3[[#This Row],[人員代號]],團隊分組!$B$1:$C$52,2,FALSE)</f>
        <v>快速保養團隊B</v>
      </c>
      <c r="N2087">
        <f>IF(交易處理資料__3[[#This Row],[上班時間]]=0,0,交易處理資料__3[[#This Row],[售出工時]]/交易處理資料__3[[#This Row],[上班時間]])</f>
        <v>1.4194669756662803</v>
      </c>
      <c r="O2087" s="31" t="str">
        <f>IF(交易處理資料__3[[#This Row],[上班時間]]=0,"否","是")</f>
        <v>是</v>
      </c>
    </row>
    <row r="2088" spans="1:15" hidden="1">
      <c r="A2088" t="s">
        <v>75</v>
      </c>
      <c r="B2088" t="s">
        <v>45</v>
      </c>
      <c r="C2088">
        <v>9.8333333330000006</v>
      </c>
      <c r="D2088">
        <v>6.61</v>
      </c>
      <c r="E2088" s="27">
        <v>148.76449819999999</v>
      </c>
      <c r="F2088">
        <v>8.34</v>
      </c>
      <c r="G2088">
        <v>0.54</v>
      </c>
      <c r="H2088">
        <v>8.8800000000000008</v>
      </c>
      <c r="I2088">
        <v>93.92</v>
      </c>
      <c r="J2088">
        <v>110.74</v>
      </c>
      <c r="K2088" s="9">
        <v>45343</v>
      </c>
      <c r="L2088">
        <f xml:space="preserve"> (交易處理資料__3[[#This Row],[售出工時]] * 60) / 5</f>
        <v>117.999999996</v>
      </c>
      <c r="M2088" t="str">
        <f>VLOOKUP(交易處理資料__3[[#This Row],[人員代號]],團隊分組!$B$1:$C$52,2,FALSE)</f>
        <v>快速保養團隊A</v>
      </c>
      <c r="N2088">
        <f>IF(交易處理資料__3[[#This Row],[上班時間]]=0,0,交易處理資料__3[[#This Row],[售出工時]]/交易處理資料__3[[#This Row],[上班時間]])</f>
        <v>1.1073573573198199</v>
      </c>
      <c r="O2088" s="31" t="str">
        <f>IF(交易處理資料__3[[#This Row],[上班時間]]=0,"否","是")</f>
        <v>是</v>
      </c>
    </row>
    <row r="2089" spans="1:15" hidden="1">
      <c r="A2089" t="s">
        <v>75</v>
      </c>
      <c r="B2089" t="s">
        <v>46</v>
      </c>
      <c r="C2089">
        <v>0</v>
      </c>
      <c r="D2089">
        <v>0</v>
      </c>
      <c r="E2089" s="27">
        <v>0</v>
      </c>
      <c r="F2089">
        <v>6.93</v>
      </c>
      <c r="G2089">
        <v>1.17</v>
      </c>
      <c r="H2089">
        <v>8.1</v>
      </c>
      <c r="I2089">
        <v>85.56</v>
      </c>
      <c r="J2089">
        <v>0</v>
      </c>
      <c r="K2089" s="9">
        <v>45343</v>
      </c>
      <c r="L2089">
        <f xml:space="preserve"> (交易處理資料__3[[#This Row],[售出工時]] * 60) / 5</f>
        <v>0</v>
      </c>
      <c r="M2089" t="str">
        <f>VLOOKUP(交易處理資料__3[[#This Row],[人員代號]],團隊分組!$B$1:$C$52,2,FALSE)</f>
        <v>查修團隊B</v>
      </c>
      <c r="N2089">
        <f>IF(交易處理資料__3[[#This Row],[上班時間]]=0,0,交易處理資料__3[[#This Row],[售出工時]]/交易處理資料__3[[#This Row],[上班時間]])</f>
        <v>0</v>
      </c>
      <c r="O2089" s="31" t="str">
        <f>IF(交易處理資料__3[[#This Row],[上班時間]]=0,"否","是")</f>
        <v>是</v>
      </c>
    </row>
    <row r="2090" spans="1:15" hidden="1">
      <c r="A2090" t="s">
        <v>75</v>
      </c>
      <c r="B2090" t="s">
        <v>47</v>
      </c>
      <c r="C2090">
        <v>3.0833333330000001</v>
      </c>
      <c r="D2090">
        <v>3.14</v>
      </c>
      <c r="E2090" s="27">
        <v>98.195329090000001</v>
      </c>
      <c r="F2090">
        <v>6.43</v>
      </c>
      <c r="G2090">
        <v>1.68</v>
      </c>
      <c r="H2090">
        <v>8.11</v>
      </c>
      <c r="I2090">
        <v>79.28</v>
      </c>
      <c r="J2090">
        <v>38.020000000000003</v>
      </c>
      <c r="K2090" s="9">
        <v>45343</v>
      </c>
      <c r="L2090">
        <f xml:space="preserve"> (交易處理資料__3[[#This Row],[售出工時]] * 60) / 5</f>
        <v>36.999999996</v>
      </c>
      <c r="M2090" t="str">
        <f>VLOOKUP(交易處理資料__3[[#This Row],[人員代號]],團隊分組!$B$1:$C$52,2,FALSE)</f>
        <v>查修團隊B</v>
      </c>
      <c r="N2090">
        <f>IF(交易處理資料__3[[#This Row],[上班時間]]=0,0,交易處理資料__3[[#This Row],[售出工時]]/交易處理資料__3[[#This Row],[上班時間]])</f>
        <v>0.38018906695437737</v>
      </c>
      <c r="O2090" s="31" t="str">
        <f>IF(交易處理資料__3[[#This Row],[上班時間]]=0,"否","是")</f>
        <v>是</v>
      </c>
    </row>
    <row r="2091" spans="1:15" hidden="1">
      <c r="A2091" t="s">
        <v>75</v>
      </c>
      <c r="B2091" t="s">
        <v>48</v>
      </c>
      <c r="C2091">
        <v>1.3333333329999999</v>
      </c>
      <c r="D2091">
        <v>3.23</v>
      </c>
      <c r="E2091" s="27">
        <v>41.279669759999997</v>
      </c>
      <c r="F2091">
        <v>6.34</v>
      </c>
      <c r="G2091">
        <v>2.04</v>
      </c>
      <c r="H2091">
        <v>8.3800000000000008</v>
      </c>
      <c r="I2091">
        <v>75.66</v>
      </c>
      <c r="J2091">
        <v>15.91</v>
      </c>
      <c r="K2091" s="9">
        <v>45343</v>
      </c>
      <c r="L2091">
        <f xml:space="preserve"> (交易處理資料__3[[#This Row],[售出工時]] * 60) / 5</f>
        <v>15.999999996</v>
      </c>
      <c r="M2091" t="str">
        <f>VLOOKUP(交易處理資料__3[[#This Row],[人員代號]],團隊分組!$B$1:$C$52,2,FALSE)</f>
        <v>查修團隊A</v>
      </c>
      <c r="N2091">
        <f>IF(交易處理資料__3[[#This Row],[上班時間]]=0,0,交易處理資料__3[[#This Row],[售出工時]]/交易處理資料__3[[#This Row],[上班時間]])</f>
        <v>0.15910898961813841</v>
      </c>
      <c r="O2091" s="31" t="str">
        <f>IF(交易處理資料__3[[#This Row],[上班時間]]=0,"否","是")</f>
        <v>是</v>
      </c>
    </row>
    <row r="2092" spans="1:15" hidden="1">
      <c r="A2092" t="s">
        <v>75</v>
      </c>
      <c r="B2092" t="s">
        <v>49</v>
      </c>
      <c r="C2092">
        <v>3.8333333330000001</v>
      </c>
      <c r="D2092">
        <v>3.36</v>
      </c>
      <c r="E2092" s="27">
        <v>114.0873016</v>
      </c>
      <c r="F2092">
        <v>7.32</v>
      </c>
      <c r="G2092">
        <v>0.51</v>
      </c>
      <c r="H2092">
        <v>7.83</v>
      </c>
      <c r="I2092">
        <v>93.49</v>
      </c>
      <c r="J2092">
        <v>48.96</v>
      </c>
      <c r="K2092" s="9">
        <v>45343</v>
      </c>
      <c r="L2092">
        <f xml:space="preserve"> (交易處理資料__3[[#This Row],[售出工時]] * 60) / 5</f>
        <v>45.999999996</v>
      </c>
      <c r="M2092" t="str">
        <f>VLOOKUP(交易處理資料__3[[#This Row],[人員代號]],團隊分組!$B$1:$C$52,2,FALSE)</f>
        <v>查修團隊A</v>
      </c>
      <c r="N2092">
        <f>IF(交易處理資料__3[[#This Row],[上班時間]]=0,0,交易處理資料__3[[#This Row],[售出工時]]/交易處理資料__3[[#This Row],[上班時間]])</f>
        <v>0.48957002975734354</v>
      </c>
      <c r="O2092" s="31" t="str">
        <f>IF(交易處理資料__3[[#This Row],[上班時間]]=0,"否","是")</f>
        <v>是</v>
      </c>
    </row>
    <row r="2093" spans="1:15" hidden="1">
      <c r="A2093" t="s">
        <v>75</v>
      </c>
      <c r="B2093" t="s">
        <v>51</v>
      </c>
      <c r="C2093">
        <v>0</v>
      </c>
      <c r="D2093">
        <v>0</v>
      </c>
      <c r="E2093" s="27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 s="9">
        <v>45343</v>
      </c>
      <c r="L2093">
        <f xml:space="preserve"> (交易處理資料__3[[#This Row],[售出工時]] * 60) / 5</f>
        <v>0</v>
      </c>
      <c r="M2093" t="str">
        <f>VLOOKUP(交易處理資料__3[[#This Row],[人員代號]],團隊分組!$B$1:$C$52,2,FALSE)</f>
        <v>無效數據</v>
      </c>
      <c r="N2093">
        <f>IF(交易處理資料__3[[#This Row],[上班時間]]=0,0,交易處理資料__3[[#This Row],[售出工時]]/交易處理資料__3[[#This Row],[上班時間]])</f>
        <v>0</v>
      </c>
      <c r="O2093" s="31" t="str">
        <f>IF(交易處理資料__3[[#This Row],[上班時間]]=0,"否","是")</f>
        <v>否</v>
      </c>
    </row>
    <row r="2094" spans="1:15" hidden="1">
      <c r="A2094" t="s">
        <v>75</v>
      </c>
      <c r="B2094" t="s">
        <v>53</v>
      </c>
      <c r="C2094">
        <v>6.6666666670000003</v>
      </c>
      <c r="D2094">
        <v>9.32</v>
      </c>
      <c r="E2094" s="27">
        <v>71.530758230000004</v>
      </c>
      <c r="F2094">
        <v>8.9600000000000009</v>
      </c>
      <c r="G2094">
        <v>1.2</v>
      </c>
      <c r="H2094">
        <v>10.16</v>
      </c>
      <c r="I2094">
        <v>88.19</v>
      </c>
      <c r="J2094">
        <v>65.62</v>
      </c>
      <c r="K2094" s="9">
        <v>45343</v>
      </c>
      <c r="L2094">
        <f xml:space="preserve"> (交易處理資料__3[[#This Row],[售出工時]] * 60) / 5</f>
        <v>80.000000004</v>
      </c>
      <c r="M2094" t="str">
        <f>VLOOKUP(交易處理資料__3[[#This Row],[人員代號]],團隊分組!$B$1:$C$52,2,FALSE)</f>
        <v>查修團隊A</v>
      </c>
      <c r="N2094">
        <f>IF(交易處理資料__3[[#This Row],[上班時間]]=0,0,交易處理資料__3[[#This Row],[售出工時]]/交易處理資料__3[[#This Row],[上班時間]])</f>
        <v>0.65616797903543311</v>
      </c>
      <c r="O2094" s="31" t="str">
        <f>IF(交易處理資料__3[[#This Row],[上班時間]]=0,"否","是")</f>
        <v>是</v>
      </c>
    </row>
    <row r="2095" spans="1:15" hidden="1">
      <c r="A2095" s="10" t="s">
        <v>73</v>
      </c>
      <c r="B2095" t="s">
        <v>2</v>
      </c>
      <c r="C2095">
        <v>0</v>
      </c>
      <c r="D2095">
        <v>0</v>
      </c>
      <c r="E2095" s="27">
        <v>0</v>
      </c>
      <c r="F2095">
        <v>10.3</v>
      </c>
      <c r="G2095">
        <v>0.22</v>
      </c>
      <c r="H2095">
        <v>10.52</v>
      </c>
      <c r="I2095">
        <v>97.91</v>
      </c>
      <c r="J2095">
        <v>0</v>
      </c>
      <c r="K2095" s="9">
        <v>45344</v>
      </c>
      <c r="L2095">
        <f xml:space="preserve"> (交易處理資料__3[[#This Row],[售出工時]] * 60) / 5</f>
        <v>0</v>
      </c>
      <c r="M2095" t="str">
        <f>VLOOKUP(交易處理資料__3[[#This Row],[人員代號]],團隊分組!$B$1:$C$52,2,FALSE)</f>
        <v>噴漆維修組</v>
      </c>
      <c r="N2095">
        <f>IF(交易處理資料__3[[#This Row],[上班時間]]=0,0,交易處理資料__3[[#This Row],[售出工時]]/交易處理資料__3[[#This Row],[上班時間]])</f>
        <v>0</v>
      </c>
      <c r="O2095" s="31" t="str">
        <f>IF(交易處理資料__3[[#This Row],[上班時間]]=0,"否","是")</f>
        <v>是</v>
      </c>
    </row>
    <row r="2096" spans="1:15" hidden="1">
      <c r="A2096" s="10" t="s">
        <v>73</v>
      </c>
      <c r="B2096" t="s">
        <v>3</v>
      </c>
      <c r="C2096">
        <v>0</v>
      </c>
      <c r="D2096">
        <v>0</v>
      </c>
      <c r="E2096" s="27">
        <v>0</v>
      </c>
      <c r="F2096">
        <v>10.3</v>
      </c>
      <c r="G2096">
        <v>0.22</v>
      </c>
      <c r="H2096">
        <v>10.52</v>
      </c>
      <c r="I2096">
        <v>97.91</v>
      </c>
      <c r="J2096">
        <v>0</v>
      </c>
      <c r="K2096" s="9">
        <v>45344</v>
      </c>
      <c r="L2096">
        <f xml:space="preserve"> (交易處理資料__3[[#This Row],[售出工時]] * 60) / 5</f>
        <v>0</v>
      </c>
      <c r="M2096" t="str">
        <f>VLOOKUP(交易處理資料__3[[#This Row],[人員代號]],團隊分組!$B$1:$C$52,2,FALSE)</f>
        <v>噴漆維修組</v>
      </c>
      <c r="N2096">
        <f>IF(交易處理資料__3[[#This Row],[上班時間]]=0,0,交易處理資料__3[[#This Row],[售出工時]]/交易處理資料__3[[#This Row],[上班時間]])</f>
        <v>0</v>
      </c>
      <c r="O2096" s="31" t="str">
        <f>IF(交易處理資料__3[[#This Row],[上班時間]]=0,"否","是")</f>
        <v>是</v>
      </c>
    </row>
    <row r="2097" spans="1:15" hidden="1">
      <c r="A2097" s="10" t="s">
        <v>73</v>
      </c>
      <c r="B2097" t="s">
        <v>4</v>
      </c>
      <c r="C2097">
        <v>0</v>
      </c>
      <c r="D2097">
        <v>0</v>
      </c>
      <c r="E2097" s="27">
        <v>0</v>
      </c>
      <c r="F2097">
        <v>7.23</v>
      </c>
      <c r="G2097">
        <v>0.92</v>
      </c>
      <c r="H2097">
        <v>8.15</v>
      </c>
      <c r="I2097">
        <v>88.71</v>
      </c>
      <c r="J2097">
        <v>0</v>
      </c>
      <c r="K2097" s="9">
        <v>45344</v>
      </c>
      <c r="L2097">
        <f xml:space="preserve"> (交易處理資料__3[[#This Row],[售出工時]] * 60) / 5</f>
        <v>0</v>
      </c>
      <c r="M2097" t="str">
        <f>VLOOKUP(交易處理資料__3[[#This Row],[人員代號]],團隊分組!$B$1:$C$52,2,FALSE)</f>
        <v>噴漆維修組</v>
      </c>
      <c r="N2097">
        <f>IF(交易處理資料__3[[#This Row],[上班時間]]=0,0,交易處理資料__3[[#This Row],[售出工時]]/交易處理資料__3[[#This Row],[上班時間]])</f>
        <v>0</v>
      </c>
      <c r="O2097" s="31" t="str">
        <f>IF(交易處理資料__3[[#This Row],[上班時間]]=0,"否","是")</f>
        <v>是</v>
      </c>
    </row>
    <row r="2098" spans="1:15" hidden="1">
      <c r="A2098" s="10" t="s">
        <v>73</v>
      </c>
      <c r="B2098" t="s">
        <v>5</v>
      </c>
      <c r="C2098">
        <v>0</v>
      </c>
      <c r="D2098">
        <v>0</v>
      </c>
      <c r="E2098" s="27">
        <v>0</v>
      </c>
      <c r="F2098">
        <v>9.68</v>
      </c>
      <c r="G2098">
        <v>0.33</v>
      </c>
      <c r="H2098">
        <v>10.01</v>
      </c>
      <c r="I2098">
        <v>96.7</v>
      </c>
      <c r="J2098">
        <v>0</v>
      </c>
      <c r="K2098" s="9">
        <v>45344</v>
      </c>
      <c r="L2098">
        <f xml:space="preserve"> (交易處理資料__3[[#This Row],[售出工時]] * 60) / 5</f>
        <v>0</v>
      </c>
      <c r="M2098" t="str">
        <f>VLOOKUP(交易處理資料__3[[#This Row],[人員代號]],團隊分組!$B$1:$C$52,2,FALSE)</f>
        <v>噴漆維修組</v>
      </c>
      <c r="N2098">
        <f>IF(交易處理資料__3[[#This Row],[上班時間]]=0,0,交易處理資料__3[[#This Row],[售出工時]]/交易處理資料__3[[#This Row],[上班時間]])</f>
        <v>0</v>
      </c>
      <c r="O2098" s="31" t="str">
        <f>IF(交易處理資料__3[[#This Row],[上班時間]]=0,"否","是")</f>
        <v>是</v>
      </c>
    </row>
    <row r="2099" spans="1:15" hidden="1">
      <c r="A2099" s="10" t="s">
        <v>73</v>
      </c>
      <c r="B2099" t="s">
        <v>6</v>
      </c>
      <c r="C2099">
        <v>0</v>
      </c>
      <c r="D2099">
        <v>0</v>
      </c>
      <c r="E2099" s="27">
        <v>0</v>
      </c>
      <c r="F2099">
        <v>10.3</v>
      </c>
      <c r="G2099">
        <v>0.22</v>
      </c>
      <c r="H2099">
        <v>10.52</v>
      </c>
      <c r="I2099">
        <v>97.91</v>
      </c>
      <c r="J2099">
        <v>0</v>
      </c>
      <c r="K2099" s="9">
        <v>45344</v>
      </c>
      <c r="L2099">
        <f xml:space="preserve"> (交易處理資料__3[[#This Row],[售出工時]] * 60) / 5</f>
        <v>0</v>
      </c>
      <c r="M2099" t="str">
        <f>VLOOKUP(交易處理資料__3[[#This Row],[人員代號]],團隊分組!$B$1:$C$52,2,FALSE)</f>
        <v>噴漆維修組</v>
      </c>
      <c r="N2099">
        <f>IF(交易處理資料__3[[#This Row],[上班時間]]=0,0,交易處理資料__3[[#This Row],[售出工時]]/交易處理資料__3[[#This Row],[上班時間]])</f>
        <v>0</v>
      </c>
      <c r="O2099" s="31" t="str">
        <f>IF(交易處理資料__3[[#This Row],[上班時間]]=0,"否","是")</f>
        <v>是</v>
      </c>
    </row>
    <row r="2100" spans="1:15" hidden="1">
      <c r="A2100" s="10" t="s">
        <v>73</v>
      </c>
      <c r="B2100" t="s">
        <v>7</v>
      </c>
      <c r="C2100">
        <v>0</v>
      </c>
      <c r="D2100">
        <v>0</v>
      </c>
      <c r="E2100" s="27">
        <v>0</v>
      </c>
      <c r="F2100">
        <v>10.210000000000001</v>
      </c>
      <c r="G2100">
        <v>0.22</v>
      </c>
      <c r="H2100">
        <v>10.43</v>
      </c>
      <c r="I2100">
        <v>97.89</v>
      </c>
      <c r="J2100">
        <v>0</v>
      </c>
      <c r="K2100" s="9">
        <v>45344</v>
      </c>
      <c r="L2100">
        <f xml:space="preserve"> (交易處理資料__3[[#This Row],[售出工時]] * 60) / 5</f>
        <v>0</v>
      </c>
      <c r="M2100" t="str">
        <f>VLOOKUP(交易處理資料__3[[#This Row],[人員代號]],團隊分組!$B$1:$C$52,2,FALSE)</f>
        <v>噴漆維修組</v>
      </c>
      <c r="N2100">
        <f>IF(交易處理資料__3[[#This Row],[上班時間]]=0,0,交易處理資料__3[[#This Row],[售出工時]]/交易處理資料__3[[#This Row],[上班時間]])</f>
        <v>0</v>
      </c>
      <c r="O2100" s="31" t="str">
        <f>IF(交易處理資料__3[[#This Row],[上班時間]]=0,"否","是")</f>
        <v>是</v>
      </c>
    </row>
    <row r="2101" spans="1:15" hidden="1">
      <c r="A2101" s="10" t="s">
        <v>73</v>
      </c>
      <c r="B2101" t="s">
        <v>8</v>
      </c>
      <c r="C2101">
        <v>0</v>
      </c>
      <c r="D2101">
        <v>0</v>
      </c>
      <c r="E2101" s="27">
        <v>0</v>
      </c>
      <c r="F2101">
        <v>7.21</v>
      </c>
      <c r="G2101">
        <v>0.94</v>
      </c>
      <c r="H2101">
        <v>8.15</v>
      </c>
      <c r="I2101">
        <v>88.47</v>
      </c>
      <c r="J2101">
        <v>0</v>
      </c>
      <c r="K2101" s="9">
        <v>45344</v>
      </c>
      <c r="L2101">
        <f xml:space="preserve"> (交易處理資料__3[[#This Row],[售出工時]] * 60) / 5</f>
        <v>0</v>
      </c>
      <c r="M2101" t="str">
        <f>VLOOKUP(交易處理資料__3[[#This Row],[人員代號]],團隊分組!$B$1:$C$52,2,FALSE)</f>
        <v>噴漆維修組</v>
      </c>
      <c r="N2101">
        <f>IF(交易處理資料__3[[#This Row],[上班時間]]=0,0,交易處理資料__3[[#This Row],[售出工時]]/交易處理資料__3[[#This Row],[上班時間]])</f>
        <v>0</v>
      </c>
      <c r="O2101" s="31" t="str">
        <f>IF(交易處理資料__3[[#This Row],[上班時間]]=0,"否","是")</f>
        <v>是</v>
      </c>
    </row>
    <row r="2102" spans="1:15" hidden="1">
      <c r="A2102" s="10" t="s">
        <v>73</v>
      </c>
      <c r="B2102" t="s">
        <v>9</v>
      </c>
      <c r="C2102">
        <v>4.5833333329999997</v>
      </c>
      <c r="D2102">
        <v>4.1900000000000004</v>
      </c>
      <c r="E2102" s="27">
        <v>109.3874304</v>
      </c>
      <c r="F2102">
        <v>7.25</v>
      </c>
      <c r="G2102">
        <v>0.88</v>
      </c>
      <c r="H2102">
        <v>8.1300000000000008</v>
      </c>
      <c r="I2102">
        <v>89.18</v>
      </c>
      <c r="J2102">
        <v>56.38</v>
      </c>
      <c r="K2102" s="9">
        <v>45344</v>
      </c>
      <c r="L2102">
        <f xml:space="preserve"> (交易處理資料__3[[#This Row],[售出工時]] * 60) / 5</f>
        <v>54.999999996</v>
      </c>
      <c r="M2102" t="str">
        <f>VLOOKUP(交易處理資料__3[[#This Row],[人員代號]],團隊分組!$B$1:$C$52,2,FALSE)</f>
        <v>噴漆維修組</v>
      </c>
      <c r="N2102">
        <f>IF(交易處理資料__3[[#This Row],[上班時間]]=0,0,交易處理資料__3[[#This Row],[售出工時]]/交易處理資料__3[[#This Row],[上班時間]])</f>
        <v>0.56375563751537505</v>
      </c>
      <c r="O2102" s="31" t="str">
        <f>IF(交易處理資料__3[[#This Row],[上班時間]]=0,"否","是")</f>
        <v>是</v>
      </c>
    </row>
    <row r="2103" spans="1:15" hidden="1">
      <c r="A2103" t="s">
        <v>74</v>
      </c>
      <c r="B2103" t="s">
        <v>11</v>
      </c>
      <c r="C2103">
        <v>0</v>
      </c>
      <c r="D2103">
        <v>0</v>
      </c>
      <c r="E2103" s="27">
        <v>0</v>
      </c>
      <c r="F2103">
        <v>6.42</v>
      </c>
      <c r="G2103">
        <v>1.67</v>
      </c>
      <c r="H2103">
        <v>8.09</v>
      </c>
      <c r="I2103">
        <v>79.36</v>
      </c>
      <c r="J2103">
        <v>0</v>
      </c>
      <c r="K2103" s="9">
        <v>45344</v>
      </c>
      <c r="L2103">
        <f xml:space="preserve"> (交易處理資料__3[[#This Row],[售出工時]] * 60) / 5</f>
        <v>0</v>
      </c>
      <c r="M2103" t="str">
        <f>VLOOKUP(交易處理資料__3[[#This Row],[人員代號]],團隊分組!$B$1:$C$52,2,FALSE)</f>
        <v>鈑金維修組</v>
      </c>
      <c r="N2103">
        <f>IF(交易處理資料__3[[#This Row],[上班時間]]=0,0,交易處理資料__3[[#This Row],[售出工時]]/交易處理資料__3[[#This Row],[上班時間]])</f>
        <v>0</v>
      </c>
      <c r="O2103" s="31" t="str">
        <f>IF(交易處理資料__3[[#This Row],[上班時間]]=0,"否","是")</f>
        <v>是</v>
      </c>
    </row>
    <row r="2104" spans="1:15" hidden="1">
      <c r="A2104" t="s">
        <v>74</v>
      </c>
      <c r="B2104" t="s">
        <v>12</v>
      </c>
      <c r="C2104">
        <v>6.8333333329999997</v>
      </c>
      <c r="D2104">
        <v>2.35</v>
      </c>
      <c r="E2104" s="27">
        <v>290.78014180000002</v>
      </c>
      <c r="F2104">
        <v>6.67</v>
      </c>
      <c r="G2104">
        <v>3.46</v>
      </c>
      <c r="H2104">
        <v>10.130000000000001</v>
      </c>
      <c r="I2104">
        <v>65.84</v>
      </c>
      <c r="J2104">
        <v>67.459999999999994</v>
      </c>
      <c r="K2104" s="9">
        <v>45344</v>
      </c>
      <c r="L2104">
        <f xml:space="preserve"> (交易處理資料__3[[#This Row],[售出工時]] * 60) / 5</f>
        <v>81.999999996</v>
      </c>
      <c r="M2104" t="str">
        <f>VLOOKUP(交易處理資料__3[[#This Row],[人員代號]],團隊分組!$B$1:$C$52,2,FALSE)</f>
        <v>鈑金維修組</v>
      </c>
      <c r="N2104">
        <f>IF(交易處理資料__3[[#This Row],[上班時間]]=0,0,交易處理資料__3[[#This Row],[售出工時]]/交易處理資料__3[[#This Row],[上班時間]])</f>
        <v>0.67456400128331684</v>
      </c>
      <c r="O2104" s="31" t="str">
        <f>IF(交易處理資料__3[[#This Row],[上班時間]]=0,"否","是")</f>
        <v>是</v>
      </c>
    </row>
    <row r="2105" spans="1:15" hidden="1">
      <c r="A2105" t="s">
        <v>74</v>
      </c>
      <c r="B2105" t="s">
        <v>13</v>
      </c>
      <c r="C2105">
        <v>0</v>
      </c>
      <c r="D2105">
        <v>0</v>
      </c>
      <c r="E2105" s="27">
        <v>0</v>
      </c>
      <c r="F2105">
        <v>7.05</v>
      </c>
      <c r="G2105">
        <v>1.8</v>
      </c>
      <c r="H2105">
        <v>8.85</v>
      </c>
      <c r="I2105">
        <v>79.66</v>
      </c>
      <c r="J2105">
        <v>0</v>
      </c>
      <c r="K2105" s="9">
        <v>45344</v>
      </c>
      <c r="L2105">
        <f xml:space="preserve"> (交易處理資料__3[[#This Row],[售出工時]] * 60) / 5</f>
        <v>0</v>
      </c>
      <c r="M2105" t="str">
        <f>VLOOKUP(交易處理資料__3[[#This Row],[人員代號]],團隊分組!$B$1:$C$52,2,FALSE)</f>
        <v>鈑金維修組</v>
      </c>
      <c r="N2105">
        <f>IF(交易處理資料__3[[#This Row],[上班時間]]=0,0,交易處理資料__3[[#This Row],[售出工時]]/交易處理資料__3[[#This Row],[上班時間]])</f>
        <v>0</v>
      </c>
      <c r="O2105" s="31" t="str">
        <f>IF(交易處理資料__3[[#This Row],[上班時間]]=0,"否","是")</f>
        <v>是</v>
      </c>
    </row>
    <row r="2106" spans="1:15" hidden="1">
      <c r="A2106" t="s">
        <v>74</v>
      </c>
      <c r="B2106" t="s">
        <v>14</v>
      </c>
      <c r="C2106">
        <v>4.4166666670000003</v>
      </c>
      <c r="D2106">
        <v>3.7</v>
      </c>
      <c r="E2106" s="27">
        <v>119.3693694</v>
      </c>
      <c r="F2106">
        <v>3.76</v>
      </c>
      <c r="G2106">
        <v>5.86</v>
      </c>
      <c r="H2106">
        <v>9.6199999999999992</v>
      </c>
      <c r="I2106">
        <v>39.090000000000003</v>
      </c>
      <c r="J2106">
        <v>45.91</v>
      </c>
      <c r="K2106" s="9">
        <v>45344</v>
      </c>
      <c r="L2106">
        <f xml:space="preserve"> (交易處理資料__3[[#This Row],[售出工時]] * 60) / 5</f>
        <v>53.000000004</v>
      </c>
      <c r="M2106" t="str">
        <f>VLOOKUP(交易處理資料__3[[#This Row],[人員代號]],團隊分組!$B$1:$C$52,2,FALSE)</f>
        <v>鈑金維修組</v>
      </c>
      <c r="N2106">
        <f>IF(交易處理資料__3[[#This Row],[上班時間]]=0,0,交易處理資料__3[[#This Row],[售出工時]]/交易處理資料__3[[#This Row],[上班時間]])</f>
        <v>0.45911295914760925</v>
      </c>
      <c r="O2106" s="31" t="str">
        <f>IF(交易處理資料__3[[#This Row],[上班時間]]=0,"否","是")</f>
        <v>是</v>
      </c>
    </row>
    <row r="2107" spans="1:15" hidden="1">
      <c r="A2107" t="s">
        <v>74</v>
      </c>
      <c r="B2107" t="s">
        <v>15</v>
      </c>
      <c r="C2107">
        <v>0</v>
      </c>
      <c r="D2107">
        <v>0</v>
      </c>
      <c r="E2107" s="27">
        <v>0</v>
      </c>
      <c r="F2107">
        <v>3.75</v>
      </c>
      <c r="G2107">
        <v>5.88</v>
      </c>
      <c r="H2107">
        <v>9.6300000000000008</v>
      </c>
      <c r="I2107">
        <v>38.94</v>
      </c>
      <c r="J2107">
        <v>0</v>
      </c>
      <c r="K2107" s="9">
        <v>45344</v>
      </c>
      <c r="L2107">
        <f xml:space="preserve"> (交易處理資料__3[[#This Row],[售出工時]] * 60) / 5</f>
        <v>0</v>
      </c>
      <c r="M2107" t="str">
        <f>VLOOKUP(交易處理資料__3[[#This Row],[人員代號]],團隊分組!$B$1:$C$52,2,FALSE)</f>
        <v>鈑金維修組</v>
      </c>
      <c r="N2107">
        <f>IF(交易處理資料__3[[#This Row],[上班時間]]=0,0,交易處理資料__3[[#This Row],[售出工時]]/交易處理資料__3[[#This Row],[上班時間]])</f>
        <v>0</v>
      </c>
      <c r="O2107" s="31" t="str">
        <f>IF(交易處理資料__3[[#This Row],[上班時間]]=0,"否","是")</f>
        <v>是</v>
      </c>
    </row>
    <row r="2108" spans="1:15" hidden="1">
      <c r="A2108" t="s">
        <v>75</v>
      </c>
      <c r="B2108" t="s">
        <v>18</v>
      </c>
      <c r="C2108">
        <v>7.25</v>
      </c>
      <c r="D2108">
        <v>8.07</v>
      </c>
      <c r="E2108" s="27">
        <v>89.838909540000003</v>
      </c>
      <c r="F2108">
        <v>8.4499999999999993</v>
      </c>
      <c r="G2108">
        <v>1.1200000000000001</v>
      </c>
      <c r="H2108">
        <v>9.57</v>
      </c>
      <c r="I2108">
        <v>88.3</v>
      </c>
      <c r="J2108">
        <v>75.760000000000005</v>
      </c>
      <c r="K2108" s="9">
        <v>45344</v>
      </c>
      <c r="L2108">
        <f xml:space="preserve"> (交易處理資料__3[[#This Row],[售出工時]] * 60) / 5</f>
        <v>87</v>
      </c>
      <c r="M2108" t="str">
        <f>VLOOKUP(交易處理資料__3[[#This Row],[人員代號]],團隊分組!$B$1:$C$52,2,FALSE)</f>
        <v>查修團隊B</v>
      </c>
      <c r="N2108">
        <f>IF(交易處理資料__3[[#This Row],[上班時間]]=0,0,交易處理資料__3[[#This Row],[售出工時]]/交易處理資料__3[[#This Row],[上班時間]])</f>
        <v>0.75757575757575757</v>
      </c>
      <c r="O2108" s="31" t="str">
        <f>IF(交易處理資料__3[[#This Row],[上班時間]]=0,"否","是")</f>
        <v>是</v>
      </c>
    </row>
    <row r="2109" spans="1:15" hidden="1">
      <c r="A2109" t="s">
        <v>75</v>
      </c>
      <c r="B2109" t="s">
        <v>19</v>
      </c>
      <c r="C2109">
        <v>3.12</v>
      </c>
      <c r="D2109">
        <v>3.79</v>
      </c>
      <c r="E2109" s="27">
        <v>82.321899740000006</v>
      </c>
      <c r="F2109">
        <v>7.49</v>
      </c>
      <c r="G2109">
        <v>0.28000000000000003</v>
      </c>
      <c r="H2109">
        <v>7.77</v>
      </c>
      <c r="I2109">
        <v>96.4</v>
      </c>
      <c r="J2109">
        <v>40.15</v>
      </c>
      <c r="K2109" s="9">
        <v>45344</v>
      </c>
      <c r="L2109">
        <f xml:space="preserve"> (交易處理資料__3[[#This Row],[售出工時]] * 60) / 5</f>
        <v>37.440000000000005</v>
      </c>
      <c r="M2109" t="str">
        <f>VLOOKUP(交易處理資料__3[[#This Row],[人員代號]],團隊分組!$B$1:$C$52,2,FALSE)</f>
        <v>查修團隊A</v>
      </c>
      <c r="N2109">
        <f>IF(交易處理資料__3[[#This Row],[上班時間]]=0,0,交易處理資料__3[[#This Row],[售出工時]]/交易處理資料__3[[#This Row],[上班時間]])</f>
        <v>0.40154440154440157</v>
      </c>
      <c r="O2109" s="31" t="str">
        <f>IF(交易處理資料__3[[#This Row],[上班時間]]=0,"否","是")</f>
        <v>是</v>
      </c>
    </row>
    <row r="2110" spans="1:15" hidden="1">
      <c r="A2110" t="s">
        <v>75</v>
      </c>
      <c r="B2110" t="s">
        <v>21</v>
      </c>
      <c r="C2110">
        <v>6.5833333329999997</v>
      </c>
      <c r="D2110">
        <v>7.71</v>
      </c>
      <c r="E2110" s="27">
        <v>85.386943360000004</v>
      </c>
      <c r="F2110">
        <v>8.66</v>
      </c>
      <c r="G2110">
        <v>2.81</v>
      </c>
      <c r="H2110">
        <v>11.47</v>
      </c>
      <c r="I2110">
        <v>75.5</v>
      </c>
      <c r="J2110">
        <v>57.4</v>
      </c>
      <c r="K2110" s="9">
        <v>45344</v>
      </c>
      <c r="L2110">
        <f xml:space="preserve"> (交易處理資料__3[[#This Row],[售出工時]] * 60) / 5</f>
        <v>78.999999996</v>
      </c>
      <c r="M2110" t="str">
        <f>VLOOKUP(交易處理資料__3[[#This Row],[人員代號]],團隊分組!$B$1:$C$52,2,FALSE)</f>
        <v>查修團隊B</v>
      </c>
      <c r="N2110">
        <f>IF(交易處理資料__3[[#This Row],[上班時間]]=0,0,交易處理資料__3[[#This Row],[售出工時]]/交易處理資料__3[[#This Row],[上班時間]])</f>
        <v>0.57396105780296425</v>
      </c>
      <c r="O2110" s="31" t="str">
        <f>IF(交易處理資料__3[[#This Row],[上班時間]]=0,"否","是")</f>
        <v>是</v>
      </c>
    </row>
    <row r="2111" spans="1:15" hidden="1">
      <c r="A2111" t="s">
        <v>75</v>
      </c>
      <c r="B2111" t="s">
        <v>22</v>
      </c>
      <c r="C2111">
        <v>11.553333329999999</v>
      </c>
      <c r="D2111">
        <v>7.59</v>
      </c>
      <c r="E2111" s="27">
        <v>152.21783049999999</v>
      </c>
      <c r="F2111">
        <v>7.8</v>
      </c>
      <c r="G2111">
        <v>0.13</v>
      </c>
      <c r="H2111">
        <v>7.93</v>
      </c>
      <c r="I2111">
        <v>98.36</v>
      </c>
      <c r="J2111">
        <v>145.69</v>
      </c>
      <c r="K2111" s="9">
        <v>45344</v>
      </c>
      <c r="L2111">
        <f xml:space="preserve"> (交易處理資料__3[[#This Row],[售出工時]] * 60) / 5</f>
        <v>138.63999996000001</v>
      </c>
      <c r="M2111" t="str">
        <f>VLOOKUP(交易處理資料__3[[#This Row],[人員代號]],團隊分組!$B$1:$C$52,2,FALSE)</f>
        <v>快速保養團隊A</v>
      </c>
      <c r="N2111">
        <f>IF(交易處理資料__3[[#This Row],[上班時間]]=0,0,交易處理資料__3[[#This Row],[售出工時]]/交易處理資料__3[[#This Row],[上班時間]])</f>
        <v>1.4569146696090793</v>
      </c>
      <c r="O2111" s="31" t="str">
        <f>IF(交易處理資料__3[[#This Row],[上班時間]]=0,"否","是")</f>
        <v>是</v>
      </c>
    </row>
    <row r="2112" spans="1:15" hidden="1">
      <c r="A2112" t="s">
        <v>75</v>
      </c>
      <c r="B2112" t="s">
        <v>23</v>
      </c>
      <c r="C2112">
        <v>5.0633333330000001</v>
      </c>
      <c r="D2112">
        <v>5.6</v>
      </c>
      <c r="E2112" s="27">
        <v>90.416666669999998</v>
      </c>
      <c r="F2112">
        <v>10.38</v>
      </c>
      <c r="G2112">
        <v>0.44</v>
      </c>
      <c r="H2112">
        <v>10.82</v>
      </c>
      <c r="I2112">
        <v>95.93</v>
      </c>
      <c r="J2112">
        <v>46.8</v>
      </c>
      <c r="K2112" s="9">
        <v>45344</v>
      </c>
      <c r="L2112">
        <f xml:space="preserve"> (交易處理資料__3[[#This Row],[售出工時]] * 60) / 5</f>
        <v>60.759999995999998</v>
      </c>
      <c r="M2112" t="str">
        <f>VLOOKUP(交易處理資料__3[[#This Row],[人員代號]],團隊分組!$B$1:$C$52,2,FALSE)</f>
        <v>快速保養團隊B</v>
      </c>
      <c r="N2112">
        <f>IF(交易處理資料__3[[#This Row],[上班時間]]=0,0,交易處理資料__3[[#This Row],[售出工時]]/交易處理資料__3[[#This Row],[上班時間]])</f>
        <v>0.46796056682070242</v>
      </c>
      <c r="O2112" s="31" t="str">
        <f>IF(交易處理資料__3[[#This Row],[上班時間]]=0,"否","是")</f>
        <v>是</v>
      </c>
    </row>
    <row r="2113" spans="1:15" hidden="1">
      <c r="A2113" t="s">
        <v>75</v>
      </c>
      <c r="B2113" t="s">
        <v>24</v>
      </c>
      <c r="C2113">
        <v>11.213333329999999</v>
      </c>
      <c r="D2113">
        <v>8.2899999999999991</v>
      </c>
      <c r="E2113" s="27">
        <v>135.26336950000001</v>
      </c>
      <c r="F2113">
        <v>8.73</v>
      </c>
      <c r="G2113">
        <v>0.46</v>
      </c>
      <c r="H2113">
        <v>9.19</v>
      </c>
      <c r="I2113">
        <v>94.99</v>
      </c>
      <c r="J2113">
        <v>122.02</v>
      </c>
      <c r="K2113" s="9">
        <v>45344</v>
      </c>
      <c r="L2113">
        <f xml:space="preserve"> (交易處理資料__3[[#This Row],[售出工時]] * 60) / 5</f>
        <v>134.55999995999997</v>
      </c>
      <c r="M2113" t="str">
        <f>VLOOKUP(交易處理資料__3[[#This Row],[人員代號]],團隊分組!$B$1:$C$52,2,FALSE)</f>
        <v>快速保養團隊A</v>
      </c>
      <c r="N2113">
        <f>IF(交易處理資料__3[[#This Row],[上班時間]]=0,0,交易處理資料__3[[#This Row],[售出工時]]/交易處理資料__3[[#This Row],[上班時間]])</f>
        <v>1.2201668476605005</v>
      </c>
      <c r="O2113" s="31" t="str">
        <f>IF(交易處理資料__3[[#This Row],[上班時間]]=0,"否","是")</f>
        <v>是</v>
      </c>
    </row>
    <row r="2114" spans="1:15" hidden="1">
      <c r="A2114" t="s">
        <v>75</v>
      </c>
      <c r="B2114" t="s">
        <v>26</v>
      </c>
      <c r="C2114">
        <v>2.6666666669999999</v>
      </c>
      <c r="D2114">
        <v>4.8899999999999997</v>
      </c>
      <c r="E2114" s="27">
        <v>54.533060669999998</v>
      </c>
      <c r="F2114">
        <v>1.8</v>
      </c>
      <c r="G2114">
        <v>9.2100000000000009</v>
      </c>
      <c r="H2114">
        <v>11.01</v>
      </c>
      <c r="I2114">
        <v>16.350000000000001</v>
      </c>
      <c r="J2114">
        <v>24.22</v>
      </c>
      <c r="K2114" s="9">
        <v>45344</v>
      </c>
      <c r="L2114">
        <f xml:space="preserve"> (交易處理資料__3[[#This Row],[售出工時]] * 60) / 5</f>
        <v>32.000000004</v>
      </c>
      <c r="M2114" t="str">
        <f>VLOOKUP(交易處理資料__3[[#This Row],[人員代號]],團隊分組!$B$1:$C$52,2,FALSE)</f>
        <v>查修團隊B</v>
      </c>
      <c r="N2114">
        <f>IF(交易處理資料__3[[#This Row],[上班時間]]=0,0,交易處理資料__3[[#This Row],[售出工時]]/交易處理資料__3[[#This Row],[上班時間]])</f>
        <v>0.24220405694822889</v>
      </c>
      <c r="O2114" s="31" t="str">
        <f>IF(交易處理資料__3[[#This Row],[上班時間]]=0,"否","是")</f>
        <v>是</v>
      </c>
    </row>
    <row r="2115" spans="1:15" hidden="1">
      <c r="A2115" t="s">
        <v>75</v>
      </c>
      <c r="B2115" t="s">
        <v>28</v>
      </c>
      <c r="C2115">
        <v>7.21</v>
      </c>
      <c r="D2115">
        <v>6.97</v>
      </c>
      <c r="E2115" s="27">
        <v>103.4433286</v>
      </c>
      <c r="F2115">
        <v>7.98</v>
      </c>
      <c r="G2115">
        <v>0.5</v>
      </c>
      <c r="H2115">
        <v>8.48</v>
      </c>
      <c r="I2115">
        <v>94.1</v>
      </c>
      <c r="J2115">
        <v>85.02</v>
      </c>
      <c r="K2115" s="9">
        <v>45344</v>
      </c>
      <c r="L2115">
        <f xml:space="preserve"> (交易處理資料__3[[#This Row],[售出工時]] * 60) / 5</f>
        <v>86.52000000000001</v>
      </c>
      <c r="M2115" t="str">
        <f>VLOOKUP(交易處理資料__3[[#This Row],[人員代號]],團隊分組!$B$1:$C$52,2,FALSE)</f>
        <v>快速保養團隊A</v>
      </c>
      <c r="N2115">
        <f>IF(交易處理資料__3[[#This Row],[上班時間]]=0,0,交易處理資料__3[[#This Row],[售出工時]]/交易處理資料__3[[#This Row],[上班時間]])</f>
        <v>0.85023584905660377</v>
      </c>
      <c r="O2115" s="31" t="str">
        <f>IF(交易處理資料__3[[#This Row],[上班時間]]=0,"否","是")</f>
        <v>是</v>
      </c>
    </row>
    <row r="2116" spans="1:15" hidden="1">
      <c r="A2116" t="s">
        <v>75</v>
      </c>
      <c r="B2116" t="s">
        <v>29</v>
      </c>
      <c r="C2116">
        <v>0</v>
      </c>
      <c r="D2116">
        <v>0</v>
      </c>
      <c r="E2116" s="27">
        <v>0</v>
      </c>
      <c r="F2116">
        <v>9.25</v>
      </c>
      <c r="G2116">
        <v>1.73</v>
      </c>
      <c r="H2116">
        <v>10.98</v>
      </c>
      <c r="I2116">
        <v>84.24</v>
      </c>
      <c r="J2116">
        <v>0</v>
      </c>
      <c r="K2116" s="9">
        <v>45344</v>
      </c>
      <c r="L2116">
        <f xml:space="preserve"> (交易處理資料__3[[#This Row],[售出工時]] * 60) / 5</f>
        <v>0</v>
      </c>
      <c r="M2116" t="str">
        <f>VLOOKUP(交易處理資料__3[[#This Row],[人員代號]],團隊分組!$B$1:$C$52,2,FALSE)</f>
        <v>查修團隊B</v>
      </c>
      <c r="N2116">
        <f>IF(交易處理資料__3[[#This Row],[上班時間]]=0,0,交易處理資料__3[[#This Row],[售出工時]]/交易處理資料__3[[#This Row],[上班時間]])</f>
        <v>0</v>
      </c>
      <c r="O2116" s="31" t="str">
        <f>IF(交易處理資料__3[[#This Row],[上班時間]]=0,"否","是")</f>
        <v>是</v>
      </c>
    </row>
    <row r="2117" spans="1:15" hidden="1">
      <c r="A2117" t="s">
        <v>75</v>
      </c>
      <c r="B2117" t="s">
        <v>32</v>
      </c>
      <c r="C2117">
        <v>10.19</v>
      </c>
      <c r="D2117">
        <v>7.33</v>
      </c>
      <c r="E2117" s="27">
        <v>139.0177353</v>
      </c>
      <c r="F2117">
        <v>10.66</v>
      </c>
      <c r="G2117">
        <v>0.14000000000000001</v>
      </c>
      <c r="H2117">
        <v>10.8</v>
      </c>
      <c r="I2117">
        <v>98.7</v>
      </c>
      <c r="J2117">
        <v>94.35</v>
      </c>
      <c r="K2117" s="9">
        <v>45344</v>
      </c>
      <c r="L2117">
        <f xml:space="preserve"> (交易處理資料__3[[#This Row],[售出工時]] * 60) / 5</f>
        <v>122.28</v>
      </c>
      <c r="M2117" t="str">
        <f>VLOOKUP(交易處理資料__3[[#This Row],[人員代號]],團隊分組!$B$1:$C$52,2,FALSE)</f>
        <v>快速保養團隊B</v>
      </c>
      <c r="N2117">
        <f>IF(交易處理資料__3[[#This Row],[上班時間]]=0,0,交易處理資料__3[[#This Row],[售出工時]]/交易處理資料__3[[#This Row],[上班時間]])</f>
        <v>0.94351851851851842</v>
      </c>
      <c r="O2117" s="31" t="str">
        <f>IF(交易處理資料__3[[#This Row],[上班時間]]=0,"否","是")</f>
        <v>是</v>
      </c>
    </row>
    <row r="2118" spans="1:15">
      <c r="A2118" t="s">
        <v>75</v>
      </c>
      <c r="B2118" t="s">
        <v>33</v>
      </c>
      <c r="C2118">
        <v>0</v>
      </c>
      <c r="D2118">
        <v>0</v>
      </c>
      <c r="E2118" s="27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 s="9">
        <v>45344</v>
      </c>
      <c r="L2118">
        <f xml:space="preserve"> (交易處理資料__3[[#This Row],[售出工時]] * 60) / 5</f>
        <v>0</v>
      </c>
      <c r="M2118" t="str">
        <f>VLOOKUP(交易處理資料__3[[#This Row],[人員代號]],團隊分組!$B$1:$C$52,2,FALSE)</f>
        <v>快速保養團隊B</v>
      </c>
      <c r="N2118">
        <f>IF(交易處理資料__3[[#This Row],[上班時間]]=0,0,交易處理資料__3[[#This Row],[售出工時]]/交易處理資料__3[[#This Row],[上班時間]])</f>
        <v>0</v>
      </c>
      <c r="O2118" s="31" t="str">
        <f>IF(交易處理資料__3[[#This Row],[上班時間]]=0,"否","是")</f>
        <v>否</v>
      </c>
    </row>
    <row r="2119" spans="1:15" hidden="1">
      <c r="A2119" t="s">
        <v>75</v>
      </c>
      <c r="B2119" t="s">
        <v>34</v>
      </c>
      <c r="C2119">
        <v>7.8333333329999997</v>
      </c>
      <c r="D2119">
        <v>6.27</v>
      </c>
      <c r="E2119" s="27">
        <v>124.93354600000001</v>
      </c>
      <c r="F2119">
        <v>8.09</v>
      </c>
      <c r="G2119">
        <v>0.18</v>
      </c>
      <c r="H2119">
        <v>8.27</v>
      </c>
      <c r="I2119">
        <v>97.82</v>
      </c>
      <c r="J2119">
        <v>94.72</v>
      </c>
      <c r="K2119" s="9">
        <v>45344</v>
      </c>
      <c r="L2119">
        <f xml:space="preserve"> (交易處理資料__3[[#This Row],[售出工時]] * 60) / 5</f>
        <v>93.999999996</v>
      </c>
      <c r="M2119" t="str">
        <f>VLOOKUP(交易處理資料__3[[#This Row],[人員代號]],團隊分組!$B$1:$C$52,2,FALSE)</f>
        <v>快速保養團隊A</v>
      </c>
      <c r="N2119">
        <f>IF(交易處理資料__3[[#This Row],[上班時間]]=0,0,交易處理資料__3[[#This Row],[售出工時]]/交易處理資料__3[[#This Row],[上班時間]])</f>
        <v>0.9471987101571947</v>
      </c>
      <c r="O2119" s="31" t="str">
        <f>IF(交易處理資料__3[[#This Row],[上班時間]]=0,"否","是")</f>
        <v>是</v>
      </c>
    </row>
    <row r="2120" spans="1:15" hidden="1">
      <c r="A2120" t="s">
        <v>75</v>
      </c>
      <c r="B2120" t="s">
        <v>37</v>
      </c>
      <c r="C2120">
        <v>2.75</v>
      </c>
      <c r="D2120">
        <v>3.4</v>
      </c>
      <c r="E2120" s="27">
        <v>80.882352940000004</v>
      </c>
      <c r="F2120">
        <v>7.53</v>
      </c>
      <c r="G2120">
        <v>2.2999999999999998</v>
      </c>
      <c r="H2120">
        <v>9.83</v>
      </c>
      <c r="I2120">
        <v>76.599999999999994</v>
      </c>
      <c r="J2120">
        <v>27.98</v>
      </c>
      <c r="K2120" s="9">
        <v>45344</v>
      </c>
      <c r="L2120">
        <f xml:space="preserve"> (交易處理資料__3[[#This Row],[售出工時]] * 60) / 5</f>
        <v>33</v>
      </c>
      <c r="M2120" t="str">
        <f>VLOOKUP(交易處理資料__3[[#This Row],[人員代號]],團隊分組!$B$1:$C$52,2,FALSE)</f>
        <v>查修團隊A</v>
      </c>
      <c r="N2120">
        <f>IF(交易處理資料__3[[#This Row],[上班時間]]=0,0,交易處理資料__3[[#This Row],[售出工時]]/交易處理資料__3[[#This Row],[上班時間]])</f>
        <v>0.27975584944048831</v>
      </c>
      <c r="O2120" s="31" t="str">
        <f>IF(交易處理資料__3[[#This Row],[上班時間]]=0,"否","是")</f>
        <v>是</v>
      </c>
    </row>
    <row r="2121" spans="1:15" hidden="1">
      <c r="A2121" t="s">
        <v>75</v>
      </c>
      <c r="B2121" t="s">
        <v>38</v>
      </c>
      <c r="C2121">
        <v>0</v>
      </c>
      <c r="D2121">
        <v>0</v>
      </c>
      <c r="E2121" s="27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 s="9">
        <v>45344</v>
      </c>
      <c r="L2121">
        <f xml:space="preserve"> (交易處理資料__3[[#This Row],[售出工時]] * 60) / 5</f>
        <v>0</v>
      </c>
      <c r="M2121" t="str">
        <f>VLOOKUP(交易處理資料__3[[#This Row],[人員代號]],團隊分組!$B$1:$C$52,2,FALSE)</f>
        <v>快速保養團隊A</v>
      </c>
      <c r="N2121">
        <f>IF(交易處理資料__3[[#This Row],[上班時間]]=0,0,交易處理資料__3[[#This Row],[售出工時]]/交易處理資料__3[[#This Row],[上班時間]])</f>
        <v>0</v>
      </c>
      <c r="O2121" s="31" t="str">
        <f>IF(交易處理資料__3[[#This Row],[上班時間]]=0,"否","是")</f>
        <v>否</v>
      </c>
    </row>
    <row r="2122" spans="1:15" hidden="1">
      <c r="A2122" t="s">
        <v>75</v>
      </c>
      <c r="B2122" t="s">
        <v>39</v>
      </c>
      <c r="C2122">
        <v>3.0833333330000001</v>
      </c>
      <c r="D2122">
        <v>3.92</v>
      </c>
      <c r="E2122" s="27">
        <v>78.656462590000004</v>
      </c>
      <c r="F2122">
        <v>8.1199999999999992</v>
      </c>
      <c r="G2122">
        <v>1.93</v>
      </c>
      <c r="H2122">
        <v>10.050000000000001</v>
      </c>
      <c r="I2122">
        <v>80.8</v>
      </c>
      <c r="J2122">
        <v>30.68</v>
      </c>
      <c r="K2122" s="9">
        <v>45344</v>
      </c>
      <c r="L2122">
        <f xml:space="preserve"> (交易處理資料__3[[#This Row],[售出工時]] * 60) / 5</f>
        <v>36.999999996</v>
      </c>
      <c r="M2122" t="str">
        <f>VLOOKUP(交易處理資料__3[[#This Row],[人員代號]],團隊分組!$B$1:$C$52,2,FALSE)</f>
        <v>查修團隊A</v>
      </c>
      <c r="N2122">
        <f>IF(交易處理資料__3[[#This Row],[上班時間]]=0,0,交易處理資料__3[[#This Row],[售出工時]]/交易處理資料__3[[#This Row],[上班時間]])</f>
        <v>0.30679933661691539</v>
      </c>
      <c r="O2122" s="31" t="str">
        <f>IF(交易處理資料__3[[#This Row],[上班時間]]=0,"否","是")</f>
        <v>是</v>
      </c>
    </row>
    <row r="2123" spans="1:15" hidden="1">
      <c r="A2123" t="s">
        <v>75</v>
      </c>
      <c r="B2123" t="s">
        <v>40</v>
      </c>
      <c r="C2123">
        <v>5.75</v>
      </c>
      <c r="D2123">
        <v>5.54</v>
      </c>
      <c r="E2123" s="27">
        <v>103.79061369999999</v>
      </c>
      <c r="F2123">
        <v>7.37</v>
      </c>
      <c r="G2123">
        <v>0.99</v>
      </c>
      <c r="H2123">
        <v>8.36</v>
      </c>
      <c r="I2123">
        <v>88.16</v>
      </c>
      <c r="J2123">
        <v>68.78</v>
      </c>
      <c r="K2123" s="9">
        <v>45344</v>
      </c>
      <c r="L2123">
        <f xml:space="preserve"> (交易處理資料__3[[#This Row],[售出工時]] * 60) / 5</f>
        <v>69</v>
      </c>
      <c r="M2123" t="str">
        <f>VLOOKUP(交易處理資料__3[[#This Row],[人員代號]],團隊分組!$B$1:$C$52,2,FALSE)</f>
        <v>查修團隊A</v>
      </c>
      <c r="N2123">
        <f>IF(交易處理資料__3[[#This Row],[上班時間]]=0,0,交易處理資料__3[[#This Row],[售出工時]]/交易處理資料__3[[#This Row],[上班時間]])</f>
        <v>0.68779904306220097</v>
      </c>
      <c r="O2123" s="31" t="str">
        <f>IF(交易處理資料__3[[#This Row],[上班時間]]=0,"否","是")</f>
        <v>是</v>
      </c>
    </row>
    <row r="2124" spans="1:15" hidden="1">
      <c r="A2124" t="s">
        <v>75</v>
      </c>
      <c r="B2124" t="s">
        <v>41</v>
      </c>
      <c r="C2124">
        <v>10.75</v>
      </c>
      <c r="D2124">
        <v>4.84</v>
      </c>
      <c r="E2124" s="27">
        <v>222.107438</v>
      </c>
      <c r="F2124">
        <v>9.1</v>
      </c>
      <c r="G2124">
        <v>0.26</v>
      </c>
      <c r="H2124">
        <v>9.36</v>
      </c>
      <c r="I2124">
        <v>97.22</v>
      </c>
      <c r="J2124">
        <v>114.85</v>
      </c>
      <c r="K2124" s="9">
        <v>45344</v>
      </c>
      <c r="L2124">
        <f xml:space="preserve"> (交易處理資料__3[[#This Row],[售出工時]] * 60) / 5</f>
        <v>129</v>
      </c>
      <c r="M2124" t="str">
        <f>VLOOKUP(交易處理資料__3[[#This Row],[人員代號]],團隊分組!$B$1:$C$52,2,FALSE)</f>
        <v>快速保養團隊A</v>
      </c>
      <c r="N2124">
        <f>IF(交易處理資料__3[[#This Row],[上班時間]]=0,0,交易處理資料__3[[#This Row],[售出工時]]/交易處理資料__3[[#This Row],[上班時間]])</f>
        <v>1.1485042735042736</v>
      </c>
      <c r="O2124" s="31" t="str">
        <f>IF(交易處理資料__3[[#This Row],[上班時間]]=0,"否","是")</f>
        <v>是</v>
      </c>
    </row>
    <row r="2125" spans="1:15" hidden="1">
      <c r="A2125" t="s">
        <v>75</v>
      </c>
      <c r="B2125" t="s">
        <v>43</v>
      </c>
      <c r="C2125">
        <v>7.5833333329999997</v>
      </c>
      <c r="D2125">
        <v>6.72</v>
      </c>
      <c r="E2125" s="27">
        <v>112.8472222</v>
      </c>
      <c r="F2125">
        <v>6.65</v>
      </c>
      <c r="G2125">
        <v>2.36</v>
      </c>
      <c r="H2125">
        <v>9.01</v>
      </c>
      <c r="I2125">
        <v>73.81</v>
      </c>
      <c r="J2125">
        <v>84.17</v>
      </c>
      <c r="K2125" s="9">
        <v>45344</v>
      </c>
      <c r="L2125">
        <f xml:space="preserve"> (交易處理資料__3[[#This Row],[售出工時]] * 60) / 5</f>
        <v>90.999999996</v>
      </c>
      <c r="M2125" t="str">
        <f>VLOOKUP(交易處理資料__3[[#This Row],[人員代號]],團隊分組!$B$1:$C$52,2,FALSE)</f>
        <v>查修團隊B</v>
      </c>
      <c r="N2125">
        <f>IF(交易處理資料__3[[#This Row],[上班時間]]=0,0,交易處理資料__3[[#This Row],[售出工時]]/交易處理資料__3[[#This Row],[上班時間]])</f>
        <v>0.84165741764705881</v>
      </c>
      <c r="O2125" s="31" t="str">
        <f>IF(交易處理資料__3[[#This Row],[上班時間]]=0,"否","是")</f>
        <v>是</v>
      </c>
    </row>
    <row r="2126" spans="1:15" hidden="1">
      <c r="A2126" t="s">
        <v>75</v>
      </c>
      <c r="B2126" t="s">
        <v>46</v>
      </c>
      <c r="C2126">
        <v>3.8333333330000001</v>
      </c>
      <c r="D2126">
        <v>1.68</v>
      </c>
      <c r="E2126" s="27">
        <v>228.17460320000001</v>
      </c>
      <c r="F2126">
        <v>6.28</v>
      </c>
      <c r="G2126">
        <v>2.83</v>
      </c>
      <c r="H2126">
        <v>9.11</v>
      </c>
      <c r="I2126">
        <v>68.94</v>
      </c>
      <c r="J2126">
        <v>42.08</v>
      </c>
      <c r="K2126" s="9">
        <v>45344</v>
      </c>
      <c r="L2126">
        <f xml:space="preserve"> (交易處理資料__3[[#This Row],[售出工時]] * 60) / 5</f>
        <v>45.999999996</v>
      </c>
      <c r="M2126" t="str">
        <f>VLOOKUP(交易處理資料__3[[#This Row],[人員代號]],團隊分組!$B$1:$C$52,2,FALSE)</f>
        <v>查修團隊B</v>
      </c>
      <c r="N2126">
        <f>IF(交易處理資料__3[[#This Row],[上班時間]]=0,0,交易處理資料__3[[#This Row],[售出工時]]/交易處理資料__3[[#This Row],[上班時間]])</f>
        <v>0.4207830222832053</v>
      </c>
      <c r="O2126" s="31" t="str">
        <f>IF(交易處理資料__3[[#This Row],[上班時間]]=0,"否","是")</f>
        <v>是</v>
      </c>
    </row>
    <row r="2127" spans="1:15" hidden="1">
      <c r="A2127" t="s">
        <v>75</v>
      </c>
      <c r="B2127" t="s">
        <v>48</v>
      </c>
      <c r="C2127">
        <v>1</v>
      </c>
      <c r="D2127">
        <v>1.82</v>
      </c>
      <c r="E2127" s="27">
        <v>54.945054949999999</v>
      </c>
      <c r="F2127">
        <v>7.69</v>
      </c>
      <c r="G2127">
        <v>0.69</v>
      </c>
      <c r="H2127">
        <v>8.3800000000000008</v>
      </c>
      <c r="I2127">
        <v>91.77</v>
      </c>
      <c r="J2127">
        <v>11.93</v>
      </c>
      <c r="K2127" s="9">
        <v>45344</v>
      </c>
      <c r="L2127">
        <f xml:space="preserve"> (交易處理資料__3[[#This Row],[售出工時]] * 60) / 5</f>
        <v>12</v>
      </c>
      <c r="M2127" t="str">
        <f>VLOOKUP(交易處理資料__3[[#This Row],[人員代號]],團隊分組!$B$1:$C$52,2,FALSE)</f>
        <v>查修團隊A</v>
      </c>
      <c r="N2127">
        <f>IF(交易處理資料__3[[#This Row],[上班時間]]=0,0,交易處理資料__3[[#This Row],[售出工時]]/交易處理資料__3[[#This Row],[上班時間]])</f>
        <v>0.11933174224343675</v>
      </c>
      <c r="O2127" s="31" t="str">
        <f>IF(交易處理資料__3[[#This Row],[上班時間]]=0,"否","是")</f>
        <v>是</v>
      </c>
    </row>
    <row r="2128" spans="1:15" hidden="1">
      <c r="A2128" t="s">
        <v>75</v>
      </c>
      <c r="B2128" t="s">
        <v>49</v>
      </c>
      <c r="C2128">
        <v>3.12</v>
      </c>
      <c r="D2128">
        <v>3.79</v>
      </c>
      <c r="E2128" s="27">
        <v>82.321899740000006</v>
      </c>
      <c r="F2128">
        <v>7.51</v>
      </c>
      <c r="G2128">
        <v>0.28000000000000003</v>
      </c>
      <c r="H2128">
        <v>7.79</v>
      </c>
      <c r="I2128">
        <v>96.41</v>
      </c>
      <c r="J2128">
        <v>40.049999999999997</v>
      </c>
      <c r="K2128" s="9">
        <v>45344</v>
      </c>
      <c r="L2128">
        <f xml:space="preserve"> (交易處理資料__3[[#This Row],[售出工時]] * 60) / 5</f>
        <v>37.440000000000005</v>
      </c>
      <c r="M2128" t="str">
        <f>VLOOKUP(交易處理資料__3[[#This Row],[人員代號]],團隊分組!$B$1:$C$52,2,FALSE)</f>
        <v>查修團隊A</v>
      </c>
      <c r="N2128">
        <f>IF(交易處理資料__3[[#This Row],[上班時間]]=0,0,交易處理資料__3[[#This Row],[售出工時]]/交易處理資料__3[[#This Row],[上班時間]])</f>
        <v>0.40051347881899874</v>
      </c>
      <c r="O2128" s="31" t="str">
        <f>IF(交易處理資料__3[[#This Row],[上班時間]]=0,"否","是")</f>
        <v>是</v>
      </c>
    </row>
    <row r="2129" spans="1:15" hidden="1">
      <c r="A2129" t="s">
        <v>75</v>
      </c>
      <c r="B2129" t="s">
        <v>51</v>
      </c>
      <c r="C2129">
        <v>0</v>
      </c>
      <c r="D2129">
        <v>0</v>
      </c>
      <c r="E2129" s="27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 s="9">
        <v>45344</v>
      </c>
      <c r="L2129">
        <f xml:space="preserve"> (交易處理資料__3[[#This Row],[售出工時]] * 60) / 5</f>
        <v>0</v>
      </c>
      <c r="M2129" t="str">
        <f>VLOOKUP(交易處理資料__3[[#This Row],[人員代號]],團隊分組!$B$1:$C$52,2,FALSE)</f>
        <v>無效數據</v>
      </c>
      <c r="N2129">
        <f>IF(交易處理資料__3[[#This Row],[上班時間]]=0,0,交易處理資料__3[[#This Row],[售出工時]]/交易處理資料__3[[#This Row],[上班時間]])</f>
        <v>0</v>
      </c>
      <c r="O2129" s="31" t="str">
        <f>IF(交易處理資料__3[[#This Row],[上班時間]]=0,"否","是")</f>
        <v>否</v>
      </c>
    </row>
    <row r="2130" spans="1:15" hidden="1">
      <c r="A2130" s="10" t="s">
        <v>73</v>
      </c>
      <c r="B2130" t="s">
        <v>1</v>
      </c>
      <c r="C2130">
        <v>0</v>
      </c>
      <c r="D2130">
        <v>0</v>
      </c>
      <c r="E2130" s="27">
        <v>0</v>
      </c>
      <c r="F2130">
        <v>6.6</v>
      </c>
      <c r="G2130">
        <v>1.44</v>
      </c>
      <c r="H2130">
        <v>8.0399999999999991</v>
      </c>
      <c r="I2130">
        <v>82.09</v>
      </c>
      <c r="J2130">
        <v>0</v>
      </c>
      <c r="K2130" s="9">
        <v>45345</v>
      </c>
      <c r="L2130">
        <f xml:space="preserve"> (交易處理資料__3[[#This Row],[售出工時]] * 60) / 5</f>
        <v>0</v>
      </c>
      <c r="M2130" t="str">
        <f>VLOOKUP(交易處理資料__3[[#This Row],[人員代號]],團隊分組!$B$1:$C$52,2,FALSE)</f>
        <v>噴漆維修組</v>
      </c>
      <c r="N2130">
        <f>IF(交易處理資料__3[[#This Row],[上班時間]]=0,0,交易處理資料__3[[#This Row],[售出工時]]/交易處理資料__3[[#This Row],[上班時間]])</f>
        <v>0</v>
      </c>
      <c r="O2130" s="31" t="str">
        <f>IF(交易處理資料__3[[#This Row],[上班時間]]=0,"否","是")</f>
        <v>是</v>
      </c>
    </row>
    <row r="2131" spans="1:15" hidden="1">
      <c r="A2131" s="10" t="s">
        <v>73</v>
      </c>
      <c r="B2131" t="s">
        <v>4</v>
      </c>
      <c r="C2131">
        <v>0</v>
      </c>
      <c r="D2131">
        <v>0</v>
      </c>
      <c r="E2131" s="27">
        <v>0</v>
      </c>
      <c r="F2131">
        <v>6.65</v>
      </c>
      <c r="G2131">
        <v>1.41</v>
      </c>
      <c r="H2131">
        <v>8.06</v>
      </c>
      <c r="I2131">
        <v>82.51</v>
      </c>
      <c r="J2131">
        <v>0</v>
      </c>
      <c r="K2131" s="9">
        <v>45345</v>
      </c>
      <c r="L2131">
        <f xml:space="preserve"> (交易處理資料__3[[#This Row],[售出工時]] * 60) / 5</f>
        <v>0</v>
      </c>
      <c r="M2131" t="str">
        <f>VLOOKUP(交易處理資料__3[[#This Row],[人員代號]],團隊分組!$B$1:$C$52,2,FALSE)</f>
        <v>噴漆維修組</v>
      </c>
      <c r="N2131">
        <f>IF(交易處理資料__3[[#This Row],[上班時間]]=0,0,交易處理資料__3[[#This Row],[售出工時]]/交易處理資料__3[[#This Row],[上班時間]])</f>
        <v>0</v>
      </c>
      <c r="O2131" s="31" t="str">
        <f>IF(交易處理資料__3[[#This Row],[上班時間]]=0,"否","是")</f>
        <v>是</v>
      </c>
    </row>
    <row r="2132" spans="1:15" hidden="1">
      <c r="A2132" s="10" t="s">
        <v>73</v>
      </c>
      <c r="B2132" t="s">
        <v>5</v>
      </c>
      <c r="C2132">
        <v>0</v>
      </c>
      <c r="D2132">
        <v>0</v>
      </c>
      <c r="E2132" s="27">
        <v>0</v>
      </c>
      <c r="F2132">
        <v>7.97</v>
      </c>
      <c r="G2132">
        <v>0.06</v>
      </c>
      <c r="H2132">
        <v>8.0299999999999994</v>
      </c>
      <c r="I2132">
        <v>99.25</v>
      </c>
      <c r="J2132">
        <v>0</v>
      </c>
      <c r="K2132" s="9">
        <v>45345</v>
      </c>
      <c r="L2132">
        <f xml:space="preserve"> (交易處理資料__3[[#This Row],[售出工時]] * 60) / 5</f>
        <v>0</v>
      </c>
      <c r="M2132" t="str">
        <f>VLOOKUP(交易處理資料__3[[#This Row],[人員代號]],團隊分組!$B$1:$C$52,2,FALSE)</f>
        <v>噴漆維修組</v>
      </c>
      <c r="N2132">
        <f>IF(交易處理資料__3[[#This Row],[上班時間]]=0,0,交易處理資料__3[[#This Row],[售出工時]]/交易處理資料__3[[#This Row],[上班時間]])</f>
        <v>0</v>
      </c>
      <c r="O2132" s="31" t="str">
        <f>IF(交易處理資料__3[[#This Row],[上班時間]]=0,"否","是")</f>
        <v>是</v>
      </c>
    </row>
    <row r="2133" spans="1:15" hidden="1">
      <c r="A2133" s="10" t="s">
        <v>73</v>
      </c>
      <c r="B2133" t="s">
        <v>7</v>
      </c>
      <c r="C2133">
        <v>7.1666666670000003</v>
      </c>
      <c r="D2133">
        <v>5.8</v>
      </c>
      <c r="E2133" s="27">
        <v>123.5632184</v>
      </c>
      <c r="F2133">
        <v>7.97</v>
      </c>
      <c r="G2133">
        <v>0.06</v>
      </c>
      <c r="H2133">
        <v>8.0299999999999994</v>
      </c>
      <c r="I2133">
        <v>99.25</v>
      </c>
      <c r="J2133">
        <v>89.25</v>
      </c>
      <c r="K2133" s="9">
        <v>45345</v>
      </c>
      <c r="L2133">
        <f xml:space="preserve"> (交易處理資料__3[[#This Row],[售出工時]] * 60) / 5</f>
        <v>86.000000004</v>
      </c>
      <c r="M2133" t="str">
        <f>VLOOKUP(交易處理資料__3[[#This Row],[人員代號]],團隊分組!$B$1:$C$52,2,FALSE)</f>
        <v>噴漆維修組</v>
      </c>
      <c r="N2133">
        <f>IF(交易處理資料__3[[#This Row],[上班時間]]=0,0,交易處理資料__3[[#This Row],[售出工時]]/交易處理資料__3[[#This Row],[上班時間]])</f>
        <v>0.89248650896637616</v>
      </c>
      <c r="O2133" s="31" t="str">
        <f>IF(交易處理資料__3[[#This Row],[上班時間]]=0,"否","是")</f>
        <v>是</v>
      </c>
    </row>
    <row r="2134" spans="1:15" hidden="1">
      <c r="A2134" s="10" t="s">
        <v>73</v>
      </c>
      <c r="B2134" t="s">
        <v>8</v>
      </c>
      <c r="C2134">
        <v>0</v>
      </c>
      <c r="D2134">
        <v>0</v>
      </c>
      <c r="E2134" s="27">
        <v>0</v>
      </c>
      <c r="F2134">
        <v>6.67</v>
      </c>
      <c r="G2134">
        <v>1.39</v>
      </c>
      <c r="H2134">
        <v>8.06</v>
      </c>
      <c r="I2134">
        <v>82.75</v>
      </c>
      <c r="J2134">
        <v>0</v>
      </c>
      <c r="K2134" s="9">
        <v>45345</v>
      </c>
      <c r="L2134">
        <f xml:space="preserve"> (交易處理資料__3[[#This Row],[售出工時]] * 60) / 5</f>
        <v>0</v>
      </c>
      <c r="M2134" t="str">
        <f>VLOOKUP(交易處理資料__3[[#This Row],[人員代號]],團隊分組!$B$1:$C$52,2,FALSE)</f>
        <v>噴漆維修組</v>
      </c>
      <c r="N2134">
        <f>IF(交易處理資料__3[[#This Row],[上班時間]]=0,0,交易處理資料__3[[#This Row],[售出工時]]/交易處理資料__3[[#This Row],[上班時間]])</f>
        <v>0</v>
      </c>
      <c r="O2134" s="31" t="str">
        <f>IF(交易處理資料__3[[#This Row],[上班時間]]=0,"否","是")</f>
        <v>是</v>
      </c>
    </row>
    <row r="2135" spans="1:15" hidden="1">
      <c r="A2135" s="10" t="s">
        <v>73</v>
      </c>
      <c r="B2135" t="s">
        <v>9</v>
      </c>
      <c r="C2135">
        <v>5.8333333329999997</v>
      </c>
      <c r="D2135">
        <v>7.7</v>
      </c>
      <c r="E2135" s="27">
        <v>75.757575759999995</v>
      </c>
      <c r="F2135">
        <v>6.64</v>
      </c>
      <c r="G2135">
        <v>1.45</v>
      </c>
      <c r="H2135">
        <v>8.09</v>
      </c>
      <c r="I2135">
        <v>82.08</v>
      </c>
      <c r="J2135">
        <v>72.11</v>
      </c>
      <c r="K2135" s="9">
        <v>45345</v>
      </c>
      <c r="L2135">
        <f xml:space="preserve"> (交易處理資料__3[[#This Row],[售出工時]] * 60) / 5</f>
        <v>69.999999996</v>
      </c>
      <c r="M2135" t="str">
        <f>VLOOKUP(交易處理資料__3[[#This Row],[人員代號]],團隊分組!$B$1:$C$52,2,FALSE)</f>
        <v>噴漆維修組</v>
      </c>
      <c r="N2135">
        <f>IF(交易處理資料__3[[#This Row],[上班時間]]=0,0,交易處理資料__3[[#This Row],[售出工時]]/交易處理資料__3[[#This Row],[上班時間]])</f>
        <v>0.72105480012360934</v>
      </c>
      <c r="O2135" s="31" t="str">
        <f>IF(交易處理資料__3[[#This Row],[上班時間]]=0,"否","是")</f>
        <v>是</v>
      </c>
    </row>
    <row r="2136" spans="1:15" hidden="1">
      <c r="A2136" t="s">
        <v>74</v>
      </c>
      <c r="B2136" t="s">
        <v>12</v>
      </c>
      <c r="C2136">
        <v>4</v>
      </c>
      <c r="D2136">
        <v>0.9</v>
      </c>
      <c r="E2136" s="27">
        <v>444.44444440000001</v>
      </c>
      <c r="F2136">
        <v>6.75</v>
      </c>
      <c r="G2136">
        <v>1.34</v>
      </c>
      <c r="H2136">
        <v>8.09</v>
      </c>
      <c r="I2136">
        <v>83.44</v>
      </c>
      <c r="J2136">
        <v>49.44</v>
      </c>
      <c r="K2136" s="9">
        <v>45345</v>
      </c>
      <c r="L2136">
        <f xml:space="preserve"> (交易處理資料__3[[#This Row],[售出工時]] * 60) / 5</f>
        <v>48</v>
      </c>
      <c r="M2136" t="str">
        <f>VLOOKUP(交易處理資料__3[[#This Row],[人員代號]],團隊分組!$B$1:$C$52,2,FALSE)</f>
        <v>鈑金維修組</v>
      </c>
      <c r="N2136">
        <f>IF(交易處理資料__3[[#This Row],[上班時間]]=0,0,交易處理資料__3[[#This Row],[售出工時]]/交易處理資料__3[[#This Row],[上班時間]])</f>
        <v>0.49443757725587145</v>
      </c>
      <c r="O2136" s="31" t="str">
        <f>IF(交易處理資料__3[[#This Row],[上班時間]]=0,"否","是")</f>
        <v>是</v>
      </c>
    </row>
    <row r="2137" spans="1:15" hidden="1">
      <c r="A2137" t="s">
        <v>74</v>
      </c>
      <c r="B2137" t="s">
        <v>13</v>
      </c>
      <c r="C2137">
        <v>0</v>
      </c>
      <c r="D2137">
        <v>0</v>
      </c>
      <c r="E2137" s="27">
        <v>0</v>
      </c>
      <c r="F2137">
        <v>3.66</v>
      </c>
      <c r="G2137">
        <v>4.43</v>
      </c>
      <c r="H2137">
        <v>8.09</v>
      </c>
      <c r="I2137">
        <v>45.24</v>
      </c>
      <c r="J2137">
        <v>0</v>
      </c>
      <c r="K2137" s="9">
        <v>45345</v>
      </c>
      <c r="L2137">
        <f xml:space="preserve"> (交易處理資料__3[[#This Row],[售出工時]] * 60) / 5</f>
        <v>0</v>
      </c>
      <c r="M2137" t="str">
        <f>VLOOKUP(交易處理資料__3[[#This Row],[人員代號]],團隊分組!$B$1:$C$52,2,FALSE)</f>
        <v>鈑金維修組</v>
      </c>
      <c r="N2137">
        <f>IF(交易處理資料__3[[#This Row],[上班時間]]=0,0,交易處理資料__3[[#This Row],[售出工時]]/交易處理資料__3[[#This Row],[上班時間]])</f>
        <v>0</v>
      </c>
      <c r="O2137" s="31" t="str">
        <f>IF(交易處理資料__3[[#This Row],[上班時間]]=0,"否","是")</f>
        <v>是</v>
      </c>
    </row>
    <row r="2138" spans="1:15" hidden="1">
      <c r="A2138" t="s">
        <v>74</v>
      </c>
      <c r="B2138" t="s">
        <v>15</v>
      </c>
      <c r="C2138">
        <v>2.4</v>
      </c>
      <c r="D2138">
        <v>4.1500000000000004</v>
      </c>
      <c r="E2138" s="27">
        <v>57.831325300000003</v>
      </c>
      <c r="F2138">
        <v>6.55</v>
      </c>
      <c r="G2138">
        <v>1.56</v>
      </c>
      <c r="H2138">
        <v>8.11</v>
      </c>
      <c r="I2138">
        <v>80.760000000000005</v>
      </c>
      <c r="J2138">
        <v>29.59</v>
      </c>
      <c r="K2138" s="9">
        <v>45345</v>
      </c>
      <c r="L2138">
        <f xml:space="preserve"> (交易處理資料__3[[#This Row],[售出工時]] * 60) / 5</f>
        <v>28.8</v>
      </c>
      <c r="M2138" t="str">
        <f>VLOOKUP(交易處理資料__3[[#This Row],[人員代號]],團隊分組!$B$1:$C$52,2,FALSE)</f>
        <v>鈑金維修組</v>
      </c>
      <c r="N2138">
        <f>IF(交易處理資料__3[[#This Row],[上班時間]]=0,0,交易處理資料__3[[#This Row],[售出工時]]/交易處理資料__3[[#This Row],[上班時間]])</f>
        <v>0.29593094944512949</v>
      </c>
      <c r="O2138" s="31" t="str">
        <f>IF(交易處理資料__3[[#This Row],[上班時間]]=0,"否","是")</f>
        <v>是</v>
      </c>
    </row>
    <row r="2139" spans="1:15" hidden="1">
      <c r="A2139" t="s">
        <v>75</v>
      </c>
      <c r="B2139" t="s">
        <v>17</v>
      </c>
      <c r="C2139">
        <v>8.0633333329999992</v>
      </c>
      <c r="D2139">
        <v>6.21</v>
      </c>
      <c r="E2139" s="27">
        <v>129.84433709999999</v>
      </c>
      <c r="F2139">
        <v>7.58</v>
      </c>
      <c r="G2139">
        <v>0.39</v>
      </c>
      <c r="H2139">
        <v>7.97</v>
      </c>
      <c r="I2139">
        <v>95.11</v>
      </c>
      <c r="J2139">
        <v>101.17</v>
      </c>
      <c r="K2139" s="9">
        <v>45345</v>
      </c>
      <c r="L2139">
        <f xml:space="preserve"> (交易處理資料__3[[#This Row],[售出工時]] * 60) / 5</f>
        <v>96.759999995999991</v>
      </c>
      <c r="M2139" t="str">
        <f>VLOOKUP(交易處理資料__3[[#This Row],[人員代號]],團隊分組!$B$1:$C$52,2,FALSE)</f>
        <v>快速保養團隊A</v>
      </c>
      <c r="N2139">
        <f>IF(交易處理資料__3[[#This Row],[上班時間]]=0,0,交易處理資料__3[[#This Row],[售出工時]]/交易處理資料__3[[#This Row],[上班時間]])</f>
        <v>1.0117105813048932</v>
      </c>
      <c r="O2139" s="31" t="str">
        <f>IF(交易處理資料__3[[#This Row],[上班時間]]=0,"否","是")</f>
        <v>是</v>
      </c>
    </row>
    <row r="2140" spans="1:15" hidden="1">
      <c r="A2140" t="s">
        <v>75</v>
      </c>
      <c r="B2140" t="s">
        <v>18</v>
      </c>
      <c r="C2140">
        <v>1.25</v>
      </c>
      <c r="D2140">
        <v>1.95</v>
      </c>
      <c r="E2140" s="27">
        <v>64.102564099999995</v>
      </c>
      <c r="F2140">
        <v>7.22</v>
      </c>
      <c r="G2140">
        <v>1.34</v>
      </c>
      <c r="H2140">
        <v>8.56</v>
      </c>
      <c r="I2140">
        <v>84.35</v>
      </c>
      <c r="J2140">
        <v>14.6</v>
      </c>
      <c r="K2140" s="9">
        <v>45345</v>
      </c>
      <c r="L2140">
        <f xml:space="preserve"> (交易處理資料__3[[#This Row],[售出工時]] * 60) / 5</f>
        <v>15</v>
      </c>
      <c r="M2140" t="str">
        <f>VLOOKUP(交易處理資料__3[[#This Row],[人員代號]],團隊分組!$B$1:$C$52,2,FALSE)</f>
        <v>查修團隊B</v>
      </c>
      <c r="N2140">
        <f>IF(交易處理資料__3[[#This Row],[上班時間]]=0,0,交易處理資料__3[[#This Row],[售出工時]]/交易處理資料__3[[#This Row],[上班時間]])</f>
        <v>0.14602803738317757</v>
      </c>
      <c r="O2140" s="31" t="str">
        <f>IF(交易處理資料__3[[#This Row],[上班時間]]=0,"否","是")</f>
        <v>是</v>
      </c>
    </row>
    <row r="2141" spans="1:15" hidden="1">
      <c r="A2141" t="s">
        <v>75</v>
      </c>
      <c r="B2141" t="s">
        <v>19</v>
      </c>
      <c r="C2141">
        <v>0.5</v>
      </c>
      <c r="D2141">
        <v>0.4</v>
      </c>
      <c r="E2141" s="27">
        <v>125</v>
      </c>
      <c r="F2141">
        <v>7.61</v>
      </c>
      <c r="G2141">
        <v>0.74</v>
      </c>
      <c r="H2141">
        <v>8.35</v>
      </c>
      <c r="I2141">
        <v>91.14</v>
      </c>
      <c r="J2141">
        <v>5.99</v>
      </c>
      <c r="K2141" s="9">
        <v>45345</v>
      </c>
      <c r="L2141">
        <f xml:space="preserve"> (交易處理資料__3[[#This Row],[售出工時]] * 60) / 5</f>
        <v>6</v>
      </c>
      <c r="M2141" t="str">
        <f>VLOOKUP(交易處理資料__3[[#This Row],[人員代號]],團隊分組!$B$1:$C$52,2,FALSE)</f>
        <v>查修團隊A</v>
      </c>
      <c r="N2141">
        <f>IF(交易處理資料__3[[#This Row],[上班時間]]=0,0,交易處理資料__3[[#This Row],[售出工時]]/交易處理資料__3[[#This Row],[上班時間]])</f>
        <v>5.9880239520958084E-2</v>
      </c>
      <c r="O2141" s="31" t="str">
        <f>IF(交易處理資料__3[[#This Row],[上班時間]]=0,"否","是")</f>
        <v>是</v>
      </c>
    </row>
    <row r="2142" spans="1:15" hidden="1">
      <c r="A2142" t="s">
        <v>75</v>
      </c>
      <c r="B2142" t="s">
        <v>20</v>
      </c>
      <c r="C2142">
        <v>1.4</v>
      </c>
      <c r="D2142">
        <v>7.83</v>
      </c>
      <c r="E2142" s="27">
        <v>17.87994891</v>
      </c>
      <c r="F2142">
        <v>5.78</v>
      </c>
      <c r="G2142">
        <v>4.34</v>
      </c>
      <c r="H2142">
        <v>10.119999999999999</v>
      </c>
      <c r="I2142">
        <v>57.11</v>
      </c>
      <c r="J2142">
        <v>13.83</v>
      </c>
      <c r="K2142" s="9">
        <v>45345</v>
      </c>
      <c r="L2142">
        <f xml:space="preserve"> (交易處理資料__3[[#This Row],[售出工時]] * 60) / 5</f>
        <v>16.8</v>
      </c>
      <c r="M2142" t="str">
        <f>VLOOKUP(交易處理資料__3[[#This Row],[人員代號]],團隊分組!$B$1:$C$52,2,FALSE)</f>
        <v>查修團隊B</v>
      </c>
      <c r="N2142">
        <f>IF(交易處理資料__3[[#This Row],[上班時間]]=0,0,交易處理資料__3[[#This Row],[售出工時]]/交易處理資料__3[[#This Row],[上班時間]])</f>
        <v>0.13833992094861661</v>
      </c>
      <c r="O2142" s="31" t="str">
        <f>IF(交易處理資料__3[[#This Row],[上班時間]]=0,"否","是")</f>
        <v>是</v>
      </c>
    </row>
    <row r="2143" spans="1:15" hidden="1">
      <c r="A2143" t="s">
        <v>75</v>
      </c>
      <c r="B2143" t="s">
        <v>21</v>
      </c>
      <c r="C2143">
        <v>1.9166666670000001</v>
      </c>
      <c r="D2143">
        <v>3.6</v>
      </c>
      <c r="E2143" s="27">
        <v>53.24074074</v>
      </c>
      <c r="F2143">
        <v>5.85</v>
      </c>
      <c r="G2143">
        <v>2.2599999999999998</v>
      </c>
      <c r="H2143">
        <v>8.11</v>
      </c>
      <c r="I2143">
        <v>72.13</v>
      </c>
      <c r="J2143">
        <v>23.63</v>
      </c>
      <c r="K2143" s="9">
        <v>45345</v>
      </c>
      <c r="L2143">
        <f xml:space="preserve"> (交易處理資料__3[[#This Row],[售出工時]] * 60) / 5</f>
        <v>23.000000004</v>
      </c>
      <c r="M2143" t="str">
        <f>VLOOKUP(交易處理資料__3[[#This Row],[人員代號]],團隊分組!$B$1:$C$52,2,FALSE)</f>
        <v>查修團隊B</v>
      </c>
      <c r="N2143">
        <f>IF(交易處理資料__3[[#This Row],[上班時間]]=0,0,交易處理資料__3[[#This Row],[售出工時]]/交易處理資料__3[[#This Row],[上班時間]])</f>
        <v>0.23633374438964244</v>
      </c>
      <c r="O2143" s="31" t="str">
        <f>IF(交易處理資料__3[[#This Row],[上班時間]]=0,"否","是")</f>
        <v>是</v>
      </c>
    </row>
    <row r="2144" spans="1:15" hidden="1">
      <c r="A2144" t="s">
        <v>75</v>
      </c>
      <c r="B2144" t="s">
        <v>22</v>
      </c>
      <c r="C2144">
        <v>7.4933333329999998</v>
      </c>
      <c r="D2144">
        <v>5.44</v>
      </c>
      <c r="E2144" s="27">
        <v>137.74509800000001</v>
      </c>
      <c r="F2144">
        <v>7.44</v>
      </c>
      <c r="G2144">
        <v>0.55000000000000004</v>
      </c>
      <c r="H2144">
        <v>7.99</v>
      </c>
      <c r="I2144">
        <v>93.12</v>
      </c>
      <c r="J2144">
        <v>93.78</v>
      </c>
      <c r="K2144" s="9">
        <v>45345</v>
      </c>
      <c r="L2144">
        <f xml:space="preserve"> (交易處理資料__3[[#This Row],[售出工時]] * 60) / 5</f>
        <v>89.919999996000001</v>
      </c>
      <c r="M2144" t="str">
        <f>VLOOKUP(交易處理資料__3[[#This Row],[人員代號]],團隊分組!$B$1:$C$52,2,FALSE)</f>
        <v>快速保養團隊A</v>
      </c>
      <c r="N2144">
        <f>IF(交易處理資料__3[[#This Row],[上班時間]]=0,0,交易處理資料__3[[#This Row],[售出工時]]/交易處理資料__3[[#This Row],[上班時間]])</f>
        <v>0.93783896533166455</v>
      </c>
      <c r="O2144" s="31" t="str">
        <f>IF(交易處理資料__3[[#This Row],[上班時間]]=0,"否","是")</f>
        <v>是</v>
      </c>
    </row>
    <row r="2145" spans="1:15" hidden="1">
      <c r="A2145" t="s">
        <v>75</v>
      </c>
      <c r="B2145" t="s">
        <v>23</v>
      </c>
      <c r="C2145">
        <v>9.91</v>
      </c>
      <c r="D2145">
        <v>6.22</v>
      </c>
      <c r="E2145" s="27">
        <v>159.32475880000001</v>
      </c>
      <c r="F2145">
        <v>6.1</v>
      </c>
      <c r="G2145">
        <v>3.69</v>
      </c>
      <c r="H2145">
        <v>9.7899999999999991</v>
      </c>
      <c r="I2145">
        <v>62.31</v>
      </c>
      <c r="J2145">
        <v>101.23</v>
      </c>
      <c r="K2145" s="9">
        <v>45345</v>
      </c>
      <c r="L2145">
        <f xml:space="preserve"> (交易處理資料__3[[#This Row],[售出工時]] * 60) / 5</f>
        <v>118.92</v>
      </c>
      <c r="M2145" t="str">
        <f>VLOOKUP(交易處理資料__3[[#This Row],[人員代號]],團隊分組!$B$1:$C$52,2,FALSE)</f>
        <v>快速保養團隊B</v>
      </c>
      <c r="N2145">
        <f>IF(交易處理資料__3[[#This Row],[上班時間]]=0,0,交易處理資料__3[[#This Row],[售出工時]]/交易處理資料__3[[#This Row],[上班時間]])</f>
        <v>1.0122574055158327</v>
      </c>
      <c r="O2145" s="31" t="str">
        <f>IF(交易處理資料__3[[#This Row],[上班時間]]=0,"否","是")</f>
        <v>是</v>
      </c>
    </row>
    <row r="2146" spans="1:15" hidden="1">
      <c r="A2146" t="s">
        <v>75</v>
      </c>
      <c r="B2146" t="s">
        <v>26</v>
      </c>
      <c r="C2146">
        <v>0</v>
      </c>
      <c r="D2146">
        <v>0</v>
      </c>
      <c r="E2146" s="27">
        <v>0</v>
      </c>
      <c r="F2146">
        <v>1.38</v>
      </c>
      <c r="G2146">
        <v>8.0399999999999991</v>
      </c>
      <c r="H2146">
        <v>9.42</v>
      </c>
      <c r="I2146">
        <v>14.65</v>
      </c>
      <c r="J2146">
        <v>0</v>
      </c>
      <c r="K2146" s="9">
        <v>45345</v>
      </c>
      <c r="L2146">
        <f xml:space="preserve"> (交易處理資料__3[[#This Row],[售出工時]] * 60) / 5</f>
        <v>0</v>
      </c>
      <c r="M2146" t="str">
        <f>VLOOKUP(交易處理資料__3[[#This Row],[人員代號]],團隊分組!$B$1:$C$52,2,FALSE)</f>
        <v>查修團隊B</v>
      </c>
      <c r="N2146">
        <f>IF(交易處理資料__3[[#This Row],[上班時間]]=0,0,交易處理資料__3[[#This Row],[售出工時]]/交易處理資料__3[[#This Row],[上班時間]])</f>
        <v>0</v>
      </c>
      <c r="O2146" s="31" t="str">
        <f>IF(交易處理資料__3[[#This Row],[上班時間]]=0,"否","是")</f>
        <v>是</v>
      </c>
    </row>
    <row r="2147" spans="1:15" hidden="1">
      <c r="A2147" t="s">
        <v>75</v>
      </c>
      <c r="B2147" t="s">
        <v>28</v>
      </c>
      <c r="C2147">
        <v>7.46</v>
      </c>
      <c r="D2147">
        <v>4</v>
      </c>
      <c r="E2147" s="27">
        <v>186.5</v>
      </c>
      <c r="F2147">
        <v>6.19</v>
      </c>
      <c r="G2147">
        <v>3.17</v>
      </c>
      <c r="H2147">
        <v>9.36</v>
      </c>
      <c r="I2147">
        <v>66.13</v>
      </c>
      <c r="J2147">
        <v>79.7</v>
      </c>
      <c r="K2147" s="9">
        <v>45345</v>
      </c>
      <c r="L2147">
        <f xml:space="preserve"> (交易處理資料__3[[#This Row],[售出工時]] * 60) / 5</f>
        <v>89.52000000000001</v>
      </c>
      <c r="M2147" t="str">
        <f>VLOOKUP(交易處理資料__3[[#This Row],[人員代號]],團隊分組!$B$1:$C$52,2,FALSE)</f>
        <v>快速保養團隊A</v>
      </c>
      <c r="N2147">
        <f>IF(交易處理資料__3[[#This Row],[上班時間]]=0,0,交易處理資料__3[[#This Row],[售出工時]]/交易處理資料__3[[#This Row],[上班時間]])</f>
        <v>0.79700854700854706</v>
      </c>
      <c r="O2147" s="31" t="str">
        <f>IF(交易處理資料__3[[#This Row],[上班時間]]=0,"否","是")</f>
        <v>是</v>
      </c>
    </row>
    <row r="2148" spans="1:15" hidden="1">
      <c r="A2148" t="s">
        <v>75</v>
      </c>
      <c r="B2148" t="s">
        <v>32</v>
      </c>
      <c r="C2148">
        <v>14.196666670000001</v>
      </c>
      <c r="D2148">
        <v>8.01</v>
      </c>
      <c r="E2148" s="27">
        <v>177.2367873</v>
      </c>
      <c r="F2148">
        <v>5.86</v>
      </c>
      <c r="G2148">
        <v>2.1800000000000002</v>
      </c>
      <c r="H2148">
        <v>8.0399999999999991</v>
      </c>
      <c r="I2148">
        <v>72.89</v>
      </c>
      <c r="J2148">
        <v>176.58</v>
      </c>
      <c r="K2148" s="9">
        <v>45345</v>
      </c>
      <c r="L2148">
        <f xml:space="preserve"> (交易處理資料__3[[#This Row],[售出工時]] * 60) / 5</f>
        <v>170.36000003999999</v>
      </c>
      <c r="M2148" t="str">
        <f>VLOOKUP(交易處理資料__3[[#This Row],[人員代號]],團隊分組!$B$1:$C$52,2,FALSE)</f>
        <v>快速保養團隊B</v>
      </c>
      <c r="N2148">
        <f>IF(交易處理資料__3[[#This Row],[上班時間]]=0,0,交易處理資料__3[[#This Row],[售出工時]]/交易處理資料__3[[#This Row],[上班時間]])</f>
        <v>1.7657545609452738</v>
      </c>
      <c r="O2148" s="31" t="str">
        <f>IF(交易處理資料__3[[#This Row],[上班時間]]=0,"否","是")</f>
        <v>是</v>
      </c>
    </row>
    <row r="2149" spans="1:15">
      <c r="A2149" t="s">
        <v>75</v>
      </c>
      <c r="B2149" t="s">
        <v>33</v>
      </c>
      <c r="C2149">
        <v>0</v>
      </c>
      <c r="D2149">
        <v>0</v>
      </c>
      <c r="E2149" s="27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 s="9">
        <v>45345</v>
      </c>
      <c r="L2149">
        <f xml:space="preserve"> (交易處理資料__3[[#This Row],[售出工時]] * 60) / 5</f>
        <v>0</v>
      </c>
      <c r="M2149" t="str">
        <f>VLOOKUP(交易處理資料__3[[#This Row],[人員代號]],團隊分組!$B$1:$C$52,2,FALSE)</f>
        <v>快速保養團隊B</v>
      </c>
      <c r="N2149">
        <f>IF(交易處理資料__3[[#This Row],[上班時間]]=0,0,交易處理資料__3[[#This Row],[售出工時]]/交易處理資料__3[[#This Row],[上班時間]])</f>
        <v>0</v>
      </c>
      <c r="O2149" s="31" t="str">
        <f>IF(交易處理資料__3[[#This Row],[上班時間]]=0,"否","是")</f>
        <v>否</v>
      </c>
    </row>
    <row r="2150" spans="1:15" hidden="1">
      <c r="A2150" t="s">
        <v>75</v>
      </c>
      <c r="B2150" t="s">
        <v>35</v>
      </c>
      <c r="C2150">
        <v>1.35</v>
      </c>
      <c r="D2150">
        <v>5.26</v>
      </c>
      <c r="E2150" s="27">
        <v>25.665399239999999</v>
      </c>
      <c r="F2150">
        <v>6.09</v>
      </c>
      <c r="G2150">
        <v>4.0199999999999996</v>
      </c>
      <c r="H2150">
        <v>10.11</v>
      </c>
      <c r="I2150">
        <v>60.24</v>
      </c>
      <c r="J2150">
        <v>13.35</v>
      </c>
      <c r="K2150" s="9">
        <v>45345</v>
      </c>
      <c r="L2150">
        <f xml:space="preserve"> (交易處理資料__3[[#This Row],[售出工時]] * 60) / 5</f>
        <v>16.2</v>
      </c>
      <c r="M2150" t="str">
        <f>VLOOKUP(交易處理資料__3[[#This Row],[人員代號]],團隊分組!$B$1:$C$52,2,FALSE)</f>
        <v>查修團隊B</v>
      </c>
      <c r="N2150">
        <f>IF(交易處理資料__3[[#This Row],[上班時間]]=0,0,交易處理資料__3[[#This Row],[售出工時]]/交易處理資料__3[[#This Row],[上班時間]])</f>
        <v>0.13353115727002968</v>
      </c>
      <c r="O2150" s="31" t="str">
        <f>IF(交易處理資料__3[[#This Row],[上班時間]]=0,"否","是")</f>
        <v>是</v>
      </c>
    </row>
    <row r="2151" spans="1:15" hidden="1">
      <c r="A2151" t="s">
        <v>75</v>
      </c>
      <c r="B2151" t="s">
        <v>36</v>
      </c>
      <c r="C2151">
        <v>3.13</v>
      </c>
      <c r="D2151">
        <v>4.5599999999999996</v>
      </c>
      <c r="E2151" s="27">
        <v>68.64035088</v>
      </c>
      <c r="F2151">
        <v>8.19</v>
      </c>
      <c r="G2151">
        <v>0.92</v>
      </c>
      <c r="H2151">
        <v>9.11</v>
      </c>
      <c r="I2151">
        <v>89.9</v>
      </c>
      <c r="J2151">
        <v>34.36</v>
      </c>
      <c r="K2151" s="9">
        <v>45345</v>
      </c>
      <c r="L2151">
        <f xml:space="preserve"> (交易處理資料__3[[#This Row],[售出工時]] * 60) / 5</f>
        <v>37.559999999999995</v>
      </c>
      <c r="M2151" t="str">
        <f>VLOOKUP(交易處理資料__3[[#This Row],[人員代號]],團隊分組!$B$1:$C$52,2,FALSE)</f>
        <v>查修團隊B</v>
      </c>
      <c r="N2151">
        <f>IF(交易處理資料__3[[#This Row],[上班時間]]=0,0,交易處理資料__3[[#This Row],[售出工時]]/交易處理資料__3[[#This Row],[上班時間]])</f>
        <v>0.34357848518111966</v>
      </c>
      <c r="O2151" s="31" t="str">
        <f>IF(交易處理資料__3[[#This Row],[上班時間]]=0,"否","是")</f>
        <v>是</v>
      </c>
    </row>
    <row r="2152" spans="1:15" hidden="1">
      <c r="A2152" t="s">
        <v>75</v>
      </c>
      <c r="B2152" t="s">
        <v>37</v>
      </c>
      <c r="C2152">
        <v>4</v>
      </c>
      <c r="D2152">
        <v>4.22</v>
      </c>
      <c r="E2152" s="27">
        <v>94.786729859999994</v>
      </c>
      <c r="F2152">
        <v>6.22</v>
      </c>
      <c r="G2152">
        <v>1.78</v>
      </c>
      <c r="H2152">
        <v>8</v>
      </c>
      <c r="I2152">
        <v>77.75</v>
      </c>
      <c r="J2152">
        <v>50</v>
      </c>
      <c r="K2152" s="9">
        <v>45345</v>
      </c>
      <c r="L2152">
        <f xml:space="preserve"> (交易處理資料__3[[#This Row],[售出工時]] * 60) / 5</f>
        <v>48</v>
      </c>
      <c r="M2152" t="str">
        <f>VLOOKUP(交易處理資料__3[[#This Row],[人員代號]],團隊分組!$B$1:$C$52,2,FALSE)</f>
        <v>查修團隊A</v>
      </c>
      <c r="N2152">
        <f>IF(交易處理資料__3[[#This Row],[上班時間]]=0,0,交易處理資料__3[[#This Row],[售出工時]]/交易處理資料__3[[#This Row],[上班時間]])</f>
        <v>0.5</v>
      </c>
      <c r="O2152" s="31" t="str">
        <f>IF(交易處理資料__3[[#This Row],[上班時間]]=0,"否","是")</f>
        <v>是</v>
      </c>
    </row>
    <row r="2153" spans="1:15" hidden="1">
      <c r="A2153" t="s">
        <v>75</v>
      </c>
      <c r="B2153" t="s">
        <v>38</v>
      </c>
      <c r="C2153">
        <v>15.66666667</v>
      </c>
      <c r="D2153">
        <v>5.53</v>
      </c>
      <c r="E2153" s="27">
        <v>283.30319470000001</v>
      </c>
      <c r="F2153">
        <v>9.61</v>
      </c>
      <c r="G2153">
        <v>0.47</v>
      </c>
      <c r="H2153">
        <v>10.08</v>
      </c>
      <c r="I2153">
        <v>95.34</v>
      </c>
      <c r="J2153">
        <v>155.41999999999999</v>
      </c>
      <c r="K2153" s="9">
        <v>45345</v>
      </c>
      <c r="L2153">
        <f xml:space="preserve"> (交易處理資料__3[[#This Row],[售出工時]] * 60) / 5</f>
        <v>188.00000003999997</v>
      </c>
      <c r="M2153" t="str">
        <f>VLOOKUP(交易處理資料__3[[#This Row],[人員代號]],團隊分組!$B$1:$C$52,2,FALSE)</f>
        <v>快速保養團隊A</v>
      </c>
      <c r="N2153">
        <f>IF(交易處理資料__3[[#This Row],[上班時間]]=0,0,交易處理資料__3[[#This Row],[售出工時]]/交易處理資料__3[[#This Row],[上班時間]])</f>
        <v>1.5542328045634921</v>
      </c>
      <c r="O2153" s="31" t="str">
        <f>IF(交易處理資料__3[[#This Row],[上班時間]]=0,"否","是")</f>
        <v>是</v>
      </c>
    </row>
    <row r="2154" spans="1:15" hidden="1">
      <c r="A2154" t="s">
        <v>75</v>
      </c>
      <c r="B2154" t="s">
        <v>45</v>
      </c>
      <c r="C2154">
        <v>7.75</v>
      </c>
      <c r="D2154">
        <v>5.18</v>
      </c>
      <c r="E2154" s="27">
        <v>149.6138996</v>
      </c>
      <c r="F2154">
        <v>6.78</v>
      </c>
      <c r="G2154">
        <v>1.1399999999999999</v>
      </c>
      <c r="H2154">
        <v>7.92</v>
      </c>
      <c r="I2154">
        <v>85.61</v>
      </c>
      <c r="J2154">
        <v>97.85</v>
      </c>
      <c r="K2154" s="9">
        <v>45345</v>
      </c>
      <c r="L2154">
        <f xml:space="preserve"> (交易處理資料__3[[#This Row],[售出工時]] * 60) / 5</f>
        <v>93</v>
      </c>
      <c r="M2154" t="str">
        <f>VLOOKUP(交易處理資料__3[[#This Row],[人員代號]],團隊分組!$B$1:$C$52,2,FALSE)</f>
        <v>快速保養團隊A</v>
      </c>
      <c r="N2154">
        <f>IF(交易處理資料__3[[#This Row],[上班時間]]=0,0,交易處理資料__3[[#This Row],[售出工時]]/交易處理資料__3[[#This Row],[上班時間]])</f>
        <v>0.97853535353535359</v>
      </c>
      <c r="O2154" s="31" t="str">
        <f>IF(交易處理資料__3[[#This Row],[上班時間]]=0,"否","是")</f>
        <v>是</v>
      </c>
    </row>
    <row r="2155" spans="1:15" hidden="1">
      <c r="A2155" t="s">
        <v>75</v>
      </c>
      <c r="B2155" t="s">
        <v>46</v>
      </c>
      <c r="C2155">
        <v>0</v>
      </c>
      <c r="D2155">
        <v>0</v>
      </c>
      <c r="E2155" s="27">
        <v>0</v>
      </c>
      <c r="F2155">
        <v>5.75</v>
      </c>
      <c r="G2155">
        <v>2.35</v>
      </c>
      <c r="H2155">
        <v>8.1</v>
      </c>
      <c r="I2155">
        <v>70.989999999999995</v>
      </c>
      <c r="J2155">
        <v>0</v>
      </c>
      <c r="K2155" s="9">
        <v>45345</v>
      </c>
      <c r="L2155">
        <f xml:space="preserve"> (交易處理資料__3[[#This Row],[售出工時]] * 60) / 5</f>
        <v>0</v>
      </c>
      <c r="M2155" t="str">
        <f>VLOOKUP(交易處理資料__3[[#This Row],[人員代號]],團隊分組!$B$1:$C$52,2,FALSE)</f>
        <v>查修團隊B</v>
      </c>
      <c r="N2155">
        <f>IF(交易處理資料__3[[#This Row],[上班時間]]=0,0,交易處理資料__3[[#This Row],[售出工時]]/交易處理資料__3[[#This Row],[上班時間]])</f>
        <v>0</v>
      </c>
      <c r="O2155" s="31" t="str">
        <f>IF(交易處理資料__3[[#This Row],[上班時間]]=0,"否","是")</f>
        <v>是</v>
      </c>
    </row>
    <row r="2156" spans="1:15" hidden="1">
      <c r="A2156" t="s">
        <v>75</v>
      </c>
      <c r="B2156" t="s">
        <v>47</v>
      </c>
      <c r="C2156">
        <v>2.75</v>
      </c>
      <c r="D2156">
        <v>7.19</v>
      </c>
      <c r="E2156" s="27">
        <v>38.247566059999997</v>
      </c>
      <c r="F2156">
        <v>3.73</v>
      </c>
      <c r="G2156">
        <v>4.37</v>
      </c>
      <c r="H2156">
        <v>8.1</v>
      </c>
      <c r="I2156">
        <v>46.05</v>
      </c>
      <c r="J2156">
        <v>33.950000000000003</v>
      </c>
      <c r="K2156" s="9">
        <v>45345</v>
      </c>
      <c r="L2156">
        <f xml:space="preserve"> (交易處理資料__3[[#This Row],[售出工時]] * 60) / 5</f>
        <v>33</v>
      </c>
      <c r="M2156" t="str">
        <f>VLOOKUP(交易處理資料__3[[#This Row],[人員代號]],團隊分組!$B$1:$C$52,2,FALSE)</f>
        <v>查修團隊B</v>
      </c>
      <c r="N2156">
        <f>IF(交易處理資料__3[[#This Row],[上班時間]]=0,0,交易處理資料__3[[#This Row],[售出工時]]/交易處理資料__3[[#This Row],[上班時間]])</f>
        <v>0.33950617283950618</v>
      </c>
      <c r="O2156" s="31" t="str">
        <f>IF(交易處理資料__3[[#This Row],[上班時間]]=0,"否","是")</f>
        <v>是</v>
      </c>
    </row>
    <row r="2157" spans="1:15" hidden="1">
      <c r="A2157" t="s">
        <v>75</v>
      </c>
      <c r="B2157" t="s">
        <v>48</v>
      </c>
      <c r="C2157">
        <v>2</v>
      </c>
      <c r="D2157">
        <v>4.78</v>
      </c>
      <c r="E2157" s="27">
        <v>41.841004179999999</v>
      </c>
      <c r="F2157">
        <v>6.62</v>
      </c>
      <c r="G2157">
        <v>1.58</v>
      </c>
      <c r="H2157">
        <v>8.1999999999999993</v>
      </c>
      <c r="I2157">
        <v>80.73</v>
      </c>
      <c r="J2157">
        <v>24.39</v>
      </c>
      <c r="K2157" s="9">
        <v>45345</v>
      </c>
      <c r="L2157">
        <f xml:space="preserve"> (交易處理資料__3[[#This Row],[售出工時]] * 60) / 5</f>
        <v>24</v>
      </c>
      <c r="M2157" t="str">
        <f>VLOOKUP(交易處理資料__3[[#This Row],[人員代號]],團隊分組!$B$1:$C$52,2,FALSE)</f>
        <v>查修團隊A</v>
      </c>
      <c r="N2157">
        <f>IF(交易處理資料__3[[#This Row],[上班時間]]=0,0,交易處理資料__3[[#This Row],[售出工時]]/交易處理資料__3[[#This Row],[上班時間]])</f>
        <v>0.24390243902439027</v>
      </c>
      <c r="O2157" s="31" t="str">
        <f>IF(交易處理資料__3[[#This Row],[上班時間]]=0,"否","是")</f>
        <v>是</v>
      </c>
    </row>
    <row r="2158" spans="1:15" hidden="1">
      <c r="A2158" t="s">
        <v>75</v>
      </c>
      <c r="B2158" t="s">
        <v>49</v>
      </c>
      <c r="C2158">
        <v>0.5</v>
      </c>
      <c r="D2158">
        <v>0.4</v>
      </c>
      <c r="E2158" s="27">
        <v>125</v>
      </c>
      <c r="F2158">
        <v>7.63</v>
      </c>
      <c r="G2158">
        <v>0.73</v>
      </c>
      <c r="H2158">
        <v>8.36</v>
      </c>
      <c r="I2158">
        <v>91.27</v>
      </c>
      <c r="J2158">
        <v>5.98</v>
      </c>
      <c r="K2158" s="9">
        <v>45345</v>
      </c>
      <c r="L2158">
        <f xml:space="preserve"> (交易處理資料__3[[#This Row],[售出工時]] * 60) / 5</f>
        <v>6</v>
      </c>
      <c r="M2158" t="str">
        <f>VLOOKUP(交易處理資料__3[[#This Row],[人員代號]],團隊分組!$B$1:$C$52,2,FALSE)</f>
        <v>查修團隊A</v>
      </c>
      <c r="N2158">
        <f>IF(交易處理資料__3[[#This Row],[上班時間]]=0,0,交易處理資料__3[[#This Row],[售出工時]]/交易處理資料__3[[#This Row],[上班時間]])</f>
        <v>5.9808612440191394E-2</v>
      </c>
      <c r="O2158" s="31" t="str">
        <f>IF(交易處理資料__3[[#This Row],[上班時間]]=0,"否","是")</f>
        <v>是</v>
      </c>
    </row>
    <row r="2159" spans="1:15" hidden="1">
      <c r="A2159" t="s">
        <v>75</v>
      </c>
      <c r="B2159" t="s">
        <v>51</v>
      </c>
      <c r="C2159">
        <v>0</v>
      </c>
      <c r="D2159">
        <v>0</v>
      </c>
      <c r="E2159" s="27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 s="9">
        <v>45345</v>
      </c>
      <c r="L2159">
        <f xml:space="preserve"> (交易處理資料__3[[#This Row],[售出工時]] * 60) / 5</f>
        <v>0</v>
      </c>
      <c r="M2159" t="str">
        <f>VLOOKUP(交易處理資料__3[[#This Row],[人員代號]],團隊分組!$B$1:$C$52,2,FALSE)</f>
        <v>無效數據</v>
      </c>
      <c r="N2159">
        <f>IF(交易處理資料__3[[#This Row],[上班時間]]=0,0,交易處理資料__3[[#This Row],[售出工時]]/交易處理資料__3[[#This Row],[上班時間]])</f>
        <v>0</v>
      </c>
      <c r="O2159" s="31" t="str">
        <f>IF(交易處理資料__3[[#This Row],[上班時間]]=0,"否","是")</f>
        <v>否</v>
      </c>
    </row>
    <row r="2160" spans="1:15" hidden="1">
      <c r="A2160" t="s">
        <v>75</v>
      </c>
      <c r="B2160" t="s">
        <v>52</v>
      </c>
      <c r="C2160">
        <v>0</v>
      </c>
      <c r="D2160">
        <v>0</v>
      </c>
      <c r="E2160" s="27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 s="9">
        <v>45345</v>
      </c>
      <c r="L2160">
        <f xml:space="preserve"> (交易處理資料__3[[#This Row],[售出工時]] * 60) / 5</f>
        <v>0</v>
      </c>
      <c r="M2160" t="str">
        <f>VLOOKUP(交易處理資料__3[[#This Row],[人員代號]],團隊分組!$B$1:$C$52,2,FALSE)</f>
        <v>查修團隊B</v>
      </c>
      <c r="N2160">
        <f>IF(交易處理資料__3[[#This Row],[上班時間]]=0,0,交易處理資料__3[[#This Row],[售出工時]]/交易處理資料__3[[#This Row],[上班時間]])</f>
        <v>0</v>
      </c>
      <c r="O2160" s="31" t="str">
        <f>IF(交易處理資料__3[[#This Row],[上班時間]]=0,"否","是")</f>
        <v>否</v>
      </c>
    </row>
    <row r="2161" spans="1:15" hidden="1">
      <c r="A2161" t="s">
        <v>75</v>
      </c>
      <c r="B2161" t="s">
        <v>53</v>
      </c>
      <c r="C2161">
        <v>4.1666666670000003</v>
      </c>
      <c r="D2161">
        <v>4.16</v>
      </c>
      <c r="E2161" s="27">
        <v>100.16025639999999</v>
      </c>
      <c r="F2161">
        <v>6.84</v>
      </c>
      <c r="G2161">
        <v>1.1499999999999999</v>
      </c>
      <c r="H2161">
        <v>7.99</v>
      </c>
      <c r="I2161">
        <v>85.61</v>
      </c>
      <c r="J2161">
        <v>52.15</v>
      </c>
      <c r="K2161" s="9">
        <v>45345</v>
      </c>
      <c r="L2161">
        <f xml:space="preserve"> (交易處理資料__3[[#This Row],[售出工時]] * 60) / 5</f>
        <v>50.000000004</v>
      </c>
      <c r="M2161" t="str">
        <f>VLOOKUP(交易處理資料__3[[#This Row],[人員代號]],團隊分組!$B$1:$C$52,2,FALSE)</f>
        <v>查修團隊A</v>
      </c>
      <c r="N2161">
        <f>IF(交易處理資料__3[[#This Row],[上班時間]]=0,0,交易處理資料__3[[#This Row],[售出工時]]/交易處理資料__3[[#This Row],[上班時間]])</f>
        <v>0.52148518986232795</v>
      </c>
      <c r="O2161" s="31" t="str">
        <f>IF(交易處理資料__3[[#This Row],[上班時間]]=0,"否","是")</f>
        <v>是</v>
      </c>
    </row>
    <row r="2162" spans="1:15" hidden="1">
      <c r="A2162" s="10" t="s">
        <v>73</v>
      </c>
      <c r="B2162" t="s">
        <v>1</v>
      </c>
      <c r="C2162">
        <v>0</v>
      </c>
      <c r="D2162">
        <v>0</v>
      </c>
      <c r="E2162" s="27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 s="9">
        <v>45346</v>
      </c>
      <c r="L2162">
        <f xml:space="preserve"> (交易處理資料__3[[#This Row],[售出工時]] * 60) / 5</f>
        <v>0</v>
      </c>
      <c r="M2162" t="str">
        <f>VLOOKUP(交易處理資料__3[[#This Row],[人員代號]],團隊分組!$B$1:$C$52,2,FALSE)</f>
        <v>噴漆維修組</v>
      </c>
      <c r="N2162">
        <f>IF(交易處理資料__3[[#This Row],[上班時間]]=0,0,交易處理資料__3[[#This Row],[售出工時]]/交易處理資料__3[[#This Row],[上班時間]])</f>
        <v>0</v>
      </c>
      <c r="O2162" s="31" t="str">
        <f>IF(交易處理資料__3[[#This Row],[上班時間]]=0,"否","是")</f>
        <v>否</v>
      </c>
    </row>
    <row r="2163" spans="1:15" hidden="1">
      <c r="A2163" s="10" t="s">
        <v>73</v>
      </c>
      <c r="B2163" t="s">
        <v>2</v>
      </c>
      <c r="C2163">
        <v>0</v>
      </c>
      <c r="D2163">
        <v>0</v>
      </c>
      <c r="E2163" s="27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 s="9">
        <v>45346</v>
      </c>
      <c r="L2163">
        <f xml:space="preserve"> (交易處理資料__3[[#This Row],[售出工時]] * 60) / 5</f>
        <v>0</v>
      </c>
      <c r="M2163" t="str">
        <f>VLOOKUP(交易處理資料__3[[#This Row],[人員代號]],團隊分組!$B$1:$C$52,2,FALSE)</f>
        <v>噴漆維修組</v>
      </c>
      <c r="N2163">
        <f>IF(交易處理資料__3[[#This Row],[上班時間]]=0,0,交易處理資料__3[[#This Row],[售出工時]]/交易處理資料__3[[#This Row],[上班時間]])</f>
        <v>0</v>
      </c>
      <c r="O2163" s="31" t="str">
        <f>IF(交易處理資料__3[[#This Row],[上班時間]]=0,"否","是")</f>
        <v>否</v>
      </c>
    </row>
    <row r="2164" spans="1:15" hidden="1">
      <c r="A2164" s="10" t="s">
        <v>73</v>
      </c>
      <c r="B2164" t="s">
        <v>3</v>
      </c>
      <c r="C2164">
        <v>0</v>
      </c>
      <c r="D2164">
        <v>0</v>
      </c>
      <c r="E2164" s="27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 s="9">
        <v>45346</v>
      </c>
      <c r="L2164">
        <f xml:space="preserve"> (交易處理資料__3[[#This Row],[售出工時]] * 60) / 5</f>
        <v>0</v>
      </c>
      <c r="M2164" t="str">
        <f>VLOOKUP(交易處理資料__3[[#This Row],[人員代號]],團隊分組!$B$1:$C$52,2,FALSE)</f>
        <v>噴漆維修組</v>
      </c>
      <c r="N2164">
        <f>IF(交易處理資料__3[[#This Row],[上班時間]]=0,0,交易處理資料__3[[#This Row],[售出工時]]/交易處理資料__3[[#This Row],[上班時間]])</f>
        <v>0</v>
      </c>
      <c r="O2164" s="31" t="str">
        <f>IF(交易處理資料__3[[#This Row],[上班時間]]=0,"否","是")</f>
        <v>否</v>
      </c>
    </row>
    <row r="2165" spans="1:15" hidden="1">
      <c r="A2165" s="10" t="s">
        <v>73</v>
      </c>
      <c r="B2165" t="s">
        <v>4</v>
      </c>
      <c r="C2165">
        <v>0</v>
      </c>
      <c r="D2165">
        <v>0</v>
      </c>
      <c r="E2165" s="27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 s="9">
        <v>45346</v>
      </c>
      <c r="L2165">
        <f xml:space="preserve"> (交易處理資料__3[[#This Row],[售出工時]] * 60) / 5</f>
        <v>0</v>
      </c>
      <c r="M2165" t="str">
        <f>VLOOKUP(交易處理資料__3[[#This Row],[人員代號]],團隊分組!$B$1:$C$52,2,FALSE)</f>
        <v>噴漆維修組</v>
      </c>
      <c r="N2165">
        <f>IF(交易處理資料__3[[#This Row],[上班時間]]=0,0,交易處理資料__3[[#This Row],[售出工時]]/交易處理資料__3[[#This Row],[上班時間]])</f>
        <v>0</v>
      </c>
      <c r="O2165" s="31" t="str">
        <f>IF(交易處理資料__3[[#This Row],[上班時間]]=0,"否","是")</f>
        <v>否</v>
      </c>
    </row>
    <row r="2166" spans="1:15" hidden="1">
      <c r="A2166" s="10" t="s">
        <v>73</v>
      </c>
      <c r="B2166" t="s">
        <v>5</v>
      </c>
      <c r="C2166">
        <v>0</v>
      </c>
      <c r="D2166">
        <v>0</v>
      </c>
      <c r="E2166" s="27">
        <v>0</v>
      </c>
      <c r="F2166">
        <v>7.53</v>
      </c>
      <c r="G2166">
        <v>0.45</v>
      </c>
      <c r="H2166">
        <v>7.98</v>
      </c>
      <c r="I2166">
        <v>94.36</v>
      </c>
      <c r="J2166">
        <v>0</v>
      </c>
      <c r="K2166" s="9">
        <v>45346</v>
      </c>
      <c r="L2166">
        <f xml:space="preserve"> (交易處理資料__3[[#This Row],[售出工時]] * 60) / 5</f>
        <v>0</v>
      </c>
      <c r="M2166" t="str">
        <f>VLOOKUP(交易處理資料__3[[#This Row],[人員代號]],團隊分組!$B$1:$C$52,2,FALSE)</f>
        <v>噴漆維修組</v>
      </c>
      <c r="N2166">
        <f>IF(交易處理資料__3[[#This Row],[上班時間]]=0,0,交易處理資料__3[[#This Row],[售出工時]]/交易處理資料__3[[#This Row],[上班時間]])</f>
        <v>0</v>
      </c>
      <c r="O2166" s="31" t="str">
        <f>IF(交易處理資料__3[[#This Row],[上班時間]]=0,"否","是")</f>
        <v>是</v>
      </c>
    </row>
    <row r="2167" spans="1:15" hidden="1">
      <c r="A2167" s="10" t="s">
        <v>73</v>
      </c>
      <c r="B2167" t="s">
        <v>6</v>
      </c>
      <c r="C2167">
        <v>0</v>
      </c>
      <c r="D2167">
        <v>0</v>
      </c>
      <c r="E2167" s="27">
        <v>0</v>
      </c>
      <c r="F2167">
        <v>7.55</v>
      </c>
      <c r="G2167">
        <v>0.43</v>
      </c>
      <c r="H2167">
        <v>7.98</v>
      </c>
      <c r="I2167">
        <v>94.61</v>
      </c>
      <c r="J2167">
        <v>0</v>
      </c>
      <c r="K2167" s="9">
        <v>45346</v>
      </c>
      <c r="L2167">
        <f xml:space="preserve"> (交易處理資料__3[[#This Row],[售出工時]] * 60) / 5</f>
        <v>0</v>
      </c>
      <c r="M2167" t="str">
        <f>VLOOKUP(交易處理資料__3[[#This Row],[人員代號]],團隊分組!$B$1:$C$52,2,FALSE)</f>
        <v>噴漆維修組</v>
      </c>
      <c r="N2167">
        <f>IF(交易處理資料__3[[#This Row],[上班時間]]=0,0,交易處理資料__3[[#This Row],[售出工時]]/交易處理資料__3[[#This Row],[上班時間]])</f>
        <v>0</v>
      </c>
      <c r="O2167" s="31" t="str">
        <f>IF(交易處理資料__3[[#This Row],[上班時間]]=0,"否","是")</f>
        <v>是</v>
      </c>
    </row>
    <row r="2168" spans="1:15" hidden="1">
      <c r="A2168" s="10" t="s">
        <v>73</v>
      </c>
      <c r="B2168" t="s">
        <v>7</v>
      </c>
      <c r="C2168">
        <v>0</v>
      </c>
      <c r="D2168">
        <v>0</v>
      </c>
      <c r="E2168" s="27">
        <v>0</v>
      </c>
      <c r="F2168">
        <v>7.56</v>
      </c>
      <c r="G2168">
        <v>0.44</v>
      </c>
      <c r="H2168">
        <v>8</v>
      </c>
      <c r="I2168">
        <v>94.5</v>
      </c>
      <c r="J2168">
        <v>0</v>
      </c>
      <c r="K2168" s="9">
        <v>45346</v>
      </c>
      <c r="L2168">
        <f xml:space="preserve"> (交易處理資料__3[[#This Row],[售出工時]] * 60) / 5</f>
        <v>0</v>
      </c>
      <c r="M2168" t="str">
        <f>VLOOKUP(交易處理資料__3[[#This Row],[人員代號]],團隊分組!$B$1:$C$52,2,FALSE)</f>
        <v>噴漆維修組</v>
      </c>
      <c r="N2168">
        <f>IF(交易處理資料__3[[#This Row],[上班時間]]=0,0,交易處理資料__3[[#This Row],[售出工時]]/交易處理資料__3[[#This Row],[上班時間]])</f>
        <v>0</v>
      </c>
      <c r="O2168" s="31" t="str">
        <f>IF(交易處理資料__3[[#This Row],[上班時間]]=0,"否","是")</f>
        <v>是</v>
      </c>
    </row>
    <row r="2169" spans="1:15" hidden="1">
      <c r="A2169" s="10" t="s">
        <v>73</v>
      </c>
      <c r="B2169" t="s">
        <v>8</v>
      </c>
      <c r="C2169">
        <v>0</v>
      </c>
      <c r="D2169">
        <v>0</v>
      </c>
      <c r="E2169" s="27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 s="9">
        <v>45346</v>
      </c>
      <c r="L2169">
        <f xml:space="preserve"> (交易處理資料__3[[#This Row],[售出工時]] * 60) / 5</f>
        <v>0</v>
      </c>
      <c r="M2169" t="str">
        <f>VLOOKUP(交易處理資料__3[[#This Row],[人員代號]],團隊分組!$B$1:$C$52,2,FALSE)</f>
        <v>噴漆維修組</v>
      </c>
      <c r="N2169">
        <f>IF(交易處理資料__3[[#This Row],[上班時間]]=0,0,交易處理資料__3[[#This Row],[售出工時]]/交易處理資料__3[[#This Row],[上班時間]])</f>
        <v>0</v>
      </c>
      <c r="O2169" s="31" t="str">
        <f>IF(交易處理資料__3[[#This Row],[上班時間]]=0,"否","是")</f>
        <v>否</v>
      </c>
    </row>
    <row r="2170" spans="1:15" hidden="1">
      <c r="A2170" s="10" t="s">
        <v>73</v>
      </c>
      <c r="B2170" t="s">
        <v>9</v>
      </c>
      <c r="C2170">
        <v>0</v>
      </c>
      <c r="D2170">
        <v>0</v>
      </c>
      <c r="E2170" s="27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 s="9">
        <v>45346</v>
      </c>
      <c r="L2170">
        <f xml:space="preserve"> (交易處理資料__3[[#This Row],[售出工時]] * 60) / 5</f>
        <v>0</v>
      </c>
      <c r="M2170" t="str">
        <f>VLOOKUP(交易處理資料__3[[#This Row],[人員代號]],團隊分組!$B$1:$C$52,2,FALSE)</f>
        <v>噴漆維修組</v>
      </c>
      <c r="N2170">
        <f>IF(交易處理資料__3[[#This Row],[上班時間]]=0,0,交易處理資料__3[[#This Row],[售出工時]]/交易處理資料__3[[#This Row],[上班時間]])</f>
        <v>0</v>
      </c>
      <c r="O2170" s="31" t="str">
        <f>IF(交易處理資料__3[[#This Row],[上班時間]]=0,"否","是")</f>
        <v>否</v>
      </c>
    </row>
    <row r="2171" spans="1:15" hidden="1">
      <c r="A2171" t="s">
        <v>74</v>
      </c>
      <c r="B2171" t="s">
        <v>11</v>
      </c>
      <c r="C2171">
        <v>0</v>
      </c>
      <c r="D2171">
        <v>0</v>
      </c>
      <c r="E2171" s="27">
        <v>0</v>
      </c>
      <c r="F2171">
        <v>3.57</v>
      </c>
      <c r="G2171">
        <v>4.37</v>
      </c>
      <c r="H2171">
        <v>7.94</v>
      </c>
      <c r="I2171">
        <v>44.96</v>
      </c>
      <c r="J2171">
        <v>0</v>
      </c>
      <c r="K2171" s="9">
        <v>45346</v>
      </c>
      <c r="L2171">
        <f xml:space="preserve"> (交易處理資料__3[[#This Row],[售出工時]] * 60) / 5</f>
        <v>0</v>
      </c>
      <c r="M2171" t="str">
        <f>VLOOKUP(交易處理資料__3[[#This Row],[人員代號]],團隊分組!$B$1:$C$52,2,FALSE)</f>
        <v>鈑金維修組</v>
      </c>
      <c r="N2171">
        <f>IF(交易處理資料__3[[#This Row],[上班時間]]=0,0,交易處理資料__3[[#This Row],[售出工時]]/交易處理資料__3[[#This Row],[上班時間]])</f>
        <v>0</v>
      </c>
      <c r="O2171" s="31" t="str">
        <f>IF(交易處理資料__3[[#This Row],[上班時間]]=0,"否","是")</f>
        <v>是</v>
      </c>
    </row>
    <row r="2172" spans="1:15" hidden="1">
      <c r="A2172" t="s">
        <v>74</v>
      </c>
      <c r="B2172" t="s">
        <v>12</v>
      </c>
      <c r="C2172">
        <v>0</v>
      </c>
      <c r="D2172">
        <v>0</v>
      </c>
      <c r="E2172" s="27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 s="9">
        <v>45346</v>
      </c>
      <c r="L2172">
        <f xml:space="preserve"> (交易處理資料__3[[#This Row],[售出工時]] * 60) / 5</f>
        <v>0</v>
      </c>
      <c r="M2172" t="str">
        <f>VLOOKUP(交易處理資料__3[[#This Row],[人員代號]],團隊分組!$B$1:$C$52,2,FALSE)</f>
        <v>鈑金維修組</v>
      </c>
      <c r="N2172">
        <f>IF(交易處理資料__3[[#This Row],[上班時間]]=0,0,交易處理資料__3[[#This Row],[售出工時]]/交易處理資料__3[[#This Row],[上班時間]])</f>
        <v>0</v>
      </c>
      <c r="O2172" s="31" t="str">
        <f>IF(交易處理資料__3[[#This Row],[上班時間]]=0,"否","是")</f>
        <v>否</v>
      </c>
    </row>
    <row r="2173" spans="1:15" hidden="1">
      <c r="A2173" t="s">
        <v>74</v>
      </c>
      <c r="B2173" t="s">
        <v>13</v>
      </c>
      <c r="C2173">
        <v>0</v>
      </c>
      <c r="D2173">
        <v>0</v>
      </c>
      <c r="E2173" s="27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 s="9">
        <v>45346</v>
      </c>
      <c r="L2173">
        <f xml:space="preserve"> (交易處理資料__3[[#This Row],[售出工時]] * 60) / 5</f>
        <v>0</v>
      </c>
      <c r="M2173" t="str">
        <f>VLOOKUP(交易處理資料__3[[#This Row],[人員代號]],團隊分組!$B$1:$C$52,2,FALSE)</f>
        <v>鈑金維修組</v>
      </c>
      <c r="N2173">
        <f>IF(交易處理資料__3[[#This Row],[上班時間]]=0,0,交易處理資料__3[[#This Row],[售出工時]]/交易處理資料__3[[#This Row],[上班時間]])</f>
        <v>0</v>
      </c>
      <c r="O2173" s="31" t="str">
        <f>IF(交易處理資料__3[[#This Row],[上班時間]]=0,"否","是")</f>
        <v>否</v>
      </c>
    </row>
    <row r="2174" spans="1:15" hidden="1">
      <c r="A2174" t="s">
        <v>74</v>
      </c>
      <c r="B2174" t="s">
        <v>14</v>
      </c>
      <c r="C2174">
        <v>0</v>
      </c>
      <c r="D2174">
        <v>0</v>
      </c>
      <c r="E2174" s="27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 s="9">
        <v>45346</v>
      </c>
      <c r="L2174">
        <f xml:space="preserve"> (交易處理資料__3[[#This Row],[售出工時]] * 60) / 5</f>
        <v>0</v>
      </c>
      <c r="M2174" t="str">
        <f>VLOOKUP(交易處理資料__3[[#This Row],[人員代號]],團隊分組!$B$1:$C$52,2,FALSE)</f>
        <v>鈑金維修組</v>
      </c>
      <c r="N2174">
        <f>IF(交易處理資料__3[[#This Row],[上班時間]]=0,0,交易處理資料__3[[#This Row],[售出工時]]/交易處理資料__3[[#This Row],[上班時間]])</f>
        <v>0</v>
      </c>
      <c r="O2174" s="31" t="str">
        <f>IF(交易處理資料__3[[#This Row],[上班時間]]=0,"否","是")</f>
        <v>否</v>
      </c>
    </row>
    <row r="2175" spans="1:15" hidden="1">
      <c r="A2175" t="s">
        <v>74</v>
      </c>
      <c r="B2175" t="s">
        <v>15</v>
      </c>
      <c r="C2175">
        <v>0</v>
      </c>
      <c r="D2175">
        <v>0</v>
      </c>
      <c r="E2175" s="27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 s="9">
        <v>45346</v>
      </c>
      <c r="L2175">
        <f xml:space="preserve"> (交易處理資料__3[[#This Row],[售出工時]] * 60) / 5</f>
        <v>0</v>
      </c>
      <c r="M2175" t="str">
        <f>VLOOKUP(交易處理資料__3[[#This Row],[人員代號]],團隊分組!$B$1:$C$52,2,FALSE)</f>
        <v>鈑金維修組</v>
      </c>
      <c r="N2175">
        <f>IF(交易處理資料__3[[#This Row],[上班時間]]=0,0,交易處理資料__3[[#This Row],[售出工時]]/交易處理資料__3[[#This Row],[上班時間]])</f>
        <v>0</v>
      </c>
      <c r="O2175" s="31" t="str">
        <f>IF(交易處理資料__3[[#This Row],[上班時間]]=0,"否","是")</f>
        <v>否</v>
      </c>
    </row>
    <row r="2176" spans="1:15" hidden="1">
      <c r="A2176" t="s">
        <v>75</v>
      </c>
      <c r="B2176" t="s">
        <v>17</v>
      </c>
      <c r="C2176">
        <v>4.75</v>
      </c>
      <c r="D2176">
        <v>2.76</v>
      </c>
      <c r="E2176" s="27">
        <v>172.10144930000001</v>
      </c>
      <c r="F2176">
        <v>4.5199999999999996</v>
      </c>
      <c r="G2176">
        <v>1.35</v>
      </c>
      <c r="H2176">
        <v>5.87</v>
      </c>
      <c r="I2176">
        <v>77</v>
      </c>
      <c r="J2176">
        <v>80.92</v>
      </c>
      <c r="K2176" s="9">
        <v>45346</v>
      </c>
      <c r="L2176">
        <f xml:space="preserve"> (交易處理資料__3[[#This Row],[售出工時]] * 60) / 5</f>
        <v>57</v>
      </c>
      <c r="M2176" t="str">
        <f>VLOOKUP(交易處理資料__3[[#This Row],[人員代號]],團隊分組!$B$1:$C$52,2,FALSE)</f>
        <v>快速保養團隊A</v>
      </c>
      <c r="N2176">
        <f>IF(交易處理資料__3[[#This Row],[上班時間]]=0,0,交易處理資料__3[[#This Row],[售出工時]]/交易處理資料__3[[#This Row],[上班時間]])</f>
        <v>0.80919931856899485</v>
      </c>
      <c r="O2176" s="31" t="str">
        <f>IF(交易處理資料__3[[#This Row],[上班時間]]=0,"否","是")</f>
        <v>是</v>
      </c>
    </row>
    <row r="2177" spans="1:15" hidden="1">
      <c r="A2177" t="s">
        <v>75</v>
      </c>
      <c r="B2177" t="s">
        <v>20</v>
      </c>
      <c r="C2177">
        <v>1.34</v>
      </c>
      <c r="D2177">
        <v>1.65</v>
      </c>
      <c r="E2177" s="27">
        <v>81.212121210000006</v>
      </c>
      <c r="F2177">
        <v>1.65</v>
      </c>
      <c r="G2177">
        <v>2.31</v>
      </c>
      <c r="H2177">
        <v>3.96</v>
      </c>
      <c r="I2177">
        <v>41.67</v>
      </c>
      <c r="J2177">
        <v>33.840000000000003</v>
      </c>
      <c r="K2177" s="9">
        <v>45346</v>
      </c>
      <c r="L2177">
        <f xml:space="preserve"> (交易處理資料__3[[#This Row],[售出工時]] * 60) / 5</f>
        <v>16.080000000000002</v>
      </c>
      <c r="M2177" t="str">
        <f>VLOOKUP(交易處理資料__3[[#This Row],[人員代號]],團隊分組!$B$1:$C$52,2,FALSE)</f>
        <v>查修團隊B</v>
      </c>
      <c r="N2177">
        <f>IF(交易處理資料__3[[#This Row],[上班時間]]=0,0,交易處理資料__3[[#This Row],[售出工時]]/交易處理資料__3[[#This Row],[上班時間]])</f>
        <v>0.3383838383838384</v>
      </c>
      <c r="O2177" s="31" t="str">
        <f>IF(交易處理資料__3[[#This Row],[上班時間]]=0,"否","是")</f>
        <v>是</v>
      </c>
    </row>
    <row r="2178" spans="1:15" hidden="1">
      <c r="A2178" t="s">
        <v>75</v>
      </c>
      <c r="B2178" t="s">
        <v>22</v>
      </c>
      <c r="C2178">
        <v>0</v>
      </c>
      <c r="D2178">
        <v>0</v>
      </c>
      <c r="E2178" s="27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 s="9">
        <v>45346</v>
      </c>
      <c r="L2178">
        <f xml:space="preserve"> (交易處理資料__3[[#This Row],[售出工時]] * 60) / 5</f>
        <v>0</v>
      </c>
      <c r="M2178" t="str">
        <f>VLOOKUP(交易處理資料__3[[#This Row],[人員代號]],團隊分組!$B$1:$C$52,2,FALSE)</f>
        <v>快速保養團隊A</v>
      </c>
      <c r="N2178">
        <f>IF(交易處理資料__3[[#This Row],[上班時間]]=0,0,交易處理資料__3[[#This Row],[售出工時]]/交易處理資料__3[[#This Row],[上班時間]])</f>
        <v>0</v>
      </c>
      <c r="O2178" s="31" t="str">
        <f>IF(交易處理資料__3[[#This Row],[上班時間]]=0,"否","是")</f>
        <v>否</v>
      </c>
    </row>
    <row r="2179" spans="1:15" hidden="1">
      <c r="A2179" t="s">
        <v>75</v>
      </c>
      <c r="B2179" t="s">
        <v>23</v>
      </c>
      <c r="C2179">
        <v>5.27</v>
      </c>
      <c r="D2179">
        <v>5.98</v>
      </c>
      <c r="E2179" s="27">
        <v>88.127090300000006</v>
      </c>
      <c r="F2179">
        <v>5.45</v>
      </c>
      <c r="G2179">
        <v>2.4900000000000002</v>
      </c>
      <c r="H2179">
        <v>7.94</v>
      </c>
      <c r="I2179">
        <v>68.64</v>
      </c>
      <c r="J2179">
        <v>66.37</v>
      </c>
      <c r="K2179" s="9">
        <v>45346</v>
      </c>
      <c r="L2179">
        <f xml:space="preserve"> (交易處理資料__3[[#This Row],[售出工時]] * 60) / 5</f>
        <v>63.239999999999995</v>
      </c>
      <c r="M2179" t="str">
        <f>VLOOKUP(交易處理資料__3[[#This Row],[人員代號]],團隊分組!$B$1:$C$52,2,FALSE)</f>
        <v>快速保養團隊B</v>
      </c>
      <c r="N2179">
        <f>IF(交易處理資料__3[[#This Row],[上班時間]]=0,0,交易處理資料__3[[#This Row],[售出工時]]/交易處理資料__3[[#This Row],[上班時間]])</f>
        <v>0.66372795969773291</v>
      </c>
      <c r="O2179" s="31" t="str">
        <f>IF(交易處理資料__3[[#This Row],[上班時間]]=0,"否","是")</f>
        <v>是</v>
      </c>
    </row>
    <row r="2180" spans="1:15" hidden="1">
      <c r="A2180" t="s">
        <v>75</v>
      </c>
      <c r="B2180" t="s">
        <v>24</v>
      </c>
      <c r="C2180">
        <v>0</v>
      </c>
      <c r="D2180">
        <v>0</v>
      </c>
      <c r="E2180" s="27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 s="9">
        <v>45346</v>
      </c>
      <c r="L2180">
        <f xml:space="preserve"> (交易處理資料__3[[#This Row],[售出工時]] * 60) / 5</f>
        <v>0</v>
      </c>
      <c r="M2180" t="str">
        <f>VLOOKUP(交易處理資料__3[[#This Row],[人員代號]],團隊分組!$B$1:$C$52,2,FALSE)</f>
        <v>快速保養團隊A</v>
      </c>
      <c r="N2180">
        <f>IF(交易處理資料__3[[#This Row],[上班時間]]=0,0,交易處理資料__3[[#This Row],[售出工時]]/交易處理資料__3[[#This Row],[上班時間]])</f>
        <v>0</v>
      </c>
      <c r="O2180" s="31" t="str">
        <f>IF(交易處理資料__3[[#This Row],[上班時間]]=0,"否","是")</f>
        <v>否</v>
      </c>
    </row>
    <row r="2181" spans="1:15" hidden="1">
      <c r="A2181" t="s">
        <v>75</v>
      </c>
      <c r="B2181" t="s">
        <v>25</v>
      </c>
      <c r="C2181">
        <v>6.0366666670000004</v>
      </c>
      <c r="D2181">
        <v>5</v>
      </c>
      <c r="E2181" s="27">
        <v>120.7333333</v>
      </c>
      <c r="F2181">
        <v>5.27</v>
      </c>
      <c r="G2181">
        <v>2.56</v>
      </c>
      <c r="H2181">
        <v>7.83</v>
      </c>
      <c r="I2181">
        <v>67.31</v>
      </c>
      <c r="J2181">
        <v>77.099999999999994</v>
      </c>
      <c r="K2181" s="9">
        <v>45346</v>
      </c>
      <c r="L2181">
        <f xml:space="preserve"> (交易處理資料__3[[#This Row],[售出工時]] * 60) / 5</f>
        <v>72.440000003999998</v>
      </c>
      <c r="M2181" t="str">
        <f>VLOOKUP(交易處理資料__3[[#This Row],[人員代號]],團隊分組!$B$1:$C$52,2,FALSE)</f>
        <v>查修團隊A</v>
      </c>
      <c r="N2181">
        <f>IF(交易處理資料__3[[#This Row],[上班時間]]=0,0,交易處理資料__3[[#This Row],[售出工時]]/交易處理資料__3[[#This Row],[上班時間]])</f>
        <v>0.7709663687100895</v>
      </c>
      <c r="O2181" s="31" t="str">
        <f>IF(交易處理資料__3[[#This Row],[上班時間]]=0,"否","是")</f>
        <v>是</v>
      </c>
    </row>
    <row r="2182" spans="1:15" hidden="1">
      <c r="A2182" t="s">
        <v>75</v>
      </c>
      <c r="B2182" t="s">
        <v>27</v>
      </c>
      <c r="C2182">
        <v>0</v>
      </c>
      <c r="D2182">
        <v>0</v>
      </c>
      <c r="E2182" s="27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 s="9">
        <v>45346</v>
      </c>
      <c r="L2182">
        <f xml:space="preserve"> (交易處理資料__3[[#This Row],[售出工時]] * 60) / 5</f>
        <v>0</v>
      </c>
      <c r="M2182" t="str">
        <f>VLOOKUP(交易處理資料__3[[#This Row],[人員代號]],團隊分組!$B$1:$C$52,2,FALSE)</f>
        <v>快速保養團隊B</v>
      </c>
      <c r="N2182">
        <f>IF(交易處理資料__3[[#This Row],[上班時間]]=0,0,交易處理資料__3[[#This Row],[售出工時]]/交易處理資料__3[[#This Row],[上班時間]])</f>
        <v>0</v>
      </c>
      <c r="O2182" s="31" t="str">
        <f>IF(交易處理資料__3[[#This Row],[上班時間]]=0,"否","是")</f>
        <v>否</v>
      </c>
    </row>
    <row r="2183" spans="1:15" hidden="1">
      <c r="A2183" t="s">
        <v>75</v>
      </c>
      <c r="B2183" t="s">
        <v>30</v>
      </c>
      <c r="C2183">
        <v>0</v>
      </c>
      <c r="D2183">
        <v>0</v>
      </c>
      <c r="E2183" s="27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 s="9">
        <v>45346</v>
      </c>
      <c r="L2183">
        <f xml:space="preserve"> (交易處理資料__3[[#This Row],[售出工時]] * 60) / 5</f>
        <v>0</v>
      </c>
      <c r="M2183" t="str">
        <f>VLOOKUP(交易處理資料__3[[#This Row],[人員代號]],團隊分組!$B$1:$C$52,2,FALSE)</f>
        <v>快速保養團隊B</v>
      </c>
      <c r="N2183">
        <f>IF(交易處理資料__3[[#This Row],[上班時間]]=0,0,交易處理資料__3[[#This Row],[售出工時]]/交易處理資料__3[[#This Row],[上班時間]])</f>
        <v>0</v>
      </c>
      <c r="O2183" s="31" t="str">
        <f>IF(交易處理資料__3[[#This Row],[上班時間]]=0,"否","是")</f>
        <v>否</v>
      </c>
    </row>
    <row r="2184" spans="1:15">
      <c r="A2184" t="s">
        <v>75</v>
      </c>
      <c r="B2184" t="s">
        <v>33</v>
      </c>
      <c r="C2184">
        <v>0</v>
      </c>
      <c r="D2184">
        <v>0</v>
      </c>
      <c r="E2184" s="27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 s="9">
        <v>45346</v>
      </c>
      <c r="L2184">
        <f xml:space="preserve"> (交易處理資料__3[[#This Row],[售出工時]] * 60) / 5</f>
        <v>0</v>
      </c>
      <c r="M2184" t="str">
        <f>VLOOKUP(交易處理資料__3[[#This Row],[人員代號]],團隊分組!$B$1:$C$52,2,FALSE)</f>
        <v>快速保養團隊B</v>
      </c>
      <c r="N2184">
        <f>IF(交易處理資料__3[[#This Row],[上班時間]]=0,0,交易處理資料__3[[#This Row],[售出工時]]/交易處理資料__3[[#This Row],[上班時間]])</f>
        <v>0</v>
      </c>
      <c r="O2184" s="31" t="str">
        <f>IF(交易處理資料__3[[#This Row],[上班時間]]=0,"否","是")</f>
        <v>否</v>
      </c>
    </row>
    <row r="2185" spans="1:15" hidden="1">
      <c r="A2185" t="s">
        <v>75</v>
      </c>
      <c r="B2185" t="s">
        <v>34</v>
      </c>
      <c r="C2185">
        <v>0</v>
      </c>
      <c r="D2185">
        <v>0</v>
      </c>
      <c r="E2185" s="27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 s="9">
        <v>45346</v>
      </c>
      <c r="L2185">
        <f xml:space="preserve"> (交易處理資料__3[[#This Row],[售出工時]] * 60) / 5</f>
        <v>0</v>
      </c>
      <c r="M2185" t="str">
        <f>VLOOKUP(交易處理資料__3[[#This Row],[人員代號]],團隊分組!$B$1:$C$52,2,FALSE)</f>
        <v>快速保養團隊A</v>
      </c>
      <c r="N2185">
        <f>IF(交易處理資料__3[[#This Row],[上班時間]]=0,0,交易處理資料__3[[#This Row],[售出工時]]/交易處理資料__3[[#This Row],[上班時間]])</f>
        <v>0</v>
      </c>
      <c r="O2185" s="31" t="str">
        <f>IF(交易處理資料__3[[#This Row],[上班時間]]=0,"否","是")</f>
        <v>否</v>
      </c>
    </row>
    <row r="2186" spans="1:15" hidden="1">
      <c r="A2186" t="s">
        <v>75</v>
      </c>
      <c r="B2186" t="s">
        <v>35</v>
      </c>
      <c r="C2186">
        <v>7.2633333330000003</v>
      </c>
      <c r="D2186">
        <v>6.04</v>
      </c>
      <c r="E2186" s="27">
        <v>120.2538631</v>
      </c>
      <c r="F2186">
        <v>5.26</v>
      </c>
      <c r="G2186">
        <v>2.62</v>
      </c>
      <c r="H2186">
        <v>7.88</v>
      </c>
      <c r="I2186">
        <v>66.75</v>
      </c>
      <c r="J2186">
        <v>92.17</v>
      </c>
      <c r="K2186" s="9">
        <v>45346</v>
      </c>
      <c r="L2186">
        <f xml:space="preserve"> (交易處理資料__3[[#This Row],[售出工時]] * 60) / 5</f>
        <v>87.159999995999996</v>
      </c>
      <c r="M2186" t="str">
        <f>VLOOKUP(交易處理資料__3[[#This Row],[人員代號]],團隊分組!$B$1:$C$52,2,FALSE)</f>
        <v>查修團隊B</v>
      </c>
      <c r="N2186">
        <f>IF(交易處理資料__3[[#This Row],[上班時間]]=0,0,交易處理資料__3[[#This Row],[售出工時]]/交易處理資料__3[[#This Row],[上班時間]])</f>
        <v>0.92174280875634518</v>
      </c>
      <c r="O2186" s="31" t="str">
        <f>IF(交易處理資料__3[[#This Row],[上班時間]]=0,"否","是")</f>
        <v>是</v>
      </c>
    </row>
    <row r="2187" spans="1:15" hidden="1">
      <c r="A2187" t="s">
        <v>75</v>
      </c>
      <c r="B2187" t="s">
        <v>36</v>
      </c>
      <c r="C2187">
        <v>2.4700000000000002</v>
      </c>
      <c r="D2187">
        <v>3.33</v>
      </c>
      <c r="E2187" s="27">
        <v>74.174174170000001</v>
      </c>
      <c r="F2187">
        <v>4.38</v>
      </c>
      <c r="G2187">
        <v>3.48</v>
      </c>
      <c r="H2187">
        <v>7.86</v>
      </c>
      <c r="I2187">
        <v>55.73</v>
      </c>
      <c r="J2187">
        <v>31.42</v>
      </c>
      <c r="K2187" s="9">
        <v>45346</v>
      </c>
      <c r="L2187">
        <f xml:space="preserve"> (交易處理資料__3[[#This Row],[售出工時]] * 60) / 5</f>
        <v>29.640000000000004</v>
      </c>
      <c r="M2187" t="str">
        <f>VLOOKUP(交易處理資料__3[[#This Row],[人員代號]],團隊分組!$B$1:$C$52,2,FALSE)</f>
        <v>查修團隊B</v>
      </c>
      <c r="N2187">
        <f>IF(交易處理資料__3[[#This Row],[上班時間]]=0,0,交易處理資料__3[[#This Row],[售出工時]]/交易處理資料__3[[#This Row],[上班時間]])</f>
        <v>0.31424936386768448</v>
      </c>
      <c r="O2187" s="31" t="str">
        <f>IF(交易處理資料__3[[#This Row],[上班時間]]=0,"否","是")</f>
        <v>是</v>
      </c>
    </row>
    <row r="2188" spans="1:15" hidden="1">
      <c r="A2188" t="s">
        <v>75</v>
      </c>
      <c r="B2188" t="s">
        <v>37</v>
      </c>
      <c r="C2188">
        <v>7.65</v>
      </c>
      <c r="D2188">
        <v>6.83</v>
      </c>
      <c r="E2188" s="27">
        <v>112.00585649999999</v>
      </c>
      <c r="F2188">
        <v>5.95</v>
      </c>
      <c r="G2188">
        <v>1.92</v>
      </c>
      <c r="H2188">
        <v>7.87</v>
      </c>
      <c r="I2188">
        <v>75.599999999999994</v>
      </c>
      <c r="J2188">
        <v>97.2</v>
      </c>
      <c r="K2188" s="9">
        <v>45346</v>
      </c>
      <c r="L2188">
        <f xml:space="preserve"> (交易處理資料__3[[#This Row],[售出工時]] * 60) / 5</f>
        <v>91.8</v>
      </c>
      <c r="M2188" t="str">
        <f>VLOOKUP(交易處理資料__3[[#This Row],[人員代號]],團隊分組!$B$1:$C$52,2,FALSE)</f>
        <v>查修團隊A</v>
      </c>
      <c r="N2188">
        <f>IF(交易處理資料__3[[#This Row],[上班時間]]=0,0,交易處理資料__3[[#This Row],[售出工時]]/交易處理資料__3[[#This Row],[上班時間]])</f>
        <v>0.97204574332909788</v>
      </c>
      <c r="O2188" s="31" t="str">
        <f>IF(交易處理資料__3[[#This Row],[上班時間]]=0,"否","是")</f>
        <v>是</v>
      </c>
    </row>
    <row r="2189" spans="1:15" hidden="1">
      <c r="A2189" t="s">
        <v>75</v>
      </c>
      <c r="B2189" t="s">
        <v>38</v>
      </c>
      <c r="C2189">
        <v>11.91666667</v>
      </c>
      <c r="D2189">
        <v>5.91</v>
      </c>
      <c r="E2189" s="27">
        <v>201.63564579999999</v>
      </c>
      <c r="F2189">
        <v>5.83</v>
      </c>
      <c r="G2189">
        <v>2.0299999999999998</v>
      </c>
      <c r="H2189">
        <v>7.86</v>
      </c>
      <c r="I2189">
        <v>74.17</v>
      </c>
      <c r="J2189">
        <v>151.61000000000001</v>
      </c>
      <c r="K2189" s="9">
        <v>45346</v>
      </c>
      <c r="L2189">
        <f xml:space="preserve"> (交易處理資料__3[[#This Row],[售出工時]] * 60) / 5</f>
        <v>143.00000003999997</v>
      </c>
      <c r="M2189" t="str">
        <f>VLOOKUP(交易處理資料__3[[#This Row],[人員代號]],團隊分組!$B$1:$C$52,2,FALSE)</f>
        <v>快速保養團隊A</v>
      </c>
      <c r="N2189">
        <f>IF(交易處理資料__3[[#This Row],[上班時間]]=0,0,交易處理資料__3[[#This Row],[售出工時]]/交易處理資料__3[[#This Row],[上班時間]])</f>
        <v>1.5161153524173028</v>
      </c>
      <c r="O2189" s="31" t="str">
        <f>IF(交易處理資料__3[[#This Row],[上班時間]]=0,"否","是")</f>
        <v>是</v>
      </c>
    </row>
    <row r="2190" spans="1:15" hidden="1">
      <c r="A2190" t="s">
        <v>75</v>
      </c>
      <c r="B2190" t="s">
        <v>39</v>
      </c>
      <c r="C2190">
        <v>2.82</v>
      </c>
      <c r="D2190">
        <v>2.79</v>
      </c>
      <c r="E2190" s="27">
        <v>101.0752688</v>
      </c>
      <c r="F2190">
        <v>4.0599999999999996</v>
      </c>
      <c r="G2190">
        <v>3.8</v>
      </c>
      <c r="H2190">
        <v>7.86</v>
      </c>
      <c r="I2190">
        <v>51.65</v>
      </c>
      <c r="J2190">
        <v>35.880000000000003</v>
      </c>
      <c r="K2190" s="9">
        <v>45346</v>
      </c>
      <c r="L2190">
        <f xml:space="preserve"> (交易處理資料__3[[#This Row],[售出工時]] * 60) / 5</f>
        <v>33.839999999999996</v>
      </c>
      <c r="M2190" t="str">
        <f>VLOOKUP(交易處理資料__3[[#This Row],[人員代號]],團隊分組!$B$1:$C$52,2,FALSE)</f>
        <v>查修團隊A</v>
      </c>
      <c r="N2190">
        <f>IF(交易處理資料__3[[#This Row],[上班時間]]=0,0,交易處理資料__3[[#This Row],[售出工時]]/交易處理資料__3[[#This Row],[上班時間]])</f>
        <v>0.35877862595419846</v>
      </c>
      <c r="O2190" s="31" t="str">
        <f>IF(交易處理資料__3[[#This Row],[上班時間]]=0,"否","是")</f>
        <v>是</v>
      </c>
    </row>
    <row r="2191" spans="1:15" hidden="1">
      <c r="A2191" t="s">
        <v>75</v>
      </c>
      <c r="B2191" t="s">
        <v>40</v>
      </c>
      <c r="C2191">
        <v>2.3333333330000001</v>
      </c>
      <c r="D2191">
        <v>1.99</v>
      </c>
      <c r="E2191" s="27">
        <v>117.2529313</v>
      </c>
      <c r="F2191">
        <v>5.95</v>
      </c>
      <c r="G2191">
        <v>1.91</v>
      </c>
      <c r="H2191">
        <v>7.86</v>
      </c>
      <c r="I2191">
        <v>75.7</v>
      </c>
      <c r="J2191">
        <v>29.69</v>
      </c>
      <c r="K2191" s="9">
        <v>45346</v>
      </c>
      <c r="L2191">
        <f xml:space="preserve"> (交易處理資料__3[[#This Row],[售出工時]] * 60) / 5</f>
        <v>27.999999996000003</v>
      </c>
      <c r="M2191" t="str">
        <f>VLOOKUP(交易處理資料__3[[#This Row],[人員代號]],團隊分組!$B$1:$C$52,2,FALSE)</f>
        <v>查修團隊A</v>
      </c>
      <c r="N2191">
        <f>IF(交易處理資料__3[[#This Row],[上班時間]]=0,0,交易處理資料__3[[#This Row],[售出工時]]/交易處理資料__3[[#This Row],[上班時間]])</f>
        <v>0.29686174720101782</v>
      </c>
      <c r="O2191" s="31" t="str">
        <f>IF(交易處理資料__3[[#This Row],[上班時間]]=0,"否","是")</f>
        <v>是</v>
      </c>
    </row>
    <row r="2192" spans="1:15" hidden="1">
      <c r="A2192" t="s">
        <v>75</v>
      </c>
      <c r="B2192" t="s">
        <v>41</v>
      </c>
      <c r="C2192">
        <v>7.9533333329999998</v>
      </c>
      <c r="D2192">
        <v>6.24</v>
      </c>
      <c r="E2192" s="27">
        <v>127.45726500000001</v>
      </c>
      <c r="F2192">
        <v>6.24</v>
      </c>
      <c r="G2192">
        <v>1.62</v>
      </c>
      <c r="H2192">
        <v>7.86</v>
      </c>
      <c r="I2192">
        <v>79.39</v>
      </c>
      <c r="J2192">
        <v>101.19</v>
      </c>
      <c r="K2192" s="9">
        <v>45346</v>
      </c>
      <c r="L2192">
        <f xml:space="preserve"> (交易處理資料__3[[#This Row],[售出工時]] * 60) / 5</f>
        <v>95.439999995999997</v>
      </c>
      <c r="M2192" t="str">
        <f>VLOOKUP(交易處理資料__3[[#This Row],[人員代號]],團隊分組!$B$1:$C$52,2,FALSE)</f>
        <v>快速保養團隊A</v>
      </c>
      <c r="N2192">
        <f>IF(交易處理資料__3[[#This Row],[上班時間]]=0,0,交易處理資料__3[[#This Row],[售出工時]]/交易處理資料__3[[#This Row],[上班時間]])</f>
        <v>1.0118744698473281</v>
      </c>
      <c r="O2192" s="31" t="str">
        <f>IF(交易處理資料__3[[#This Row],[上班時間]]=0,"否","是")</f>
        <v>是</v>
      </c>
    </row>
    <row r="2193" spans="1:15" hidden="1">
      <c r="A2193" t="s">
        <v>75</v>
      </c>
      <c r="B2193" t="s">
        <v>42</v>
      </c>
      <c r="C2193">
        <v>0</v>
      </c>
      <c r="D2193">
        <v>0</v>
      </c>
      <c r="E2193" s="27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 s="9">
        <v>45346</v>
      </c>
      <c r="L2193">
        <f xml:space="preserve"> (交易處理資料__3[[#This Row],[售出工時]] * 60) / 5</f>
        <v>0</v>
      </c>
      <c r="M2193" t="str">
        <f>VLOOKUP(交易處理資料__3[[#This Row],[人員代號]],團隊分組!$B$1:$C$52,2,FALSE)</f>
        <v>快速保養團隊A</v>
      </c>
      <c r="N2193">
        <f>IF(交易處理資料__3[[#This Row],[上班時間]]=0,0,交易處理資料__3[[#This Row],[售出工時]]/交易處理資料__3[[#This Row],[上班時間]])</f>
        <v>0</v>
      </c>
      <c r="O2193" s="31" t="str">
        <f>IF(交易處理資料__3[[#This Row],[上班時間]]=0,"否","是")</f>
        <v>否</v>
      </c>
    </row>
    <row r="2194" spans="1:15" hidden="1">
      <c r="A2194" t="s">
        <v>75</v>
      </c>
      <c r="B2194" t="s">
        <v>43</v>
      </c>
      <c r="C2194">
        <v>2.4900000000000002</v>
      </c>
      <c r="D2194">
        <v>3.35</v>
      </c>
      <c r="E2194" s="27">
        <v>74.328358210000005</v>
      </c>
      <c r="F2194">
        <v>4.38</v>
      </c>
      <c r="G2194">
        <v>3.48</v>
      </c>
      <c r="H2194">
        <v>7.86</v>
      </c>
      <c r="I2194">
        <v>55.73</v>
      </c>
      <c r="J2194">
        <v>31.68</v>
      </c>
      <c r="K2194" s="9">
        <v>45346</v>
      </c>
      <c r="L2194">
        <f xml:space="preserve"> (交易處理資料__3[[#This Row],[售出工時]] * 60) / 5</f>
        <v>29.880000000000003</v>
      </c>
      <c r="M2194" t="str">
        <f>VLOOKUP(交易處理資料__3[[#This Row],[人員代號]],團隊分組!$B$1:$C$52,2,FALSE)</f>
        <v>查修團隊B</v>
      </c>
      <c r="N2194">
        <f>IF(交易處理資料__3[[#This Row],[上班時間]]=0,0,交易處理資料__3[[#This Row],[售出工時]]/交易處理資料__3[[#This Row],[上班時間]])</f>
        <v>0.31679389312977102</v>
      </c>
      <c r="O2194" s="31" t="str">
        <f>IF(交易處理資料__3[[#This Row],[上班時間]]=0,"否","是")</f>
        <v>是</v>
      </c>
    </row>
    <row r="2195" spans="1:15" hidden="1">
      <c r="A2195" t="s">
        <v>75</v>
      </c>
      <c r="B2195" t="s">
        <v>44</v>
      </c>
      <c r="C2195">
        <v>2.88</v>
      </c>
      <c r="D2195">
        <v>3.08</v>
      </c>
      <c r="E2195" s="27">
        <v>93.506493509999999</v>
      </c>
      <c r="F2195">
        <v>5.07</v>
      </c>
      <c r="G2195">
        <v>2.79</v>
      </c>
      <c r="H2195">
        <v>7.86</v>
      </c>
      <c r="I2195">
        <v>64.5</v>
      </c>
      <c r="J2195">
        <v>36.64</v>
      </c>
      <c r="K2195" s="9">
        <v>45346</v>
      </c>
      <c r="L2195">
        <f xml:space="preserve"> (交易處理資料__3[[#This Row],[售出工時]] * 60) / 5</f>
        <v>34.559999999999995</v>
      </c>
      <c r="M2195" t="str">
        <f>VLOOKUP(交易處理資料__3[[#This Row],[人員代號]],團隊分組!$B$1:$C$52,2,FALSE)</f>
        <v>快速保養團隊B</v>
      </c>
      <c r="N2195">
        <f>IF(交易處理資料__3[[#This Row],[上班時間]]=0,0,交易處理資料__3[[#This Row],[售出工時]]/交易處理資料__3[[#This Row],[上班時間]])</f>
        <v>0.36641221374045796</v>
      </c>
      <c r="O2195" s="31" t="str">
        <f>IF(交易處理資料__3[[#This Row],[上班時間]]=0,"否","是")</f>
        <v>是</v>
      </c>
    </row>
    <row r="2196" spans="1:15" hidden="1">
      <c r="A2196" t="s">
        <v>75</v>
      </c>
      <c r="B2196" t="s">
        <v>45</v>
      </c>
      <c r="C2196">
        <v>7.8333333329999997</v>
      </c>
      <c r="D2196">
        <v>6.42</v>
      </c>
      <c r="E2196" s="27">
        <v>122.01453789999999</v>
      </c>
      <c r="F2196">
        <v>4.82</v>
      </c>
      <c r="G2196">
        <v>3.08</v>
      </c>
      <c r="H2196">
        <v>7.9</v>
      </c>
      <c r="I2196">
        <v>61.01</v>
      </c>
      <c r="J2196">
        <v>99.16</v>
      </c>
      <c r="K2196" s="9">
        <v>45346</v>
      </c>
      <c r="L2196">
        <f xml:space="preserve"> (交易處理資料__3[[#This Row],[售出工時]] * 60) / 5</f>
        <v>93.999999996</v>
      </c>
      <c r="M2196" t="str">
        <f>VLOOKUP(交易處理資料__3[[#This Row],[人員代號]],團隊分組!$B$1:$C$52,2,FALSE)</f>
        <v>快速保養團隊A</v>
      </c>
      <c r="N2196">
        <f>IF(交易處理資料__3[[#This Row],[上班時間]]=0,0,交易處理資料__3[[#This Row],[售出工時]]/交易處理資料__3[[#This Row],[上班時間]])</f>
        <v>0.99156118139240501</v>
      </c>
      <c r="O2196" s="31" t="str">
        <f>IF(交易處理資料__3[[#This Row],[上班時間]]=0,"否","是")</f>
        <v>是</v>
      </c>
    </row>
    <row r="2197" spans="1:15" hidden="1">
      <c r="A2197" t="s">
        <v>75</v>
      </c>
      <c r="B2197" t="s">
        <v>46</v>
      </c>
      <c r="C2197">
        <v>0</v>
      </c>
      <c r="D2197">
        <v>0</v>
      </c>
      <c r="E2197" s="2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 s="9">
        <v>45346</v>
      </c>
      <c r="L2197">
        <f xml:space="preserve"> (交易處理資料__3[[#This Row],[售出工時]] * 60) / 5</f>
        <v>0</v>
      </c>
      <c r="M2197" t="str">
        <f>VLOOKUP(交易處理資料__3[[#This Row],[人員代號]],團隊分組!$B$1:$C$52,2,FALSE)</f>
        <v>查修團隊B</v>
      </c>
      <c r="N2197">
        <f>IF(交易處理資料__3[[#This Row],[上班時間]]=0,0,交易處理資料__3[[#This Row],[售出工時]]/交易處理資料__3[[#This Row],[上班時間]])</f>
        <v>0</v>
      </c>
      <c r="O2197" s="31" t="str">
        <f>IF(交易處理資料__3[[#This Row],[上班時間]]=0,"否","是")</f>
        <v>否</v>
      </c>
    </row>
    <row r="2198" spans="1:15" hidden="1">
      <c r="A2198" t="s">
        <v>75</v>
      </c>
      <c r="B2198" t="s">
        <v>47</v>
      </c>
      <c r="C2198">
        <v>2.9366666669999999</v>
      </c>
      <c r="D2198">
        <v>3.07</v>
      </c>
      <c r="E2198" s="27">
        <v>95.656894679999994</v>
      </c>
      <c r="F2198">
        <v>5.05</v>
      </c>
      <c r="G2198">
        <v>2.82</v>
      </c>
      <c r="H2198">
        <v>7.87</v>
      </c>
      <c r="I2198">
        <v>64.17</v>
      </c>
      <c r="J2198">
        <v>37.31</v>
      </c>
      <c r="K2198" s="9">
        <v>45346</v>
      </c>
      <c r="L2198">
        <f xml:space="preserve"> (交易處理資料__3[[#This Row],[售出工時]] * 60) / 5</f>
        <v>35.240000004000002</v>
      </c>
      <c r="M2198" t="str">
        <f>VLOOKUP(交易處理資料__3[[#This Row],[人員代號]],團隊分組!$B$1:$C$52,2,FALSE)</f>
        <v>查修團隊B</v>
      </c>
      <c r="N2198">
        <f>IF(交易處理資料__3[[#This Row],[上班時間]]=0,0,交易處理資料__3[[#This Row],[售出工時]]/交易處理資料__3[[#This Row],[上班時間]])</f>
        <v>0.37314697166454891</v>
      </c>
      <c r="O2198" s="31" t="str">
        <f>IF(交易處理資料__3[[#This Row],[上班時間]]=0,"否","是")</f>
        <v>是</v>
      </c>
    </row>
    <row r="2199" spans="1:15" hidden="1">
      <c r="A2199" t="s">
        <v>75</v>
      </c>
      <c r="B2199" t="s">
        <v>50</v>
      </c>
      <c r="C2199">
        <v>0</v>
      </c>
      <c r="D2199">
        <v>0</v>
      </c>
      <c r="E2199" s="27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 s="9">
        <v>45346</v>
      </c>
      <c r="L2199">
        <f xml:space="preserve"> (交易處理資料__3[[#This Row],[售出工時]] * 60) / 5</f>
        <v>0</v>
      </c>
      <c r="M2199" t="str">
        <f>VLOOKUP(交易處理資料__3[[#This Row],[人員代號]],團隊分組!$B$1:$C$52,2,FALSE)</f>
        <v>快速保養團隊B</v>
      </c>
      <c r="N2199">
        <f>IF(交易處理資料__3[[#This Row],[上班時間]]=0,0,交易處理資料__3[[#This Row],[售出工時]]/交易處理資料__3[[#This Row],[上班時間]])</f>
        <v>0</v>
      </c>
      <c r="O2199" s="31" t="str">
        <f>IF(交易處理資料__3[[#This Row],[上班時間]]=0,"否","是")</f>
        <v>否</v>
      </c>
    </row>
    <row r="2200" spans="1:15" hidden="1">
      <c r="A2200" t="s">
        <v>75</v>
      </c>
      <c r="B2200" t="s">
        <v>51</v>
      </c>
      <c r="C2200">
        <v>0</v>
      </c>
      <c r="D2200">
        <v>0</v>
      </c>
      <c r="E2200" s="27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 s="9">
        <v>45346</v>
      </c>
      <c r="L2200">
        <f xml:space="preserve"> (交易處理資料__3[[#This Row],[售出工時]] * 60) / 5</f>
        <v>0</v>
      </c>
      <c r="M2200" t="str">
        <f>VLOOKUP(交易處理資料__3[[#This Row],[人員代號]],團隊分組!$B$1:$C$52,2,FALSE)</f>
        <v>無效數據</v>
      </c>
      <c r="N2200">
        <f>IF(交易處理資料__3[[#This Row],[上班時間]]=0,0,交易處理資料__3[[#This Row],[售出工時]]/交易處理資料__3[[#This Row],[上班時間]])</f>
        <v>0</v>
      </c>
      <c r="O2200" s="31" t="str">
        <f>IF(交易處理資料__3[[#This Row],[上班時間]]=0,"否","是")</f>
        <v>否</v>
      </c>
    </row>
    <row r="2201" spans="1:15" hidden="1">
      <c r="A2201" t="s">
        <v>75</v>
      </c>
      <c r="B2201" t="s">
        <v>52</v>
      </c>
      <c r="C2201">
        <v>0</v>
      </c>
      <c r="D2201">
        <v>0</v>
      </c>
      <c r="E2201" s="27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 s="9">
        <v>45346</v>
      </c>
      <c r="L2201">
        <f xml:space="preserve"> (交易處理資料__3[[#This Row],[售出工時]] * 60) / 5</f>
        <v>0</v>
      </c>
      <c r="M2201" t="str">
        <f>VLOOKUP(交易處理資料__3[[#This Row],[人員代號]],團隊分組!$B$1:$C$52,2,FALSE)</f>
        <v>查修團隊B</v>
      </c>
      <c r="N2201">
        <f>IF(交易處理資料__3[[#This Row],[上班時間]]=0,0,交易處理資料__3[[#This Row],[售出工時]]/交易處理資料__3[[#This Row],[上班時間]])</f>
        <v>0</v>
      </c>
      <c r="O2201" s="31" t="str">
        <f>IF(交易處理資料__3[[#This Row],[上班時間]]=0,"否","是")</f>
        <v>否</v>
      </c>
    </row>
    <row r="2202" spans="1:15" hidden="1">
      <c r="A2202" s="10" t="s">
        <v>73</v>
      </c>
      <c r="B2202" t="s">
        <v>1</v>
      </c>
      <c r="C2202">
        <v>0</v>
      </c>
      <c r="D2202">
        <v>0</v>
      </c>
      <c r="E2202" s="27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 s="9">
        <v>45347</v>
      </c>
      <c r="L2202">
        <f xml:space="preserve"> (交易處理資料__3[[#This Row],[售出工時]] * 60) / 5</f>
        <v>0</v>
      </c>
      <c r="M2202" t="str">
        <f>VLOOKUP(交易處理資料__3[[#This Row],[人員代號]],團隊分組!$B$1:$C$52,2,FALSE)</f>
        <v>噴漆維修組</v>
      </c>
      <c r="N2202">
        <f>IF(交易處理資料__3[[#This Row],[上班時間]]=0,0,交易處理資料__3[[#This Row],[售出工時]]/交易處理資料__3[[#This Row],[上班時間]])</f>
        <v>0</v>
      </c>
      <c r="O2202" s="31" t="str">
        <f>IF(交易處理資料__3[[#This Row],[上班時間]]=0,"否","是")</f>
        <v>否</v>
      </c>
    </row>
    <row r="2203" spans="1:15" hidden="1">
      <c r="A2203" s="10" t="s">
        <v>73</v>
      </c>
      <c r="B2203" t="s">
        <v>2</v>
      </c>
      <c r="C2203">
        <v>0</v>
      </c>
      <c r="D2203">
        <v>0</v>
      </c>
      <c r="E2203" s="27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 s="9">
        <v>45347</v>
      </c>
      <c r="L2203">
        <f xml:space="preserve"> (交易處理資料__3[[#This Row],[售出工時]] * 60) / 5</f>
        <v>0</v>
      </c>
      <c r="M2203" t="str">
        <f>VLOOKUP(交易處理資料__3[[#This Row],[人員代號]],團隊分組!$B$1:$C$52,2,FALSE)</f>
        <v>噴漆維修組</v>
      </c>
      <c r="N2203">
        <f>IF(交易處理資料__3[[#This Row],[上班時間]]=0,0,交易處理資料__3[[#This Row],[售出工時]]/交易處理資料__3[[#This Row],[上班時間]])</f>
        <v>0</v>
      </c>
      <c r="O2203" s="31" t="str">
        <f>IF(交易處理資料__3[[#This Row],[上班時間]]=0,"否","是")</f>
        <v>否</v>
      </c>
    </row>
    <row r="2204" spans="1:15" hidden="1">
      <c r="A2204" s="10" t="s">
        <v>73</v>
      </c>
      <c r="B2204" t="s">
        <v>3</v>
      </c>
      <c r="C2204">
        <v>0</v>
      </c>
      <c r="D2204">
        <v>0</v>
      </c>
      <c r="E2204" s="27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 s="9">
        <v>45347</v>
      </c>
      <c r="L2204">
        <f xml:space="preserve"> (交易處理資料__3[[#This Row],[售出工時]] * 60) / 5</f>
        <v>0</v>
      </c>
      <c r="M2204" t="str">
        <f>VLOOKUP(交易處理資料__3[[#This Row],[人員代號]],團隊分組!$B$1:$C$52,2,FALSE)</f>
        <v>噴漆維修組</v>
      </c>
      <c r="N2204">
        <f>IF(交易處理資料__3[[#This Row],[上班時間]]=0,0,交易處理資料__3[[#This Row],[售出工時]]/交易處理資料__3[[#This Row],[上班時間]])</f>
        <v>0</v>
      </c>
      <c r="O2204" s="31" t="str">
        <f>IF(交易處理資料__3[[#This Row],[上班時間]]=0,"否","是")</f>
        <v>否</v>
      </c>
    </row>
    <row r="2205" spans="1:15" hidden="1">
      <c r="A2205" s="10" t="s">
        <v>73</v>
      </c>
      <c r="B2205" t="s">
        <v>4</v>
      </c>
      <c r="C2205">
        <v>0</v>
      </c>
      <c r="D2205">
        <v>0</v>
      </c>
      <c r="E2205" s="27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 s="9">
        <v>45347</v>
      </c>
      <c r="L2205">
        <f xml:space="preserve"> (交易處理資料__3[[#This Row],[售出工時]] * 60) / 5</f>
        <v>0</v>
      </c>
      <c r="M2205" t="str">
        <f>VLOOKUP(交易處理資料__3[[#This Row],[人員代號]],團隊分組!$B$1:$C$52,2,FALSE)</f>
        <v>噴漆維修組</v>
      </c>
      <c r="N2205">
        <f>IF(交易處理資料__3[[#This Row],[上班時間]]=0,0,交易處理資料__3[[#This Row],[售出工時]]/交易處理資料__3[[#This Row],[上班時間]])</f>
        <v>0</v>
      </c>
      <c r="O2205" s="31" t="str">
        <f>IF(交易處理資料__3[[#This Row],[上班時間]]=0,"否","是")</f>
        <v>否</v>
      </c>
    </row>
    <row r="2206" spans="1:15" hidden="1">
      <c r="A2206" s="10" t="s">
        <v>73</v>
      </c>
      <c r="B2206" t="s">
        <v>5</v>
      </c>
      <c r="C2206">
        <v>0</v>
      </c>
      <c r="D2206">
        <v>0</v>
      </c>
      <c r="E2206" s="27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 s="9">
        <v>45347</v>
      </c>
      <c r="L2206">
        <f xml:space="preserve"> (交易處理資料__3[[#This Row],[售出工時]] * 60) / 5</f>
        <v>0</v>
      </c>
      <c r="M2206" t="str">
        <f>VLOOKUP(交易處理資料__3[[#This Row],[人員代號]],團隊分組!$B$1:$C$52,2,FALSE)</f>
        <v>噴漆維修組</v>
      </c>
      <c r="N2206">
        <f>IF(交易處理資料__3[[#This Row],[上班時間]]=0,0,交易處理資料__3[[#This Row],[售出工時]]/交易處理資料__3[[#This Row],[上班時間]])</f>
        <v>0</v>
      </c>
      <c r="O2206" s="31" t="str">
        <f>IF(交易處理資料__3[[#This Row],[上班時間]]=0,"否","是")</f>
        <v>否</v>
      </c>
    </row>
    <row r="2207" spans="1:15" hidden="1">
      <c r="A2207" s="10" t="s">
        <v>73</v>
      </c>
      <c r="B2207" t="s">
        <v>6</v>
      </c>
      <c r="C2207">
        <v>0</v>
      </c>
      <c r="D2207">
        <v>0</v>
      </c>
      <c r="E2207" s="2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 s="9">
        <v>45347</v>
      </c>
      <c r="L2207">
        <f xml:space="preserve"> (交易處理資料__3[[#This Row],[售出工時]] * 60) / 5</f>
        <v>0</v>
      </c>
      <c r="M2207" t="str">
        <f>VLOOKUP(交易處理資料__3[[#This Row],[人員代號]],團隊分組!$B$1:$C$52,2,FALSE)</f>
        <v>噴漆維修組</v>
      </c>
      <c r="N2207">
        <f>IF(交易處理資料__3[[#This Row],[上班時間]]=0,0,交易處理資料__3[[#This Row],[售出工時]]/交易處理資料__3[[#This Row],[上班時間]])</f>
        <v>0</v>
      </c>
      <c r="O2207" s="31" t="str">
        <f>IF(交易處理資料__3[[#This Row],[上班時間]]=0,"否","是")</f>
        <v>否</v>
      </c>
    </row>
    <row r="2208" spans="1:15" hidden="1">
      <c r="A2208" s="10" t="s">
        <v>73</v>
      </c>
      <c r="B2208" t="s">
        <v>7</v>
      </c>
      <c r="C2208">
        <v>0</v>
      </c>
      <c r="D2208">
        <v>0</v>
      </c>
      <c r="E2208" s="27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 s="9">
        <v>45347</v>
      </c>
      <c r="L2208">
        <f xml:space="preserve"> (交易處理資料__3[[#This Row],[售出工時]] * 60) / 5</f>
        <v>0</v>
      </c>
      <c r="M2208" t="str">
        <f>VLOOKUP(交易處理資料__3[[#This Row],[人員代號]],團隊分組!$B$1:$C$52,2,FALSE)</f>
        <v>噴漆維修組</v>
      </c>
      <c r="N2208">
        <f>IF(交易處理資料__3[[#This Row],[上班時間]]=0,0,交易處理資料__3[[#This Row],[售出工時]]/交易處理資料__3[[#This Row],[上班時間]])</f>
        <v>0</v>
      </c>
      <c r="O2208" s="31" t="str">
        <f>IF(交易處理資料__3[[#This Row],[上班時間]]=0,"否","是")</f>
        <v>否</v>
      </c>
    </row>
    <row r="2209" spans="1:15" hidden="1">
      <c r="A2209" s="10" t="s">
        <v>73</v>
      </c>
      <c r="B2209" t="s">
        <v>8</v>
      </c>
      <c r="C2209">
        <v>0</v>
      </c>
      <c r="D2209">
        <v>0</v>
      </c>
      <c r="E2209" s="27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 s="9">
        <v>45347</v>
      </c>
      <c r="L2209">
        <f xml:space="preserve"> (交易處理資料__3[[#This Row],[售出工時]] * 60) / 5</f>
        <v>0</v>
      </c>
      <c r="M2209" t="str">
        <f>VLOOKUP(交易處理資料__3[[#This Row],[人員代號]],團隊分組!$B$1:$C$52,2,FALSE)</f>
        <v>噴漆維修組</v>
      </c>
      <c r="N2209">
        <f>IF(交易處理資料__3[[#This Row],[上班時間]]=0,0,交易處理資料__3[[#This Row],[售出工時]]/交易處理資料__3[[#This Row],[上班時間]])</f>
        <v>0</v>
      </c>
      <c r="O2209" s="31" t="str">
        <f>IF(交易處理資料__3[[#This Row],[上班時間]]=0,"否","是")</f>
        <v>否</v>
      </c>
    </row>
    <row r="2210" spans="1:15" hidden="1">
      <c r="A2210" s="10" t="s">
        <v>73</v>
      </c>
      <c r="B2210" t="s">
        <v>9</v>
      </c>
      <c r="C2210">
        <v>0</v>
      </c>
      <c r="D2210">
        <v>0</v>
      </c>
      <c r="E2210" s="27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 s="9">
        <v>45347</v>
      </c>
      <c r="L2210">
        <f xml:space="preserve"> (交易處理資料__3[[#This Row],[售出工時]] * 60) / 5</f>
        <v>0</v>
      </c>
      <c r="M2210" t="str">
        <f>VLOOKUP(交易處理資料__3[[#This Row],[人員代號]],團隊分組!$B$1:$C$52,2,FALSE)</f>
        <v>噴漆維修組</v>
      </c>
      <c r="N2210">
        <f>IF(交易處理資料__3[[#This Row],[上班時間]]=0,0,交易處理資料__3[[#This Row],[售出工時]]/交易處理資料__3[[#This Row],[上班時間]])</f>
        <v>0</v>
      </c>
      <c r="O2210" s="31" t="str">
        <f>IF(交易處理資料__3[[#This Row],[上班時間]]=0,"否","是")</f>
        <v>否</v>
      </c>
    </row>
    <row r="2211" spans="1:15" hidden="1">
      <c r="A2211" t="s">
        <v>74</v>
      </c>
      <c r="B2211" t="s">
        <v>11</v>
      </c>
      <c r="C2211">
        <v>0</v>
      </c>
      <c r="D2211">
        <v>0</v>
      </c>
      <c r="E2211" s="27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 s="9">
        <v>45347</v>
      </c>
      <c r="L2211">
        <f xml:space="preserve"> (交易處理資料__3[[#This Row],[售出工時]] * 60) / 5</f>
        <v>0</v>
      </c>
      <c r="M2211" t="str">
        <f>VLOOKUP(交易處理資料__3[[#This Row],[人員代號]],團隊分組!$B$1:$C$52,2,FALSE)</f>
        <v>鈑金維修組</v>
      </c>
      <c r="N2211">
        <f>IF(交易處理資料__3[[#This Row],[上班時間]]=0,0,交易處理資料__3[[#This Row],[售出工時]]/交易處理資料__3[[#This Row],[上班時間]])</f>
        <v>0</v>
      </c>
      <c r="O2211" s="31" t="str">
        <f>IF(交易處理資料__3[[#This Row],[上班時間]]=0,"否","是")</f>
        <v>否</v>
      </c>
    </row>
    <row r="2212" spans="1:15" hidden="1">
      <c r="A2212" t="s">
        <v>74</v>
      </c>
      <c r="B2212" t="s">
        <v>12</v>
      </c>
      <c r="C2212">
        <v>0</v>
      </c>
      <c r="D2212">
        <v>0</v>
      </c>
      <c r="E2212" s="27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 s="9">
        <v>45347</v>
      </c>
      <c r="L2212">
        <f xml:space="preserve"> (交易處理資料__3[[#This Row],[售出工時]] * 60) / 5</f>
        <v>0</v>
      </c>
      <c r="M2212" t="str">
        <f>VLOOKUP(交易處理資料__3[[#This Row],[人員代號]],團隊分組!$B$1:$C$52,2,FALSE)</f>
        <v>鈑金維修組</v>
      </c>
      <c r="N2212">
        <f>IF(交易處理資料__3[[#This Row],[上班時間]]=0,0,交易處理資料__3[[#This Row],[售出工時]]/交易處理資料__3[[#This Row],[上班時間]])</f>
        <v>0</v>
      </c>
      <c r="O2212" s="31" t="str">
        <f>IF(交易處理資料__3[[#This Row],[上班時間]]=0,"否","是")</f>
        <v>否</v>
      </c>
    </row>
    <row r="2213" spans="1:15" hidden="1">
      <c r="A2213" t="s">
        <v>74</v>
      </c>
      <c r="B2213" t="s">
        <v>13</v>
      </c>
      <c r="C2213">
        <v>0</v>
      </c>
      <c r="D2213">
        <v>0</v>
      </c>
      <c r="E2213" s="27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 s="9">
        <v>45347</v>
      </c>
      <c r="L2213">
        <f xml:space="preserve"> (交易處理資料__3[[#This Row],[售出工時]] * 60) / 5</f>
        <v>0</v>
      </c>
      <c r="M2213" t="str">
        <f>VLOOKUP(交易處理資料__3[[#This Row],[人員代號]],團隊分組!$B$1:$C$52,2,FALSE)</f>
        <v>鈑金維修組</v>
      </c>
      <c r="N2213">
        <f>IF(交易處理資料__3[[#This Row],[上班時間]]=0,0,交易處理資料__3[[#This Row],[售出工時]]/交易處理資料__3[[#This Row],[上班時間]])</f>
        <v>0</v>
      </c>
      <c r="O2213" s="31" t="str">
        <f>IF(交易處理資料__3[[#This Row],[上班時間]]=0,"否","是")</f>
        <v>否</v>
      </c>
    </row>
    <row r="2214" spans="1:15" hidden="1">
      <c r="A2214" t="s">
        <v>74</v>
      </c>
      <c r="B2214" t="s">
        <v>14</v>
      </c>
      <c r="C2214">
        <v>0</v>
      </c>
      <c r="D2214">
        <v>0</v>
      </c>
      <c r="E2214" s="27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 s="9">
        <v>45347</v>
      </c>
      <c r="L2214">
        <f xml:space="preserve"> (交易處理資料__3[[#This Row],[售出工時]] * 60) / 5</f>
        <v>0</v>
      </c>
      <c r="M2214" t="str">
        <f>VLOOKUP(交易處理資料__3[[#This Row],[人員代號]],團隊分組!$B$1:$C$52,2,FALSE)</f>
        <v>鈑金維修組</v>
      </c>
      <c r="N2214">
        <f>IF(交易處理資料__3[[#This Row],[上班時間]]=0,0,交易處理資料__3[[#This Row],[售出工時]]/交易處理資料__3[[#This Row],[上班時間]])</f>
        <v>0</v>
      </c>
      <c r="O2214" s="31" t="str">
        <f>IF(交易處理資料__3[[#This Row],[上班時間]]=0,"否","是")</f>
        <v>否</v>
      </c>
    </row>
    <row r="2215" spans="1:15" hidden="1">
      <c r="A2215" t="s">
        <v>74</v>
      </c>
      <c r="B2215" t="s">
        <v>15</v>
      </c>
      <c r="C2215">
        <v>0</v>
      </c>
      <c r="D2215">
        <v>0</v>
      </c>
      <c r="E2215" s="27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 s="9">
        <v>45347</v>
      </c>
      <c r="L2215">
        <f xml:space="preserve"> (交易處理資料__3[[#This Row],[售出工時]] * 60) / 5</f>
        <v>0</v>
      </c>
      <c r="M2215" t="str">
        <f>VLOOKUP(交易處理資料__3[[#This Row],[人員代號]],團隊分組!$B$1:$C$52,2,FALSE)</f>
        <v>鈑金維修組</v>
      </c>
      <c r="N2215">
        <f>IF(交易處理資料__3[[#This Row],[上班時間]]=0,0,交易處理資料__3[[#This Row],[售出工時]]/交易處理資料__3[[#This Row],[上班時間]])</f>
        <v>0</v>
      </c>
      <c r="O2215" s="31" t="str">
        <f>IF(交易處理資料__3[[#This Row],[上班時間]]=0,"否","是")</f>
        <v>否</v>
      </c>
    </row>
    <row r="2216" spans="1:15" hidden="1">
      <c r="A2216" t="s">
        <v>75</v>
      </c>
      <c r="B2216" t="s">
        <v>17</v>
      </c>
      <c r="C2216">
        <v>0</v>
      </c>
      <c r="D2216">
        <v>0</v>
      </c>
      <c r="E2216" s="27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 s="9">
        <v>45347</v>
      </c>
      <c r="L2216">
        <f xml:space="preserve"> (交易處理資料__3[[#This Row],[售出工時]] * 60) / 5</f>
        <v>0</v>
      </c>
      <c r="M2216" t="str">
        <f>VLOOKUP(交易處理資料__3[[#This Row],[人員代號]],團隊分組!$B$1:$C$52,2,FALSE)</f>
        <v>快速保養團隊A</v>
      </c>
      <c r="N2216">
        <f>IF(交易處理資料__3[[#This Row],[上班時間]]=0,0,交易處理資料__3[[#This Row],[售出工時]]/交易處理資料__3[[#This Row],[上班時間]])</f>
        <v>0</v>
      </c>
      <c r="O2216" s="31" t="str">
        <f>IF(交易處理資料__3[[#This Row],[上班時間]]=0,"否","是")</f>
        <v>否</v>
      </c>
    </row>
    <row r="2217" spans="1:15" hidden="1">
      <c r="A2217" t="s">
        <v>75</v>
      </c>
      <c r="B2217" t="s">
        <v>18</v>
      </c>
      <c r="C2217">
        <v>0</v>
      </c>
      <c r="D2217">
        <v>0</v>
      </c>
      <c r="E2217" s="2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 s="9">
        <v>45347</v>
      </c>
      <c r="L2217">
        <f xml:space="preserve"> (交易處理資料__3[[#This Row],[售出工時]] * 60) / 5</f>
        <v>0</v>
      </c>
      <c r="M2217" t="str">
        <f>VLOOKUP(交易處理資料__3[[#This Row],[人員代號]],團隊分組!$B$1:$C$52,2,FALSE)</f>
        <v>查修團隊B</v>
      </c>
      <c r="N2217">
        <f>IF(交易處理資料__3[[#This Row],[上班時間]]=0,0,交易處理資料__3[[#This Row],[售出工時]]/交易處理資料__3[[#This Row],[上班時間]])</f>
        <v>0</v>
      </c>
      <c r="O2217" s="31" t="str">
        <f>IF(交易處理資料__3[[#This Row],[上班時間]]=0,"否","是")</f>
        <v>否</v>
      </c>
    </row>
    <row r="2218" spans="1:15" hidden="1">
      <c r="A2218" t="s">
        <v>75</v>
      </c>
      <c r="B2218" t="s">
        <v>19</v>
      </c>
      <c r="C2218">
        <v>0</v>
      </c>
      <c r="D2218">
        <v>0</v>
      </c>
      <c r="E2218" s="27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 s="9">
        <v>45347</v>
      </c>
      <c r="L2218">
        <f xml:space="preserve"> (交易處理資料__3[[#This Row],[售出工時]] * 60) / 5</f>
        <v>0</v>
      </c>
      <c r="M2218" t="str">
        <f>VLOOKUP(交易處理資料__3[[#This Row],[人員代號]],團隊分組!$B$1:$C$52,2,FALSE)</f>
        <v>查修團隊A</v>
      </c>
      <c r="N2218">
        <f>IF(交易處理資料__3[[#This Row],[上班時間]]=0,0,交易處理資料__3[[#This Row],[售出工時]]/交易處理資料__3[[#This Row],[上班時間]])</f>
        <v>0</v>
      </c>
      <c r="O2218" s="31" t="str">
        <f>IF(交易處理資料__3[[#This Row],[上班時間]]=0,"否","是")</f>
        <v>否</v>
      </c>
    </row>
    <row r="2219" spans="1:15" hidden="1">
      <c r="A2219" t="s">
        <v>75</v>
      </c>
      <c r="B2219" t="s">
        <v>20</v>
      </c>
      <c r="C2219">
        <v>0</v>
      </c>
      <c r="D2219">
        <v>0</v>
      </c>
      <c r="E2219" s="27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 s="9">
        <v>45347</v>
      </c>
      <c r="L2219">
        <f xml:space="preserve"> (交易處理資料__3[[#This Row],[售出工時]] * 60) / 5</f>
        <v>0</v>
      </c>
      <c r="M2219" t="str">
        <f>VLOOKUP(交易處理資料__3[[#This Row],[人員代號]],團隊分組!$B$1:$C$52,2,FALSE)</f>
        <v>查修團隊B</v>
      </c>
      <c r="N2219">
        <f>IF(交易處理資料__3[[#This Row],[上班時間]]=0,0,交易處理資料__3[[#This Row],[售出工時]]/交易處理資料__3[[#This Row],[上班時間]])</f>
        <v>0</v>
      </c>
      <c r="O2219" s="31" t="str">
        <f>IF(交易處理資料__3[[#This Row],[上班時間]]=0,"否","是")</f>
        <v>否</v>
      </c>
    </row>
    <row r="2220" spans="1:15" hidden="1">
      <c r="A2220" t="s">
        <v>75</v>
      </c>
      <c r="B2220" t="s">
        <v>21</v>
      </c>
      <c r="C2220">
        <v>0</v>
      </c>
      <c r="D2220">
        <v>0</v>
      </c>
      <c r="E2220" s="27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 s="9">
        <v>45347</v>
      </c>
      <c r="L2220">
        <f xml:space="preserve"> (交易處理資料__3[[#This Row],[售出工時]] * 60) / 5</f>
        <v>0</v>
      </c>
      <c r="M2220" t="str">
        <f>VLOOKUP(交易處理資料__3[[#This Row],[人員代號]],團隊分組!$B$1:$C$52,2,FALSE)</f>
        <v>查修團隊B</v>
      </c>
      <c r="N2220">
        <f>IF(交易處理資料__3[[#This Row],[上班時間]]=0,0,交易處理資料__3[[#This Row],[售出工時]]/交易處理資料__3[[#This Row],[上班時間]])</f>
        <v>0</v>
      </c>
      <c r="O2220" s="31" t="str">
        <f>IF(交易處理資料__3[[#This Row],[上班時間]]=0,"否","是")</f>
        <v>否</v>
      </c>
    </row>
    <row r="2221" spans="1:15" hidden="1">
      <c r="A2221" t="s">
        <v>75</v>
      </c>
      <c r="B2221" t="s">
        <v>22</v>
      </c>
      <c r="C2221">
        <v>0</v>
      </c>
      <c r="D2221">
        <v>0</v>
      </c>
      <c r="E2221" s="27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 s="9">
        <v>45347</v>
      </c>
      <c r="L2221">
        <f xml:space="preserve"> (交易處理資料__3[[#This Row],[售出工時]] * 60) / 5</f>
        <v>0</v>
      </c>
      <c r="M2221" t="str">
        <f>VLOOKUP(交易處理資料__3[[#This Row],[人員代號]],團隊分組!$B$1:$C$52,2,FALSE)</f>
        <v>快速保養團隊A</v>
      </c>
      <c r="N2221">
        <f>IF(交易處理資料__3[[#This Row],[上班時間]]=0,0,交易處理資料__3[[#This Row],[售出工時]]/交易處理資料__3[[#This Row],[上班時間]])</f>
        <v>0</v>
      </c>
      <c r="O2221" s="31" t="str">
        <f>IF(交易處理資料__3[[#This Row],[上班時間]]=0,"否","是")</f>
        <v>否</v>
      </c>
    </row>
    <row r="2222" spans="1:15" hidden="1">
      <c r="A2222" t="s">
        <v>75</v>
      </c>
      <c r="B2222" t="s">
        <v>23</v>
      </c>
      <c r="C2222">
        <v>0</v>
      </c>
      <c r="D2222">
        <v>0</v>
      </c>
      <c r="E2222" s="27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 s="9">
        <v>45347</v>
      </c>
      <c r="L2222">
        <f xml:space="preserve"> (交易處理資料__3[[#This Row],[售出工時]] * 60) / 5</f>
        <v>0</v>
      </c>
      <c r="M2222" t="str">
        <f>VLOOKUP(交易處理資料__3[[#This Row],[人員代號]],團隊分組!$B$1:$C$52,2,FALSE)</f>
        <v>快速保養團隊B</v>
      </c>
      <c r="N2222">
        <f>IF(交易處理資料__3[[#This Row],[上班時間]]=0,0,交易處理資料__3[[#This Row],[售出工時]]/交易處理資料__3[[#This Row],[上班時間]])</f>
        <v>0</v>
      </c>
      <c r="O2222" s="31" t="str">
        <f>IF(交易處理資料__3[[#This Row],[上班時間]]=0,"否","是")</f>
        <v>否</v>
      </c>
    </row>
    <row r="2223" spans="1:15" hidden="1">
      <c r="A2223" t="s">
        <v>75</v>
      </c>
      <c r="B2223" t="s">
        <v>24</v>
      </c>
      <c r="C2223">
        <v>0</v>
      </c>
      <c r="D2223">
        <v>0</v>
      </c>
      <c r="E2223" s="27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 s="9">
        <v>45347</v>
      </c>
      <c r="L2223">
        <f xml:space="preserve"> (交易處理資料__3[[#This Row],[售出工時]] * 60) / 5</f>
        <v>0</v>
      </c>
      <c r="M2223" t="str">
        <f>VLOOKUP(交易處理資料__3[[#This Row],[人員代號]],團隊分組!$B$1:$C$52,2,FALSE)</f>
        <v>快速保養團隊A</v>
      </c>
      <c r="N2223">
        <f>IF(交易處理資料__3[[#This Row],[上班時間]]=0,0,交易處理資料__3[[#This Row],[售出工時]]/交易處理資料__3[[#This Row],[上班時間]])</f>
        <v>0</v>
      </c>
      <c r="O2223" s="31" t="str">
        <f>IF(交易處理資料__3[[#This Row],[上班時間]]=0,"否","是")</f>
        <v>否</v>
      </c>
    </row>
    <row r="2224" spans="1:15" hidden="1">
      <c r="A2224" t="s">
        <v>75</v>
      </c>
      <c r="B2224" t="s">
        <v>25</v>
      </c>
      <c r="C2224">
        <v>0</v>
      </c>
      <c r="D2224">
        <v>0</v>
      </c>
      <c r="E2224" s="27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 s="9">
        <v>45347</v>
      </c>
      <c r="L2224">
        <f xml:space="preserve"> (交易處理資料__3[[#This Row],[售出工時]] * 60) / 5</f>
        <v>0</v>
      </c>
      <c r="M2224" t="str">
        <f>VLOOKUP(交易處理資料__3[[#This Row],[人員代號]],團隊分組!$B$1:$C$52,2,FALSE)</f>
        <v>查修團隊A</v>
      </c>
      <c r="N2224">
        <f>IF(交易處理資料__3[[#This Row],[上班時間]]=0,0,交易處理資料__3[[#This Row],[售出工時]]/交易處理資料__3[[#This Row],[上班時間]])</f>
        <v>0</v>
      </c>
      <c r="O2224" s="31" t="str">
        <f>IF(交易處理資料__3[[#This Row],[上班時間]]=0,"否","是")</f>
        <v>否</v>
      </c>
    </row>
    <row r="2225" spans="1:15" hidden="1">
      <c r="A2225" t="s">
        <v>75</v>
      </c>
      <c r="B2225" t="s">
        <v>26</v>
      </c>
      <c r="C2225">
        <v>0</v>
      </c>
      <c r="D2225">
        <v>0</v>
      </c>
      <c r="E2225" s="27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 s="9">
        <v>45347</v>
      </c>
      <c r="L2225">
        <f xml:space="preserve"> (交易處理資料__3[[#This Row],[售出工時]] * 60) / 5</f>
        <v>0</v>
      </c>
      <c r="M2225" t="str">
        <f>VLOOKUP(交易處理資料__3[[#This Row],[人員代號]],團隊分組!$B$1:$C$52,2,FALSE)</f>
        <v>查修團隊B</v>
      </c>
      <c r="N2225">
        <f>IF(交易處理資料__3[[#This Row],[上班時間]]=0,0,交易處理資料__3[[#This Row],[售出工時]]/交易處理資料__3[[#This Row],[上班時間]])</f>
        <v>0</v>
      </c>
      <c r="O2225" s="31" t="str">
        <f>IF(交易處理資料__3[[#This Row],[上班時間]]=0,"否","是")</f>
        <v>否</v>
      </c>
    </row>
    <row r="2226" spans="1:15" hidden="1">
      <c r="A2226" t="s">
        <v>75</v>
      </c>
      <c r="B2226" t="s">
        <v>27</v>
      </c>
      <c r="C2226">
        <v>0</v>
      </c>
      <c r="D2226">
        <v>0</v>
      </c>
      <c r="E2226" s="27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 s="9">
        <v>45347</v>
      </c>
      <c r="L2226">
        <f xml:space="preserve"> (交易處理資料__3[[#This Row],[售出工時]] * 60) / 5</f>
        <v>0</v>
      </c>
      <c r="M2226" t="str">
        <f>VLOOKUP(交易處理資料__3[[#This Row],[人員代號]],團隊分組!$B$1:$C$52,2,FALSE)</f>
        <v>快速保養團隊B</v>
      </c>
      <c r="N2226">
        <f>IF(交易處理資料__3[[#This Row],[上班時間]]=0,0,交易處理資料__3[[#This Row],[售出工時]]/交易處理資料__3[[#This Row],[上班時間]])</f>
        <v>0</v>
      </c>
      <c r="O2226" s="31" t="str">
        <f>IF(交易處理資料__3[[#This Row],[上班時間]]=0,"否","是")</f>
        <v>否</v>
      </c>
    </row>
    <row r="2227" spans="1:15" hidden="1">
      <c r="A2227" t="s">
        <v>75</v>
      </c>
      <c r="B2227" t="s">
        <v>28</v>
      </c>
      <c r="C2227">
        <v>0</v>
      </c>
      <c r="D2227">
        <v>0</v>
      </c>
      <c r="E2227" s="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 s="9">
        <v>45347</v>
      </c>
      <c r="L2227">
        <f xml:space="preserve"> (交易處理資料__3[[#This Row],[售出工時]] * 60) / 5</f>
        <v>0</v>
      </c>
      <c r="M2227" t="str">
        <f>VLOOKUP(交易處理資料__3[[#This Row],[人員代號]],團隊分組!$B$1:$C$52,2,FALSE)</f>
        <v>快速保養團隊A</v>
      </c>
      <c r="N2227">
        <f>IF(交易處理資料__3[[#This Row],[上班時間]]=0,0,交易處理資料__3[[#This Row],[售出工時]]/交易處理資料__3[[#This Row],[上班時間]])</f>
        <v>0</v>
      </c>
      <c r="O2227" s="31" t="str">
        <f>IF(交易處理資料__3[[#This Row],[上班時間]]=0,"否","是")</f>
        <v>否</v>
      </c>
    </row>
    <row r="2228" spans="1:15" hidden="1">
      <c r="A2228" t="s">
        <v>75</v>
      </c>
      <c r="B2228" t="s">
        <v>29</v>
      </c>
      <c r="C2228">
        <v>0</v>
      </c>
      <c r="D2228">
        <v>0</v>
      </c>
      <c r="E2228" s="27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 s="9">
        <v>45347</v>
      </c>
      <c r="L2228">
        <f xml:space="preserve"> (交易處理資料__3[[#This Row],[售出工時]] * 60) / 5</f>
        <v>0</v>
      </c>
      <c r="M2228" t="str">
        <f>VLOOKUP(交易處理資料__3[[#This Row],[人員代號]],團隊分組!$B$1:$C$52,2,FALSE)</f>
        <v>查修團隊B</v>
      </c>
      <c r="N2228">
        <f>IF(交易處理資料__3[[#This Row],[上班時間]]=0,0,交易處理資料__3[[#This Row],[售出工時]]/交易處理資料__3[[#This Row],[上班時間]])</f>
        <v>0</v>
      </c>
      <c r="O2228" s="31" t="str">
        <f>IF(交易處理資料__3[[#This Row],[上班時間]]=0,"否","是")</f>
        <v>否</v>
      </c>
    </row>
    <row r="2229" spans="1:15" hidden="1">
      <c r="A2229" t="s">
        <v>75</v>
      </c>
      <c r="B2229" t="s">
        <v>30</v>
      </c>
      <c r="C2229">
        <v>0</v>
      </c>
      <c r="D2229">
        <v>0</v>
      </c>
      <c r="E2229" s="27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 s="9">
        <v>45347</v>
      </c>
      <c r="L2229">
        <f xml:space="preserve"> (交易處理資料__3[[#This Row],[售出工時]] * 60) / 5</f>
        <v>0</v>
      </c>
      <c r="M2229" t="str">
        <f>VLOOKUP(交易處理資料__3[[#This Row],[人員代號]],團隊分組!$B$1:$C$52,2,FALSE)</f>
        <v>快速保養團隊B</v>
      </c>
      <c r="N2229">
        <f>IF(交易處理資料__3[[#This Row],[上班時間]]=0,0,交易處理資料__3[[#This Row],[售出工時]]/交易處理資料__3[[#This Row],[上班時間]])</f>
        <v>0</v>
      </c>
      <c r="O2229" s="31" t="str">
        <f>IF(交易處理資料__3[[#This Row],[上班時間]]=0,"否","是")</f>
        <v>否</v>
      </c>
    </row>
    <row r="2230" spans="1:15" hidden="1">
      <c r="A2230" t="s">
        <v>75</v>
      </c>
      <c r="B2230" t="s">
        <v>32</v>
      </c>
      <c r="C2230">
        <v>0</v>
      </c>
      <c r="D2230">
        <v>0</v>
      </c>
      <c r="E2230" s="27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 s="9">
        <v>45347</v>
      </c>
      <c r="L2230">
        <f xml:space="preserve"> (交易處理資料__3[[#This Row],[售出工時]] * 60) / 5</f>
        <v>0</v>
      </c>
      <c r="M2230" t="str">
        <f>VLOOKUP(交易處理資料__3[[#This Row],[人員代號]],團隊分組!$B$1:$C$52,2,FALSE)</f>
        <v>快速保養團隊B</v>
      </c>
      <c r="N2230">
        <f>IF(交易處理資料__3[[#This Row],[上班時間]]=0,0,交易處理資料__3[[#This Row],[售出工時]]/交易處理資料__3[[#This Row],[上班時間]])</f>
        <v>0</v>
      </c>
      <c r="O2230" s="31" t="str">
        <f>IF(交易處理資料__3[[#This Row],[上班時間]]=0,"否","是")</f>
        <v>否</v>
      </c>
    </row>
    <row r="2231" spans="1:15">
      <c r="A2231" t="s">
        <v>75</v>
      </c>
      <c r="B2231" t="s">
        <v>33</v>
      </c>
      <c r="C2231">
        <v>0</v>
      </c>
      <c r="D2231">
        <v>0</v>
      </c>
      <c r="E2231" s="27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 s="9">
        <v>45347</v>
      </c>
      <c r="L2231">
        <f xml:space="preserve"> (交易處理資料__3[[#This Row],[售出工時]] * 60) / 5</f>
        <v>0</v>
      </c>
      <c r="M2231" t="str">
        <f>VLOOKUP(交易處理資料__3[[#This Row],[人員代號]],團隊分組!$B$1:$C$52,2,FALSE)</f>
        <v>快速保養團隊B</v>
      </c>
      <c r="N2231">
        <f>IF(交易處理資料__3[[#This Row],[上班時間]]=0,0,交易處理資料__3[[#This Row],[售出工時]]/交易處理資料__3[[#This Row],[上班時間]])</f>
        <v>0</v>
      </c>
      <c r="O2231" s="31" t="str">
        <f>IF(交易處理資料__3[[#This Row],[上班時間]]=0,"否","是")</f>
        <v>否</v>
      </c>
    </row>
    <row r="2232" spans="1:15" hidden="1">
      <c r="A2232" t="s">
        <v>75</v>
      </c>
      <c r="B2232" t="s">
        <v>34</v>
      </c>
      <c r="C2232">
        <v>0</v>
      </c>
      <c r="D2232">
        <v>0</v>
      </c>
      <c r="E2232" s="27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 s="9">
        <v>45347</v>
      </c>
      <c r="L2232">
        <f xml:space="preserve"> (交易處理資料__3[[#This Row],[售出工時]] * 60) / 5</f>
        <v>0</v>
      </c>
      <c r="M2232" t="str">
        <f>VLOOKUP(交易處理資料__3[[#This Row],[人員代號]],團隊分組!$B$1:$C$52,2,FALSE)</f>
        <v>快速保養團隊A</v>
      </c>
      <c r="N2232">
        <f>IF(交易處理資料__3[[#This Row],[上班時間]]=0,0,交易處理資料__3[[#This Row],[售出工時]]/交易處理資料__3[[#This Row],[上班時間]])</f>
        <v>0</v>
      </c>
      <c r="O2232" s="31" t="str">
        <f>IF(交易處理資料__3[[#This Row],[上班時間]]=0,"否","是")</f>
        <v>否</v>
      </c>
    </row>
    <row r="2233" spans="1:15" hidden="1">
      <c r="A2233" t="s">
        <v>75</v>
      </c>
      <c r="B2233" t="s">
        <v>35</v>
      </c>
      <c r="C2233">
        <v>0</v>
      </c>
      <c r="D2233">
        <v>0</v>
      </c>
      <c r="E2233" s="27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 s="9">
        <v>45347</v>
      </c>
      <c r="L2233">
        <f xml:space="preserve"> (交易處理資料__3[[#This Row],[售出工時]] * 60) / 5</f>
        <v>0</v>
      </c>
      <c r="M2233" t="str">
        <f>VLOOKUP(交易處理資料__3[[#This Row],[人員代號]],團隊分組!$B$1:$C$52,2,FALSE)</f>
        <v>查修團隊B</v>
      </c>
      <c r="N2233">
        <f>IF(交易處理資料__3[[#This Row],[上班時間]]=0,0,交易處理資料__3[[#This Row],[售出工時]]/交易處理資料__3[[#This Row],[上班時間]])</f>
        <v>0</v>
      </c>
      <c r="O2233" s="31" t="str">
        <f>IF(交易處理資料__3[[#This Row],[上班時間]]=0,"否","是")</f>
        <v>否</v>
      </c>
    </row>
    <row r="2234" spans="1:15" hidden="1">
      <c r="A2234" t="s">
        <v>75</v>
      </c>
      <c r="B2234" t="s">
        <v>36</v>
      </c>
      <c r="C2234">
        <v>0</v>
      </c>
      <c r="D2234">
        <v>0</v>
      </c>
      <c r="E2234" s="27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 s="9">
        <v>45347</v>
      </c>
      <c r="L2234">
        <f xml:space="preserve"> (交易處理資料__3[[#This Row],[售出工時]] * 60) / 5</f>
        <v>0</v>
      </c>
      <c r="M2234" t="str">
        <f>VLOOKUP(交易處理資料__3[[#This Row],[人員代號]],團隊分組!$B$1:$C$52,2,FALSE)</f>
        <v>查修團隊B</v>
      </c>
      <c r="N2234">
        <f>IF(交易處理資料__3[[#This Row],[上班時間]]=0,0,交易處理資料__3[[#This Row],[售出工時]]/交易處理資料__3[[#This Row],[上班時間]])</f>
        <v>0</v>
      </c>
      <c r="O2234" s="31" t="str">
        <f>IF(交易處理資料__3[[#This Row],[上班時間]]=0,"否","是")</f>
        <v>否</v>
      </c>
    </row>
    <row r="2235" spans="1:15" hidden="1">
      <c r="A2235" t="s">
        <v>75</v>
      </c>
      <c r="B2235" t="s">
        <v>37</v>
      </c>
      <c r="C2235">
        <v>0</v>
      </c>
      <c r="D2235">
        <v>0</v>
      </c>
      <c r="E2235" s="27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 s="9">
        <v>45347</v>
      </c>
      <c r="L2235">
        <f xml:space="preserve"> (交易處理資料__3[[#This Row],[售出工時]] * 60) / 5</f>
        <v>0</v>
      </c>
      <c r="M2235" t="str">
        <f>VLOOKUP(交易處理資料__3[[#This Row],[人員代號]],團隊分組!$B$1:$C$52,2,FALSE)</f>
        <v>查修團隊A</v>
      </c>
      <c r="N2235">
        <f>IF(交易處理資料__3[[#This Row],[上班時間]]=0,0,交易處理資料__3[[#This Row],[售出工時]]/交易處理資料__3[[#This Row],[上班時間]])</f>
        <v>0</v>
      </c>
      <c r="O2235" s="31" t="str">
        <f>IF(交易處理資料__3[[#This Row],[上班時間]]=0,"否","是")</f>
        <v>否</v>
      </c>
    </row>
    <row r="2236" spans="1:15" hidden="1">
      <c r="A2236" t="s">
        <v>75</v>
      </c>
      <c r="B2236" t="s">
        <v>38</v>
      </c>
      <c r="C2236">
        <v>0</v>
      </c>
      <c r="D2236">
        <v>0</v>
      </c>
      <c r="E2236" s="27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 s="9">
        <v>45347</v>
      </c>
      <c r="L2236">
        <f xml:space="preserve"> (交易處理資料__3[[#This Row],[售出工時]] * 60) / 5</f>
        <v>0</v>
      </c>
      <c r="M2236" t="str">
        <f>VLOOKUP(交易處理資料__3[[#This Row],[人員代號]],團隊分組!$B$1:$C$52,2,FALSE)</f>
        <v>快速保養團隊A</v>
      </c>
      <c r="N2236">
        <f>IF(交易處理資料__3[[#This Row],[上班時間]]=0,0,交易處理資料__3[[#This Row],[售出工時]]/交易處理資料__3[[#This Row],[上班時間]])</f>
        <v>0</v>
      </c>
      <c r="O2236" s="31" t="str">
        <f>IF(交易處理資料__3[[#This Row],[上班時間]]=0,"否","是")</f>
        <v>否</v>
      </c>
    </row>
    <row r="2237" spans="1:15" hidden="1">
      <c r="A2237" t="s">
        <v>75</v>
      </c>
      <c r="B2237" t="s">
        <v>39</v>
      </c>
      <c r="C2237">
        <v>0</v>
      </c>
      <c r="D2237">
        <v>0</v>
      </c>
      <c r="E2237" s="2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 s="9">
        <v>45347</v>
      </c>
      <c r="L2237">
        <f xml:space="preserve"> (交易處理資料__3[[#This Row],[售出工時]] * 60) / 5</f>
        <v>0</v>
      </c>
      <c r="M2237" t="str">
        <f>VLOOKUP(交易處理資料__3[[#This Row],[人員代號]],團隊分組!$B$1:$C$52,2,FALSE)</f>
        <v>查修團隊A</v>
      </c>
      <c r="N2237">
        <f>IF(交易處理資料__3[[#This Row],[上班時間]]=0,0,交易處理資料__3[[#This Row],[售出工時]]/交易處理資料__3[[#This Row],[上班時間]])</f>
        <v>0</v>
      </c>
      <c r="O2237" s="31" t="str">
        <f>IF(交易處理資料__3[[#This Row],[上班時間]]=0,"否","是")</f>
        <v>否</v>
      </c>
    </row>
    <row r="2238" spans="1:15" hidden="1">
      <c r="A2238" t="s">
        <v>75</v>
      </c>
      <c r="B2238" t="s">
        <v>40</v>
      </c>
      <c r="C2238">
        <v>0</v>
      </c>
      <c r="D2238">
        <v>0</v>
      </c>
      <c r="E2238" s="27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 s="9">
        <v>45347</v>
      </c>
      <c r="L2238">
        <f xml:space="preserve"> (交易處理資料__3[[#This Row],[售出工時]] * 60) / 5</f>
        <v>0</v>
      </c>
      <c r="M2238" t="str">
        <f>VLOOKUP(交易處理資料__3[[#This Row],[人員代號]],團隊分組!$B$1:$C$52,2,FALSE)</f>
        <v>查修團隊A</v>
      </c>
      <c r="N2238">
        <f>IF(交易處理資料__3[[#This Row],[上班時間]]=0,0,交易處理資料__3[[#This Row],[售出工時]]/交易處理資料__3[[#This Row],[上班時間]])</f>
        <v>0</v>
      </c>
      <c r="O2238" s="31" t="str">
        <f>IF(交易處理資料__3[[#This Row],[上班時間]]=0,"否","是")</f>
        <v>否</v>
      </c>
    </row>
    <row r="2239" spans="1:15" hidden="1">
      <c r="A2239" t="s">
        <v>75</v>
      </c>
      <c r="B2239" t="s">
        <v>41</v>
      </c>
      <c r="C2239">
        <v>0</v>
      </c>
      <c r="D2239">
        <v>0</v>
      </c>
      <c r="E2239" s="27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 s="9">
        <v>45347</v>
      </c>
      <c r="L2239">
        <f xml:space="preserve"> (交易處理資料__3[[#This Row],[售出工時]] * 60) / 5</f>
        <v>0</v>
      </c>
      <c r="M2239" t="str">
        <f>VLOOKUP(交易處理資料__3[[#This Row],[人員代號]],團隊分組!$B$1:$C$52,2,FALSE)</f>
        <v>快速保養團隊A</v>
      </c>
      <c r="N2239">
        <f>IF(交易處理資料__3[[#This Row],[上班時間]]=0,0,交易處理資料__3[[#This Row],[售出工時]]/交易處理資料__3[[#This Row],[上班時間]])</f>
        <v>0</v>
      </c>
      <c r="O2239" s="31" t="str">
        <f>IF(交易處理資料__3[[#This Row],[上班時間]]=0,"否","是")</f>
        <v>否</v>
      </c>
    </row>
    <row r="2240" spans="1:15" hidden="1">
      <c r="A2240" t="s">
        <v>75</v>
      </c>
      <c r="B2240" t="s">
        <v>42</v>
      </c>
      <c r="C2240">
        <v>0</v>
      </c>
      <c r="D2240">
        <v>0</v>
      </c>
      <c r="E2240" s="27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 s="9">
        <v>45347</v>
      </c>
      <c r="L2240">
        <f xml:space="preserve"> (交易處理資料__3[[#This Row],[售出工時]] * 60) / 5</f>
        <v>0</v>
      </c>
      <c r="M2240" t="str">
        <f>VLOOKUP(交易處理資料__3[[#This Row],[人員代號]],團隊分組!$B$1:$C$52,2,FALSE)</f>
        <v>快速保養團隊A</v>
      </c>
      <c r="N2240">
        <f>IF(交易處理資料__3[[#This Row],[上班時間]]=0,0,交易處理資料__3[[#This Row],[售出工時]]/交易處理資料__3[[#This Row],[上班時間]])</f>
        <v>0</v>
      </c>
      <c r="O2240" s="31" t="str">
        <f>IF(交易處理資料__3[[#This Row],[上班時間]]=0,"否","是")</f>
        <v>否</v>
      </c>
    </row>
    <row r="2241" spans="1:15" hidden="1">
      <c r="A2241" t="s">
        <v>75</v>
      </c>
      <c r="B2241" t="s">
        <v>43</v>
      </c>
      <c r="C2241">
        <v>0</v>
      </c>
      <c r="D2241">
        <v>0</v>
      </c>
      <c r="E2241" s="27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 s="9">
        <v>45347</v>
      </c>
      <c r="L2241">
        <f xml:space="preserve"> (交易處理資料__3[[#This Row],[售出工時]] * 60) / 5</f>
        <v>0</v>
      </c>
      <c r="M2241" t="str">
        <f>VLOOKUP(交易處理資料__3[[#This Row],[人員代號]],團隊分組!$B$1:$C$52,2,FALSE)</f>
        <v>查修團隊B</v>
      </c>
      <c r="N2241">
        <f>IF(交易處理資料__3[[#This Row],[上班時間]]=0,0,交易處理資料__3[[#This Row],[售出工時]]/交易處理資料__3[[#This Row],[上班時間]])</f>
        <v>0</v>
      </c>
      <c r="O2241" s="31" t="str">
        <f>IF(交易處理資料__3[[#This Row],[上班時間]]=0,"否","是")</f>
        <v>否</v>
      </c>
    </row>
    <row r="2242" spans="1:15" hidden="1">
      <c r="A2242" t="s">
        <v>75</v>
      </c>
      <c r="B2242" t="s">
        <v>44</v>
      </c>
      <c r="C2242">
        <v>0</v>
      </c>
      <c r="D2242">
        <v>0</v>
      </c>
      <c r="E2242" s="27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 s="9">
        <v>45347</v>
      </c>
      <c r="L2242">
        <f xml:space="preserve"> (交易處理資料__3[[#This Row],[售出工時]] * 60) / 5</f>
        <v>0</v>
      </c>
      <c r="M2242" t="str">
        <f>VLOOKUP(交易處理資料__3[[#This Row],[人員代號]],團隊分組!$B$1:$C$52,2,FALSE)</f>
        <v>快速保養團隊B</v>
      </c>
      <c r="N2242">
        <f>IF(交易處理資料__3[[#This Row],[上班時間]]=0,0,交易處理資料__3[[#This Row],[售出工時]]/交易處理資料__3[[#This Row],[上班時間]])</f>
        <v>0</v>
      </c>
      <c r="O2242" s="31" t="str">
        <f>IF(交易處理資料__3[[#This Row],[上班時間]]=0,"否","是")</f>
        <v>否</v>
      </c>
    </row>
    <row r="2243" spans="1:15" hidden="1">
      <c r="A2243" t="s">
        <v>75</v>
      </c>
      <c r="B2243" t="s">
        <v>45</v>
      </c>
      <c r="C2243">
        <v>0</v>
      </c>
      <c r="D2243">
        <v>0</v>
      </c>
      <c r="E2243" s="27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 s="9">
        <v>45347</v>
      </c>
      <c r="L2243">
        <f xml:space="preserve"> (交易處理資料__3[[#This Row],[售出工時]] * 60) / 5</f>
        <v>0</v>
      </c>
      <c r="M2243" t="str">
        <f>VLOOKUP(交易處理資料__3[[#This Row],[人員代號]],團隊分組!$B$1:$C$52,2,FALSE)</f>
        <v>快速保養團隊A</v>
      </c>
      <c r="N2243">
        <f>IF(交易處理資料__3[[#This Row],[上班時間]]=0,0,交易處理資料__3[[#This Row],[售出工時]]/交易處理資料__3[[#This Row],[上班時間]])</f>
        <v>0</v>
      </c>
      <c r="O2243" s="31" t="str">
        <f>IF(交易處理資料__3[[#This Row],[上班時間]]=0,"否","是")</f>
        <v>否</v>
      </c>
    </row>
    <row r="2244" spans="1:15" hidden="1">
      <c r="A2244" t="s">
        <v>75</v>
      </c>
      <c r="B2244" t="s">
        <v>46</v>
      </c>
      <c r="C2244">
        <v>0</v>
      </c>
      <c r="D2244">
        <v>0</v>
      </c>
      <c r="E2244" s="27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 s="9">
        <v>45347</v>
      </c>
      <c r="L2244">
        <f xml:space="preserve"> (交易處理資料__3[[#This Row],[售出工時]] * 60) / 5</f>
        <v>0</v>
      </c>
      <c r="M2244" t="str">
        <f>VLOOKUP(交易處理資料__3[[#This Row],[人員代號]],團隊分組!$B$1:$C$52,2,FALSE)</f>
        <v>查修團隊B</v>
      </c>
      <c r="N2244">
        <f>IF(交易處理資料__3[[#This Row],[上班時間]]=0,0,交易處理資料__3[[#This Row],[售出工時]]/交易處理資料__3[[#This Row],[上班時間]])</f>
        <v>0</v>
      </c>
      <c r="O2244" s="31" t="str">
        <f>IF(交易處理資料__3[[#This Row],[上班時間]]=0,"否","是")</f>
        <v>否</v>
      </c>
    </row>
    <row r="2245" spans="1:15" hidden="1">
      <c r="A2245" t="s">
        <v>75</v>
      </c>
      <c r="B2245" t="s">
        <v>47</v>
      </c>
      <c r="C2245">
        <v>0</v>
      </c>
      <c r="D2245">
        <v>0</v>
      </c>
      <c r="E2245" s="27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 s="9">
        <v>45347</v>
      </c>
      <c r="L2245">
        <f xml:space="preserve"> (交易處理資料__3[[#This Row],[售出工時]] * 60) / 5</f>
        <v>0</v>
      </c>
      <c r="M2245" t="str">
        <f>VLOOKUP(交易處理資料__3[[#This Row],[人員代號]],團隊分組!$B$1:$C$52,2,FALSE)</f>
        <v>查修團隊B</v>
      </c>
      <c r="N2245">
        <f>IF(交易處理資料__3[[#This Row],[上班時間]]=0,0,交易處理資料__3[[#This Row],[售出工時]]/交易處理資料__3[[#This Row],[上班時間]])</f>
        <v>0</v>
      </c>
      <c r="O2245" s="31" t="str">
        <f>IF(交易處理資料__3[[#This Row],[上班時間]]=0,"否","是")</f>
        <v>否</v>
      </c>
    </row>
    <row r="2246" spans="1:15" hidden="1">
      <c r="A2246" t="s">
        <v>75</v>
      </c>
      <c r="B2246" t="s">
        <v>48</v>
      </c>
      <c r="C2246">
        <v>0</v>
      </c>
      <c r="D2246">
        <v>0</v>
      </c>
      <c r="E2246" s="27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 s="9">
        <v>45347</v>
      </c>
      <c r="L2246">
        <f xml:space="preserve"> (交易處理資料__3[[#This Row],[售出工時]] * 60) / 5</f>
        <v>0</v>
      </c>
      <c r="M2246" t="str">
        <f>VLOOKUP(交易處理資料__3[[#This Row],[人員代號]],團隊分組!$B$1:$C$52,2,FALSE)</f>
        <v>查修團隊A</v>
      </c>
      <c r="N2246">
        <f>IF(交易處理資料__3[[#This Row],[上班時間]]=0,0,交易處理資料__3[[#This Row],[售出工時]]/交易處理資料__3[[#This Row],[上班時間]])</f>
        <v>0</v>
      </c>
      <c r="O2246" s="31" t="str">
        <f>IF(交易處理資料__3[[#This Row],[上班時間]]=0,"否","是")</f>
        <v>否</v>
      </c>
    </row>
    <row r="2247" spans="1:15" hidden="1">
      <c r="A2247" t="s">
        <v>75</v>
      </c>
      <c r="B2247" t="s">
        <v>49</v>
      </c>
      <c r="C2247">
        <v>0</v>
      </c>
      <c r="D2247">
        <v>0</v>
      </c>
      <c r="E2247" s="2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 s="9">
        <v>45347</v>
      </c>
      <c r="L2247">
        <f xml:space="preserve"> (交易處理資料__3[[#This Row],[售出工時]] * 60) / 5</f>
        <v>0</v>
      </c>
      <c r="M2247" t="str">
        <f>VLOOKUP(交易處理資料__3[[#This Row],[人員代號]],團隊分組!$B$1:$C$52,2,FALSE)</f>
        <v>查修團隊A</v>
      </c>
      <c r="N2247">
        <f>IF(交易處理資料__3[[#This Row],[上班時間]]=0,0,交易處理資料__3[[#This Row],[售出工時]]/交易處理資料__3[[#This Row],[上班時間]])</f>
        <v>0</v>
      </c>
      <c r="O2247" s="31" t="str">
        <f>IF(交易處理資料__3[[#This Row],[上班時間]]=0,"否","是")</f>
        <v>否</v>
      </c>
    </row>
    <row r="2248" spans="1:15" hidden="1">
      <c r="A2248" t="s">
        <v>75</v>
      </c>
      <c r="B2248" t="s">
        <v>50</v>
      </c>
      <c r="C2248">
        <v>0</v>
      </c>
      <c r="D2248">
        <v>0</v>
      </c>
      <c r="E2248" s="27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 s="9">
        <v>45347</v>
      </c>
      <c r="L2248">
        <f xml:space="preserve"> (交易處理資料__3[[#This Row],[售出工時]] * 60) / 5</f>
        <v>0</v>
      </c>
      <c r="M2248" t="str">
        <f>VLOOKUP(交易處理資料__3[[#This Row],[人員代號]],團隊分組!$B$1:$C$52,2,FALSE)</f>
        <v>快速保養團隊B</v>
      </c>
      <c r="N2248">
        <f>IF(交易處理資料__3[[#This Row],[上班時間]]=0,0,交易處理資料__3[[#This Row],[售出工時]]/交易處理資料__3[[#This Row],[上班時間]])</f>
        <v>0</v>
      </c>
      <c r="O2248" s="31" t="str">
        <f>IF(交易處理資料__3[[#This Row],[上班時間]]=0,"否","是")</f>
        <v>否</v>
      </c>
    </row>
    <row r="2249" spans="1:15" hidden="1">
      <c r="A2249" t="s">
        <v>75</v>
      </c>
      <c r="B2249" t="s">
        <v>51</v>
      </c>
      <c r="C2249">
        <v>0</v>
      </c>
      <c r="D2249">
        <v>0</v>
      </c>
      <c r="E2249" s="27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 s="9">
        <v>45347</v>
      </c>
      <c r="L2249">
        <f xml:space="preserve"> (交易處理資料__3[[#This Row],[售出工時]] * 60) / 5</f>
        <v>0</v>
      </c>
      <c r="M2249" t="str">
        <f>VLOOKUP(交易處理資料__3[[#This Row],[人員代號]],團隊分組!$B$1:$C$52,2,FALSE)</f>
        <v>無效數據</v>
      </c>
      <c r="N2249">
        <f>IF(交易處理資料__3[[#This Row],[上班時間]]=0,0,交易處理資料__3[[#This Row],[售出工時]]/交易處理資料__3[[#This Row],[上班時間]])</f>
        <v>0</v>
      </c>
      <c r="O2249" s="31" t="str">
        <f>IF(交易處理資料__3[[#This Row],[上班時間]]=0,"否","是")</f>
        <v>否</v>
      </c>
    </row>
    <row r="2250" spans="1:15" hidden="1">
      <c r="A2250" t="s">
        <v>75</v>
      </c>
      <c r="B2250" t="s">
        <v>52</v>
      </c>
      <c r="C2250">
        <v>0</v>
      </c>
      <c r="D2250">
        <v>0</v>
      </c>
      <c r="E2250" s="27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 s="9">
        <v>45347</v>
      </c>
      <c r="L2250">
        <f xml:space="preserve"> (交易處理資料__3[[#This Row],[售出工時]] * 60) / 5</f>
        <v>0</v>
      </c>
      <c r="M2250" t="str">
        <f>VLOOKUP(交易處理資料__3[[#This Row],[人員代號]],團隊分組!$B$1:$C$52,2,FALSE)</f>
        <v>查修團隊B</v>
      </c>
      <c r="N2250">
        <f>IF(交易處理資料__3[[#This Row],[上班時間]]=0,0,交易處理資料__3[[#This Row],[售出工時]]/交易處理資料__3[[#This Row],[上班時間]])</f>
        <v>0</v>
      </c>
      <c r="O2250" s="31" t="str">
        <f>IF(交易處理資料__3[[#This Row],[上班時間]]=0,"否","是")</f>
        <v>否</v>
      </c>
    </row>
    <row r="2251" spans="1:15" hidden="1">
      <c r="A2251" t="s">
        <v>75</v>
      </c>
      <c r="B2251" t="s">
        <v>53</v>
      </c>
      <c r="C2251">
        <v>0</v>
      </c>
      <c r="D2251">
        <v>0</v>
      </c>
      <c r="E2251" s="27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 s="9">
        <v>45347</v>
      </c>
      <c r="L2251">
        <f xml:space="preserve"> (交易處理資料__3[[#This Row],[售出工時]] * 60) / 5</f>
        <v>0</v>
      </c>
      <c r="M2251" t="str">
        <f>VLOOKUP(交易處理資料__3[[#This Row],[人員代號]],團隊分組!$B$1:$C$52,2,FALSE)</f>
        <v>查修團隊A</v>
      </c>
      <c r="N2251">
        <f>IF(交易處理資料__3[[#This Row],[上班時間]]=0,0,交易處理資料__3[[#This Row],[售出工時]]/交易處理資料__3[[#This Row],[上班時間]])</f>
        <v>0</v>
      </c>
      <c r="O2251" s="31" t="str">
        <f>IF(交易處理資料__3[[#This Row],[上班時間]]=0,"否","是")</f>
        <v>否</v>
      </c>
    </row>
    <row r="2252" spans="1:15" hidden="1">
      <c r="A2252" s="10" t="s">
        <v>73</v>
      </c>
      <c r="B2252" t="s">
        <v>5</v>
      </c>
      <c r="C2252">
        <v>4.17</v>
      </c>
      <c r="D2252">
        <v>7.42</v>
      </c>
      <c r="E2252" s="27">
        <v>56.19946092</v>
      </c>
      <c r="F2252">
        <v>10.48</v>
      </c>
      <c r="G2252">
        <v>0.31</v>
      </c>
      <c r="H2252">
        <v>10.79</v>
      </c>
      <c r="I2252">
        <v>97.13</v>
      </c>
      <c r="J2252">
        <v>38.65</v>
      </c>
      <c r="K2252" s="9">
        <v>45348</v>
      </c>
      <c r="L2252">
        <f xml:space="preserve"> (交易處理資料__3[[#This Row],[售出工時]] * 60) / 5</f>
        <v>50.04</v>
      </c>
      <c r="M2252" t="str">
        <f>VLOOKUP(交易處理資料__3[[#This Row],[人員代號]],團隊分組!$B$1:$C$52,2,FALSE)</f>
        <v>噴漆維修組</v>
      </c>
      <c r="N2252">
        <f>IF(交易處理資料__3[[#This Row],[上班時間]]=0,0,交易處理資料__3[[#This Row],[售出工時]]/交易處理資料__3[[#This Row],[上班時間]])</f>
        <v>0.38646895273401299</v>
      </c>
      <c r="O2252" s="31" t="str">
        <f>IF(交易處理資料__3[[#This Row],[上班時間]]=0,"否","是")</f>
        <v>是</v>
      </c>
    </row>
    <row r="2253" spans="1:15" hidden="1">
      <c r="A2253" s="10" t="s">
        <v>73</v>
      </c>
      <c r="B2253" t="s">
        <v>7</v>
      </c>
      <c r="C2253">
        <v>3.25</v>
      </c>
      <c r="D2253">
        <v>6.17</v>
      </c>
      <c r="E2253" s="27">
        <v>52.67423015</v>
      </c>
      <c r="F2253">
        <v>10.48</v>
      </c>
      <c r="G2253">
        <v>0.31</v>
      </c>
      <c r="H2253">
        <v>10.79</v>
      </c>
      <c r="I2253">
        <v>97.13</v>
      </c>
      <c r="J2253">
        <v>30.12</v>
      </c>
      <c r="K2253" s="9">
        <v>45348</v>
      </c>
      <c r="L2253">
        <f xml:space="preserve"> (交易處理資料__3[[#This Row],[售出工時]] * 60) / 5</f>
        <v>39</v>
      </c>
      <c r="M2253" t="str">
        <f>VLOOKUP(交易處理資料__3[[#This Row],[人員代號]],團隊分組!$B$1:$C$52,2,FALSE)</f>
        <v>噴漆維修組</v>
      </c>
      <c r="N2253">
        <f>IF(交易處理資料__3[[#This Row],[上班時間]]=0,0,交易處理資料__3[[#This Row],[售出工時]]/交易處理資料__3[[#This Row],[上班時間]])</f>
        <v>0.30120481927710846</v>
      </c>
      <c r="O2253" s="31" t="str">
        <f>IF(交易處理資料__3[[#This Row],[上班時間]]=0,"否","是")</f>
        <v>是</v>
      </c>
    </row>
    <row r="2254" spans="1:15" hidden="1">
      <c r="A2254" t="s">
        <v>74</v>
      </c>
      <c r="B2254" t="s">
        <v>13</v>
      </c>
      <c r="C2254">
        <v>5.25</v>
      </c>
      <c r="D2254">
        <v>2.14</v>
      </c>
      <c r="E2254" s="27">
        <v>245.32710280000001</v>
      </c>
      <c r="F2254">
        <v>4.66</v>
      </c>
      <c r="G2254">
        <v>3.61</v>
      </c>
      <c r="H2254">
        <v>8.27</v>
      </c>
      <c r="I2254">
        <v>56.35</v>
      </c>
      <c r="J2254">
        <v>63.48</v>
      </c>
      <c r="K2254" s="9">
        <v>45348</v>
      </c>
      <c r="L2254">
        <f xml:space="preserve"> (交易處理資料__3[[#This Row],[售出工時]] * 60) / 5</f>
        <v>63</v>
      </c>
      <c r="M2254" t="str">
        <f>VLOOKUP(交易處理資料__3[[#This Row],[人員代號]],團隊分組!$B$1:$C$52,2,FALSE)</f>
        <v>鈑金維修組</v>
      </c>
      <c r="N2254">
        <f>IF(交易處理資料__3[[#This Row],[上班時間]]=0,0,交易處理資料__3[[#This Row],[售出工時]]/交易處理資料__3[[#This Row],[上班時間]])</f>
        <v>0.63482466747279331</v>
      </c>
      <c r="O2254" s="31" t="str">
        <f>IF(交易處理資料__3[[#This Row],[上班時間]]=0,"否","是")</f>
        <v>是</v>
      </c>
    </row>
    <row r="2255" spans="1:15" hidden="1">
      <c r="A2255" t="s">
        <v>74</v>
      </c>
      <c r="B2255" t="s">
        <v>14</v>
      </c>
      <c r="C2255">
        <v>5.69</v>
      </c>
      <c r="D2255">
        <v>6.23</v>
      </c>
      <c r="E2255" s="27">
        <v>91.332263240000003</v>
      </c>
      <c r="F2255">
        <v>4</v>
      </c>
      <c r="G2255">
        <v>4.29</v>
      </c>
      <c r="H2255">
        <v>8.2899999999999991</v>
      </c>
      <c r="I2255">
        <v>48.25</v>
      </c>
      <c r="J2255">
        <v>68.64</v>
      </c>
      <c r="K2255" s="9">
        <v>45348</v>
      </c>
      <c r="L2255">
        <f xml:space="preserve"> (交易處理資料__3[[#This Row],[售出工時]] * 60) / 5</f>
        <v>68.28</v>
      </c>
      <c r="M2255" t="str">
        <f>VLOOKUP(交易處理資料__3[[#This Row],[人員代號]],團隊分組!$B$1:$C$52,2,FALSE)</f>
        <v>鈑金維修組</v>
      </c>
      <c r="N2255">
        <f>IF(交易處理資料__3[[#This Row],[上班時間]]=0,0,交易處理資料__3[[#This Row],[售出工時]]/交易處理資料__3[[#This Row],[上班時間]])</f>
        <v>0.68636911942098922</v>
      </c>
      <c r="O2255" s="31" t="str">
        <f>IF(交易處理資料__3[[#This Row],[上班時間]]=0,"否","是")</f>
        <v>是</v>
      </c>
    </row>
    <row r="2256" spans="1:15" hidden="1">
      <c r="A2256" t="s">
        <v>74</v>
      </c>
      <c r="B2256" t="s">
        <v>15</v>
      </c>
      <c r="C2256">
        <v>0.56000000000000005</v>
      </c>
      <c r="D2256">
        <v>1.05</v>
      </c>
      <c r="E2256" s="27">
        <v>53.333333330000002</v>
      </c>
      <c r="F2256">
        <v>4</v>
      </c>
      <c r="G2256">
        <v>4.29</v>
      </c>
      <c r="H2256">
        <v>8.2899999999999991</v>
      </c>
      <c r="I2256">
        <v>48.25</v>
      </c>
      <c r="J2256">
        <v>6.76</v>
      </c>
      <c r="K2256" s="9">
        <v>45348</v>
      </c>
      <c r="L2256">
        <f xml:space="preserve"> (交易處理資料__3[[#This Row],[售出工時]] * 60) / 5</f>
        <v>6.7200000000000006</v>
      </c>
      <c r="M2256" t="str">
        <f>VLOOKUP(交易處理資料__3[[#This Row],[人員代號]],團隊分組!$B$1:$C$52,2,FALSE)</f>
        <v>鈑金維修組</v>
      </c>
      <c r="N2256">
        <f>IF(交易處理資料__3[[#This Row],[上班時間]]=0,0,交易處理資料__3[[#This Row],[售出工時]]/交易處理資料__3[[#This Row],[上班時間]])</f>
        <v>6.7551266586248507E-2</v>
      </c>
      <c r="O2256" s="31" t="str">
        <f>IF(交易處理資料__3[[#This Row],[上班時間]]=0,"否","是")</f>
        <v>是</v>
      </c>
    </row>
    <row r="2257" spans="1:15" hidden="1">
      <c r="A2257" t="s">
        <v>75</v>
      </c>
      <c r="B2257" t="s">
        <v>18</v>
      </c>
      <c r="C2257">
        <v>0</v>
      </c>
      <c r="D2257">
        <v>0</v>
      </c>
      <c r="E2257" s="27">
        <v>0</v>
      </c>
      <c r="F2257">
        <v>8.19</v>
      </c>
      <c r="G2257">
        <v>1.55</v>
      </c>
      <c r="H2257">
        <v>9.74</v>
      </c>
      <c r="I2257">
        <v>84.09</v>
      </c>
      <c r="J2257">
        <v>0</v>
      </c>
      <c r="K2257" s="9">
        <v>45348</v>
      </c>
      <c r="L2257">
        <f xml:space="preserve"> (交易處理資料__3[[#This Row],[售出工時]] * 60) / 5</f>
        <v>0</v>
      </c>
      <c r="M2257" t="str">
        <f>VLOOKUP(交易處理資料__3[[#This Row],[人員代號]],團隊分組!$B$1:$C$52,2,FALSE)</f>
        <v>查修團隊B</v>
      </c>
      <c r="N2257">
        <f>IF(交易處理資料__3[[#This Row],[上班時間]]=0,0,交易處理資料__3[[#This Row],[售出工時]]/交易處理資料__3[[#This Row],[上班時間]])</f>
        <v>0</v>
      </c>
      <c r="O2257" s="31" t="str">
        <f>IF(交易處理資料__3[[#This Row],[上班時間]]=0,"否","是")</f>
        <v>是</v>
      </c>
    </row>
    <row r="2258" spans="1:15" hidden="1">
      <c r="A2258" t="s">
        <v>75</v>
      </c>
      <c r="B2258" t="s">
        <v>20</v>
      </c>
      <c r="C2258">
        <v>0</v>
      </c>
      <c r="D2258">
        <v>0</v>
      </c>
      <c r="E2258" s="27">
        <v>0</v>
      </c>
      <c r="F2258">
        <v>1.2</v>
      </c>
      <c r="G2258">
        <v>8.9499999999999993</v>
      </c>
      <c r="H2258">
        <v>10.15</v>
      </c>
      <c r="I2258">
        <v>11.82</v>
      </c>
      <c r="J2258">
        <v>0</v>
      </c>
      <c r="K2258" s="9">
        <v>45348</v>
      </c>
      <c r="L2258">
        <f xml:space="preserve"> (交易處理資料__3[[#This Row],[售出工時]] * 60) / 5</f>
        <v>0</v>
      </c>
      <c r="M2258" t="str">
        <f>VLOOKUP(交易處理資料__3[[#This Row],[人員代號]],團隊分組!$B$1:$C$52,2,FALSE)</f>
        <v>查修團隊B</v>
      </c>
      <c r="N2258">
        <f>IF(交易處理資料__3[[#This Row],[上班時間]]=0,0,交易處理資料__3[[#This Row],[售出工時]]/交易處理資料__3[[#This Row],[上班時間]])</f>
        <v>0</v>
      </c>
      <c r="O2258" s="31" t="str">
        <f>IF(交易處理資料__3[[#This Row],[上班時間]]=0,"否","是")</f>
        <v>是</v>
      </c>
    </row>
    <row r="2259" spans="1:15" hidden="1">
      <c r="A2259" t="s">
        <v>75</v>
      </c>
      <c r="B2259" t="s">
        <v>21</v>
      </c>
      <c r="C2259">
        <v>0</v>
      </c>
      <c r="D2259">
        <v>0</v>
      </c>
      <c r="E2259" s="27">
        <v>0</v>
      </c>
      <c r="F2259">
        <v>8.48</v>
      </c>
      <c r="G2259">
        <v>1.71</v>
      </c>
      <c r="H2259">
        <v>10.19</v>
      </c>
      <c r="I2259">
        <v>83.22</v>
      </c>
      <c r="J2259">
        <v>0</v>
      </c>
      <c r="K2259" s="9">
        <v>45348</v>
      </c>
      <c r="L2259">
        <f xml:space="preserve"> (交易處理資料__3[[#This Row],[售出工時]] * 60) / 5</f>
        <v>0</v>
      </c>
      <c r="M2259" t="str">
        <f>VLOOKUP(交易處理資料__3[[#This Row],[人員代號]],團隊分組!$B$1:$C$52,2,FALSE)</f>
        <v>查修團隊B</v>
      </c>
      <c r="N2259">
        <f>IF(交易處理資料__3[[#This Row],[上班時間]]=0,0,交易處理資料__3[[#This Row],[售出工時]]/交易處理資料__3[[#This Row],[上班時間]])</f>
        <v>0</v>
      </c>
      <c r="O2259" s="31" t="str">
        <f>IF(交易處理資料__3[[#This Row],[上班時間]]=0,"否","是")</f>
        <v>是</v>
      </c>
    </row>
    <row r="2260" spans="1:15" hidden="1">
      <c r="A2260" t="s">
        <v>75</v>
      </c>
      <c r="B2260" t="s">
        <v>22</v>
      </c>
      <c r="C2260">
        <v>6.5833333329999997</v>
      </c>
      <c r="D2260">
        <v>7.45</v>
      </c>
      <c r="E2260" s="27">
        <v>88.366890380000001</v>
      </c>
      <c r="F2260">
        <v>6.03</v>
      </c>
      <c r="G2260">
        <v>1.96</v>
      </c>
      <c r="H2260">
        <v>7.99</v>
      </c>
      <c r="I2260">
        <v>75.47</v>
      </c>
      <c r="J2260">
        <v>82.39</v>
      </c>
      <c r="K2260" s="9">
        <v>45348</v>
      </c>
      <c r="L2260">
        <f xml:space="preserve"> (交易處理資料__3[[#This Row],[售出工時]] * 60) / 5</f>
        <v>78.999999996</v>
      </c>
      <c r="M2260" t="str">
        <f>VLOOKUP(交易處理資料__3[[#This Row],[人員代號]],團隊分組!$B$1:$C$52,2,FALSE)</f>
        <v>快速保養團隊A</v>
      </c>
      <c r="N2260">
        <f>IF(交易處理資料__3[[#This Row],[上班時間]]=0,0,交易處理資料__3[[#This Row],[售出工時]]/交易處理資料__3[[#This Row],[上班時間]])</f>
        <v>0.82394659987484353</v>
      </c>
      <c r="O2260" s="31" t="str">
        <f>IF(交易處理資料__3[[#This Row],[上班時間]]=0,"否","是")</f>
        <v>是</v>
      </c>
    </row>
    <row r="2261" spans="1:15" hidden="1">
      <c r="A2261" t="s">
        <v>75</v>
      </c>
      <c r="B2261" t="s">
        <v>24</v>
      </c>
      <c r="C2261">
        <v>2.9333333330000002</v>
      </c>
      <c r="D2261">
        <v>4.38</v>
      </c>
      <c r="E2261" s="27">
        <v>66.971080670000006</v>
      </c>
      <c r="F2261">
        <v>7.15</v>
      </c>
      <c r="G2261">
        <v>0.61</v>
      </c>
      <c r="H2261">
        <v>7.76</v>
      </c>
      <c r="I2261">
        <v>92.14</v>
      </c>
      <c r="J2261">
        <v>37.799999999999997</v>
      </c>
      <c r="K2261" s="9">
        <v>45348</v>
      </c>
      <c r="L2261">
        <f xml:space="preserve"> (交易處理資料__3[[#This Row],[售出工時]] * 60) / 5</f>
        <v>35.199999996000003</v>
      </c>
      <c r="M2261" t="str">
        <f>VLOOKUP(交易處理資料__3[[#This Row],[人員代號]],團隊分組!$B$1:$C$52,2,FALSE)</f>
        <v>快速保養團隊A</v>
      </c>
      <c r="N2261">
        <f>IF(交易處理資料__3[[#This Row],[上班時間]]=0,0,交易處理資料__3[[#This Row],[售出工時]]/交易處理資料__3[[#This Row],[上班時間]])</f>
        <v>0.37800687280927836</v>
      </c>
      <c r="O2261" s="31" t="str">
        <f>IF(交易處理資料__3[[#This Row],[上班時間]]=0,"否","是")</f>
        <v>是</v>
      </c>
    </row>
    <row r="2262" spans="1:15" hidden="1">
      <c r="A2262" t="s">
        <v>75</v>
      </c>
      <c r="B2262" t="s">
        <v>25</v>
      </c>
      <c r="C2262">
        <v>4.4966666670000004</v>
      </c>
      <c r="D2262">
        <v>5.85</v>
      </c>
      <c r="E2262" s="27">
        <v>76.866096870000007</v>
      </c>
      <c r="F2262">
        <v>8.4499999999999993</v>
      </c>
      <c r="G2262">
        <v>2.0299999999999998</v>
      </c>
      <c r="H2262">
        <v>10.48</v>
      </c>
      <c r="I2262">
        <v>80.63</v>
      </c>
      <c r="J2262">
        <v>42.91</v>
      </c>
      <c r="K2262" s="9">
        <v>45348</v>
      </c>
      <c r="L2262">
        <f xml:space="preserve"> (交易處理資料__3[[#This Row],[售出工時]] * 60) / 5</f>
        <v>53.960000004000008</v>
      </c>
      <c r="M2262" t="str">
        <f>VLOOKUP(交易處理資料__3[[#This Row],[人員代號]],團隊分組!$B$1:$C$52,2,FALSE)</f>
        <v>查修團隊A</v>
      </c>
      <c r="N2262">
        <f>IF(交易處理資料__3[[#This Row],[上班時間]]=0,0,交易處理資料__3[[#This Row],[售出工時]]/交易處理資料__3[[#This Row],[上班時間]])</f>
        <v>0.42907124685114506</v>
      </c>
      <c r="O2262" s="31" t="str">
        <f>IF(交易處理資料__3[[#This Row],[上班時間]]=0,"否","是")</f>
        <v>是</v>
      </c>
    </row>
    <row r="2263" spans="1:15" hidden="1">
      <c r="A2263" t="s">
        <v>75</v>
      </c>
      <c r="B2263" t="s">
        <v>26</v>
      </c>
      <c r="C2263">
        <v>0.75</v>
      </c>
      <c r="D2263">
        <v>2.6</v>
      </c>
      <c r="E2263" s="27">
        <v>28.84615385</v>
      </c>
      <c r="F2263">
        <v>1.77</v>
      </c>
      <c r="G2263">
        <v>8.39</v>
      </c>
      <c r="H2263">
        <v>10.16</v>
      </c>
      <c r="I2263">
        <v>17.420000000000002</v>
      </c>
      <c r="J2263">
        <v>7.38</v>
      </c>
      <c r="K2263" s="9">
        <v>45348</v>
      </c>
      <c r="L2263">
        <f xml:space="preserve"> (交易處理資料__3[[#This Row],[售出工時]] * 60) / 5</f>
        <v>9</v>
      </c>
      <c r="M2263" t="str">
        <f>VLOOKUP(交易處理資料__3[[#This Row],[人員代號]],團隊分組!$B$1:$C$52,2,FALSE)</f>
        <v>查修團隊B</v>
      </c>
      <c r="N2263">
        <f>IF(交易處理資料__3[[#This Row],[上班時間]]=0,0,交易處理資料__3[[#This Row],[售出工時]]/交易處理資料__3[[#This Row],[上班時間]])</f>
        <v>7.3818897637795269E-2</v>
      </c>
      <c r="O2263" s="31" t="str">
        <f>IF(交易處理資料__3[[#This Row],[上班時間]]=0,"否","是")</f>
        <v>是</v>
      </c>
    </row>
    <row r="2264" spans="1:15" hidden="1">
      <c r="A2264" t="s">
        <v>75</v>
      </c>
      <c r="B2264" t="s">
        <v>27</v>
      </c>
      <c r="C2264">
        <v>1.37</v>
      </c>
      <c r="D2264">
        <v>1.0900000000000001</v>
      </c>
      <c r="E2264" s="27">
        <v>125.68807339999999</v>
      </c>
      <c r="F2264">
        <v>6.73</v>
      </c>
      <c r="G2264">
        <v>1.98</v>
      </c>
      <c r="H2264">
        <v>8.7100000000000009</v>
      </c>
      <c r="I2264">
        <v>77.27</v>
      </c>
      <c r="J2264">
        <v>15.73</v>
      </c>
      <c r="K2264" s="9">
        <v>45348</v>
      </c>
      <c r="L2264">
        <f xml:space="preserve"> (交易處理資料__3[[#This Row],[售出工時]] * 60) / 5</f>
        <v>16.440000000000001</v>
      </c>
      <c r="M2264" t="str">
        <f>VLOOKUP(交易處理資料__3[[#This Row],[人員代號]],團隊分組!$B$1:$C$52,2,FALSE)</f>
        <v>快速保養團隊B</v>
      </c>
      <c r="N2264">
        <f>IF(交易處理資料__3[[#This Row],[上班時間]]=0,0,交易處理資料__3[[#This Row],[售出工時]]/交易處理資料__3[[#This Row],[上班時間]])</f>
        <v>0.15729047072330654</v>
      </c>
      <c r="O2264" s="31" t="str">
        <f>IF(交易處理資料__3[[#This Row],[上班時間]]=0,"否","是")</f>
        <v>是</v>
      </c>
    </row>
    <row r="2265" spans="1:15" hidden="1">
      <c r="A2265" t="s">
        <v>75</v>
      </c>
      <c r="B2265" t="s">
        <v>28</v>
      </c>
      <c r="C2265">
        <v>3.2566666670000002</v>
      </c>
      <c r="D2265">
        <v>5.15</v>
      </c>
      <c r="E2265" s="27">
        <v>63.236245949999997</v>
      </c>
      <c r="F2265">
        <v>7.07</v>
      </c>
      <c r="G2265">
        <v>1.04</v>
      </c>
      <c r="H2265">
        <v>8.11</v>
      </c>
      <c r="I2265">
        <v>87.18</v>
      </c>
      <c r="J2265">
        <v>40.159999999999997</v>
      </c>
      <c r="K2265" s="9">
        <v>45348</v>
      </c>
      <c r="L2265">
        <f xml:space="preserve"> (交易處理資料__3[[#This Row],[售出工時]] * 60) / 5</f>
        <v>39.080000004000006</v>
      </c>
      <c r="M2265" t="str">
        <f>VLOOKUP(交易處理資料__3[[#This Row],[人員代號]],團隊分組!$B$1:$C$52,2,FALSE)</f>
        <v>快速保養團隊A</v>
      </c>
      <c r="N2265">
        <f>IF(交易處理資料__3[[#This Row],[上班時間]]=0,0,交易處理資料__3[[#This Row],[售出工時]]/交易處理資料__3[[#This Row],[上班時間]])</f>
        <v>0.40156185782983977</v>
      </c>
      <c r="O2265" s="31" t="str">
        <f>IF(交易處理資料__3[[#This Row],[上班時間]]=0,"否","是")</f>
        <v>是</v>
      </c>
    </row>
    <row r="2266" spans="1:15" hidden="1">
      <c r="A2266" t="s">
        <v>75</v>
      </c>
      <c r="B2266" t="s">
        <v>29</v>
      </c>
      <c r="C2266">
        <v>0.66666666699999999</v>
      </c>
      <c r="D2266">
        <v>0.54</v>
      </c>
      <c r="E2266" s="27">
        <v>123.45679010000001</v>
      </c>
      <c r="F2266">
        <v>8.1</v>
      </c>
      <c r="G2266">
        <v>1.6</v>
      </c>
      <c r="H2266">
        <v>9.6999999999999993</v>
      </c>
      <c r="I2266">
        <v>83.51</v>
      </c>
      <c r="J2266">
        <v>6.87</v>
      </c>
      <c r="K2266" s="9">
        <v>45348</v>
      </c>
      <c r="L2266">
        <f xml:space="preserve"> (交易處理資料__3[[#This Row],[售出工時]] * 60) / 5</f>
        <v>8.0000000040000003</v>
      </c>
      <c r="M2266" t="str">
        <f>VLOOKUP(交易處理資料__3[[#This Row],[人員代號]],團隊分組!$B$1:$C$52,2,FALSE)</f>
        <v>查修團隊B</v>
      </c>
      <c r="N2266">
        <f>IF(交易處理資料__3[[#This Row],[上班時間]]=0,0,交易處理資料__3[[#This Row],[售出工時]]/交易處理資料__3[[#This Row],[上班時間]])</f>
        <v>6.8728522371134027E-2</v>
      </c>
      <c r="O2266" s="31" t="str">
        <f>IF(交易處理資料__3[[#This Row],[上班時間]]=0,"否","是")</f>
        <v>是</v>
      </c>
    </row>
    <row r="2267" spans="1:15" hidden="1">
      <c r="A2267" t="s">
        <v>75</v>
      </c>
      <c r="B2267" t="s">
        <v>30</v>
      </c>
      <c r="C2267">
        <v>8.5333333329999999</v>
      </c>
      <c r="D2267">
        <v>2.68</v>
      </c>
      <c r="E2267" s="27">
        <v>318.40796019999999</v>
      </c>
      <c r="F2267">
        <v>9.23</v>
      </c>
      <c r="G2267">
        <v>0.83</v>
      </c>
      <c r="H2267">
        <v>10.06</v>
      </c>
      <c r="I2267">
        <v>91.75</v>
      </c>
      <c r="J2267">
        <v>84.82</v>
      </c>
      <c r="K2267" s="9">
        <v>45348</v>
      </c>
      <c r="L2267">
        <f xml:space="preserve"> (交易處理資料__3[[#This Row],[售出工時]] * 60) / 5</f>
        <v>102.39999999599999</v>
      </c>
      <c r="M2267" t="str">
        <f>VLOOKUP(交易處理資料__3[[#This Row],[人員代號]],團隊分組!$B$1:$C$52,2,FALSE)</f>
        <v>快速保養團隊B</v>
      </c>
      <c r="N2267">
        <f>IF(交易處理資料__3[[#This Row],[上班時間]]=0,0,交易處理資料__3[[#This Row],[售出工時]]/交易處理資料__3[[#This Row],[上班時間]])</f>
        <v>0.84824387007952284</v>
      </c>
      <c r="O2267" s="31" t="str">
        <f>IF(交易處理資料__3[[#This Row],[上班時間]]=0,"否","是")</f>
        <v>是</v>
      </c>
    </row>
    <row r="2268" spans="1:15" hidden="1">
      <c r="A2268" t="s">
        <v>75</v>
      </c>
      <c r="B2268" t="s">
        <v>32</v>
      </c>
      <c r="C2268">
        <v>5.62</v>
      </c>
      <c r="D2268">
        <v>3.45</v>
      </c>
      <c r="E2268" s="27">
        <v>162.89855069999999</v>
      </c>
      <c r="F2268">
        <v>7</v>
      </c>
      <c r="G2268">
        <v>1.23</v>
      </c>
      <c r="H2268">
        <v>8.23</v>
      </c>
      <c r="I2268">
        <v>85.05</v>
      </c>
      <c r="J2268">
        <v>68.290000000000006</v>
      </c>
      <c r="K2268" s="9">
        <v>45348</v>
      </c>
      <c r="L2268">
        <f xml:space="preserve"> (交易處理資料__3[[#This Row],[售出工時]] * 60) / 5</f>
        <v>67.44</v>
      </c>
      <c r="M2268" t="str">
        <f>VLOOKUP(交易處理資料__3[[#This Row],[人員代號]],團隊分組!$B$1:$C$52,2,FALSE)</f>
        <v>快速保養團隊B</v>
      </c>
      <c r="N2268">
        <f>IF(交易處理資料__3[[#This Row],[上班時間]]=0,0,交易處理資料__3[[#This Row],[售出工時]]/交易處理資料__3[[#This Row],[上班時間]])</f>
        <v>0.68286755771567431</v>
      </c>
      <c r="O2268" s="31" t="str">
        <f>IF(交易處理資料__3[[#This Row],[上班時間]]=0,"否","是")</f>
        <v>是</v>
      </c>
    </row>
    <row r="2269" spans="1:15">
      <c r="A2269" t="s">
        <v>75</v>
      </c>
      <c r="B2269" t="s">
        <v>33</v>
      </c>
      <c r="C2269">
        <v>3.08</v>
      </c>
      <c r="D2269">
        <v>1.7</v>
      </c>
      <c r="E2269" s="27">
        <v>181.17647059999999</v>
      </c>
      <c r="F2269">
        <v>7.45</v>
      </c>
      <c r="G2269">
        <v>0.09</v>
      </c>
      <c r="H2269">
        <v>7.54</v>
      </c>
      <c r="I2269">
        <v>98.81</v>
      </c>
      <c r="J2269">
        <v>40.85</v>
      </c>
      <c r="K2269" s="9">
        <v>45348</v>
      </c>
      <c r="L2269">
        <f xml:space="preserve"> (交易處理資料__3[[#This Row],[售出工時]] * 60) / 5</f>
        <v>36.96</v>
      </c>
      <c r="M2269" t="str">
        <f>VLOOKUP(交易處理資料__3[[#This Row],[人員代號]],團隊分組!$B$1:$C$52,2,FALSE)</f>
        <v>快速保養團隊B</v>
      </c>
      <c r="N2269">
        <f>IF(交易處理資料__3[[#This Row],[上班時間]]=0,0,交易處理資料__3[[#This Row],[售出工時]]/交易處理資料__3[[#This Row],[上班時間]])</f>
        <v>0.40848806366047746</v>
      </c>
      <c r="O2269" s="31" t="str">
        <f>IF(交易處理資料__3[[#This Row],[上班時間]]=0,"否","是")</f>
        <v>是</v>
      </c>
    </row>
    <row r="2270" spans="1:15" hidden="1">
      <c r="A2270" t="s">
        <v>75</v>
      </c>
      <c r="B2270" t="s">
        <v>34</v>
      </c>
      <c r="C2270">
        <v>6.6666666670000003</v>
      </c>
      <c r="D2270">
        <v>4.0599999999999996</v>
      </c>
      <c r="E2270" s="27">
        <v>164.20361249999999</v>
      </c>
      <c r="F2270">
        <v>7</v>
      </c>
      <c r="G2270">
        <v>0.99</v>
      </c>
      <c r="H2270">
        <v>7.99</v>
      </c>
      <c r="I2270">
        <v>87.61</v>
      </c>
      <c r="J2270">
        <v>83.44</v>
      </c>
      <c r="K2270" s="9">
        <v>45348</v>
      </c>
      <c r="L2270">
        <f xml:space="preserve"> (交易處理資料__3[[#This Row],[售出工時]] * 60) / 5</f>
        <v>80.000000004</v>
      </c>
      <c r="M2270" t="str">
        <f>VLOOKUP(交易處理資料__3[[#This Row],[人員代號]],團隊分組!$B$1:$C$52,2,FALSE)</f>
        <v>快速保養團隊A</v>
      </c>
      <c r="N2270">
        <f>IF(交易處理資料__3[[#This Row],[上班時間]]=0,0,交易處理資料__3[[#This Row],[售出工時]]/交易處理資料__3[[#This Row],[上班時間]])</f>
        <v>0.8343763037546934</v>
      </c>
      <c r="O2270" s="31" t="str">
        <f>IF(交易處理資料__3[[#This Row],[上班時間]]=0,"否","是")</f>
        <v>是</v>
      </c>
    </row>
    <row r="2271" spans="1:15" hidden="1">
      <c r="A2271" t="s">
        <v>75</v>
      </c>
      <c r="B2271" t="s">
        <v>35</v>
      </c>
      <c r="C2271">
        <v>1.3333333329999999</v>
      </c>
      <c r="D2271">
        <v>0.67</v>
      </c>
      <c r="E2271" s="27">
        <v>199.0049751</v>
      </c>
      <c r="F2271">
        <v>8.52</v>
      </c>
      <c r="G2271">
        <v>1.65</v>
      </c>
      <c r="H2271">
        <v>10.17</v>
      </c>
      <c r="I2271">
        <v>83.78</v>
      </c>
      <c r="J2271">
        <v>13.11</v>
      </c>
      <c r="K2271" s="9">
        <v>45348</v>
      </c>
      <c r="L2271">
        <f xml:space="preserve"> (交易處理資料__3[[#This Row],[售出工時]] * 60) / 5</f>
        <v>15.999999996</v>
      </c>
      <c r="M2271" t="str">
        <f>VLOOKUP(交易處理資料__3[[#This Row],[人員代號]],團隊分組!$B$1:$C$52,2,FALSE)</f>
        <v>查修團隊B</v>
      </c>
      <c r="N2271">
        <f>IF(交易處理資料__3[[#This Row],[上班時間]]=0,0,交易處理資料__3[[#This Row],[售出工時]]/交易處理資料__3[[#This Row],[上班時間]])</f>
        <v>0.13110455585054079</v>
      </c>
      <c r="O2271" s="31" t="str">
        <f>IF(交易處理資料__3[[#This Row],[上班時間]]=0,"否","是")</f>
        <v>是</v>
      </c>
    </row>
    <row r="2272" spans="1:15" hidden="1">
      <c r="A2272" t="s">
        <v>75</v>
      </c>
      <c r="B2272" t="s">
        <v>36</v>
      </c>
      <c r="C2272">
        <v>1.26</v>
      </c>
      <c r="D2272">
        <v>1.05</v>
      </c>
      <c r="E2272" s="27">
        <v>120</v>
      </c>
      <c r="F2272">
        <v>7.26</v>
      </c>
      <c r="G2272">
        <v>2.99</v>
      </c>
      <c r="H2272">
        <v>10.25</v>
      </c>
      <c r="I2272">
        <v>70.83</v>
      </c>
      <c r="J2272">
        <v>12.29</v>
      </c>
      <c r="K2272" s="9">
        <v>45348</v>
      </c>
      <c r="L2272">
        <f xml:space="preserve"> (交易處理資料__3[[#This Row],[售出工時]] * 60) / 5</f>
        <v>15.12</v>
      </c>
      <c r="M2272" t="str">
        <f>VLOOKUP(交易處理資料__3[[#This Row],[人員代號]],團隊分組!$B$1:$C$52,2,FALSE)</f>
        <v>查修團隊B</v>
      </c>
      <c r="N2272">
        <f>IF(交易處理資料__3[[#This Row],[上班時間]]=0,0,交易處理資料__3[[#This Row],[售出工時]]/交易處理資料__3[[#This Row],[上班時間]])</f>
        <v>0.12292682926829268</v>
      </c>
      <c r="O2272" s="31" t="str">
        <f>IF(交易處理資料__3[[#This Row],[上班時間]]=0,"否","是")</f>
        <v>是</v>
      </c>
    </row>
    <row r="2273" spans="1:15" hidden="1">
      <c r="A2273" t="s">
        <v>75</v>
      </c>
      <c r="B2273" t="s">
        <v>37</v>
      </c>
      <c r="C2273">
        <v>3.153333333</v>
      </c>
      <c r="D2273">
        <v>4.5199999999999996</v>
      </c>
      <c r="E2273" s="27">
        <v>69.764011800000006</v>
      </c>
      <c r="F2273">
        <v>6.81</v>
      </c>
      <c r="G2273">
        <v>3.08</v>
      </c>
      <c r="H2273">
        <v>9.89</v>
      </c>
      <c r="I2273">
        <v>68.86</v>
      </c>
      <c r="J2273">
        <v>31.88</v>
      </c>
      <c r="K2273" s="9">
        <v>45348</v>
      </c>
      <c r="L2273">
        <f xml:space="preserve"> (交易處理資料__3[[#This Row],[售出工時]] * 60) / 5</f>
        <v>37.839999996000003</v>
      </c>
      <c r="M2273" t="str">
        <f>VLOOKUP(交易處理資料__3[[#This Row],[人員代號]],團隊分組!$B$1:$C$52,2,FALSE)</f>
        <v>查修團隊A</v>
      </c>
      <c r="N2273">
        <f>IF(交易處理資料__3[[#This Row],[上班時間]]=0,0,交易處理資料__3[[#This Row],[售出工時]]/交易處理資料__3[[#This Row],[上班時間]])</f>
        <v>0.31884057967644081</v>
      </c>
      <c r="O2273" s="31" t="str">
        <f>IF(交易處理資料__3[[#This Row],[上班時間]]=0,"否","是")</f>
        <v>是</v>
      </c>
    </row>
    <row r="2274" spans="1:15" hidden="1">
      <c r="A2274" t="s">
        <v>75</v>
      </c>
      <c r="B2274" t="s">
        <v>41</v>
      </c>
      <c r="C2274">
        <v>13.33333333</v>
      </c>
      <c r="D2274">
        <v>6.66</v>
      </c>
      <c r="E2274" s="27">
        <v>200.20020020000001</v>
      </c>
      <c r="F2274">
        <v>6.56</v>
      </c>
      <c r="G2274">
        <v>1.43</v>
      </c>
      <c r="H2274">
        <v>7.99</v>
      </c>
      <c r="I2274">
        <v>82.1</v>
      </c>
      <c r="J2274">
        <v>166.88</v>
      </c>
      <c r="K2274" s="9">
        <v>45348</v>
      </c>
      <c r="L2274">
        <f xml:space="preserve"> (交易處理資料__3[[#This Row],[售出工時]] * 60) / 5</f>
        <v>159.99999996000003</v>
      </c>
      <c r="M2274" t="str">
        <f>VLOOKUP(交易處理資料__3[[#This Row],[人員代號]],團隊分組!$B$1:$C$52,2,FALSE)</f>
        <v>快速保養團隊A</v>
      </c>
      <c r="N2274">
        <f>IF(交易處理資料__3[[#This Row],[上班時間]]=0,0,交易處理資料__3[[#This Row],[售出工時]]/交易處理資料__3[[#This Row],[上班時間]])</f>
        <v>1.668752607008761</v>
      </c>
      <c r="O2274" s="31" t="str">
        <f>IF(交易處理資料__3[[#This Row],[上班時間]]=0,"否","是")</f>
        <v>是</v>
      </c>
    </row>
    <row r="2275" spans="1:15" hidden="1">
      <c r="A2275" t="s">
        <v>75</v>
      </c>
      <c r="B2275" t="s">
        <v>42</v>
      </c>
      <c r="C2275">
        <v>8.3333333330000006</v>
      </c>
      <c r="D2275">
        <v>4.92</v>
      </c>
      <c r="E2275" s="27">
        <v>169.3766938</v>
      </c>
      <c r="F2275">
        <v>6.36</v>
      </c>
      <c r="G2275">
        <v>1.63</v>
      </c>
      <c r="H2275">
        <v>7.99</v>
      </c>
      <c r="I2275">
        <v>79.599999999999994</v>
      </c>
      <c r="J2275">
        <v>104.3</v>
      </c>
      <c r="K2275" s="9">
        <v>45348</v>
      </c>
      <c r="L2275">
        <f xml:space="preserve"> (交易處理資料__3[[#This Row],[售出工時]] * 60) / 5</f>
        <v>99.999999996000014</v>
      </c>
      <c r="M2275" t="str">
        <f>VLOOKUP(交易處理資料__3[[#This Row],[人員代號]],團隊分組!$B$1:$C$52,2,FALSE)</f>
        <v>快速保養團隊A</v>
      </c>
      <c r="N2275">
        <f>IF(交易處理資料__3[[#This Row],[上班時間]]=0,0,交易處理資料__3[[#This Row],[售出工時]]/交易處理資料__3[[#This Row],[上班時間]])</f>
        <v>1.0429703795994993</v>
      </c>
      <c r="O2275" s="31" t="str">
        <f>IF(交易處理資料__3[[#This Row],[上班時間]]=0,"否","是")</f>
        <v>是</v>
      </c>
    </row>
    <row r="2276" spans="1:15" hidden="1">
      <c r="A2276" t="s">
        <v>75</v>
      </c>
      <c r="B2276" t="s">
        <v>43</v>
      </c>
      <c r="C2276">
        <v>1.24</v>
      </c>
      <c r="D2276">
        <v>1.03</v>
      </c>
      <c r="E2276" s="27">
        <v>120.3883495</v>
      </c>
      <c r="F2276">
        <v>7.86</v>
      </c>
      <c r="G2276">
        <v>2.41</v>
      </c>
      <c r="H2276">
        <v>10.27</v>
      </c>
      <c r="I2276">
        <v>76.53</v>
      </c>
      <c r="J2276">
        <v>12.07</v>
      </c>
      <c r="K2276" s="9">
        <v>45348</v>
      </c>
      <c r="L2276">
        <f xml:space="preserve"> (交易處理資料__3[[#This Row],[售出工時]] * 60) / 5</f>
        <v>14.88</v>
      </c>
      <c r="M2276" t="str">
        <f>VLOOKUP(交易處理資料__3[[#This Row],[人員代號]],團隊分組!$B$1:$C$52,2,FALSE)</f>
        <v>查修團隊B</v>
      </c>
      <c r="N2276">
        <f>IF(交易處理資料__3[[#This Row],[上班時間]]=0,0,交易處理資料__3[[#This Row],[售出工時]]/交易處理資料__3[[#This Row],[上班時間]])</f>
        <v>0.1207400194741967</v>
      </c>
      <c r="O2276" s="31" t="str">
        <f>IF(交易處理資料__3[[#This Row],[上班時間]]=0,"否","是")</f>
        <v>是</v>
      </c>
    </row>
    <row r="2277" spans="1:15" hidden="1">
      <c r="A2277" t="s">
        <v>75</v>
      </c>
      <c r="B2277" t="s">
        <v>44</v>
      </c>
      <c r="C2277">
        <v>3.8533333330000001</v>
      </c>
      <c r="D2277">
        <v>3.29</v>
      </c>
      <c r="E2277" s="27">
        <v>117.1225937</v>
      </c>
      <c r="F2277">
        <v>7.19</v>
      </c>
      <c r="G2277">
        <v>1.02</v>
      </c>
      <c r="H2277">
        <v>8.2100000000000009</v>
      </c>
      <c r="I2277">
        <v>87.58</v>
      </c>
      <c r="J2277">
        <v>46.93</v>
      </c>
      <c r="K2277" s="9">
        <v>45348</v>
      </c>
      <c r="L2277">
        <f xml:space="preserve"> (交易處理資料__3[[#This Row],[售出工時]] * 60) / 5</f>
        <v>46.239999996000002</v>
      </c>
      <c r="M2277" t="str">
        <f>VLOOKUP(交易處理資料__3[[#This Row],[人員代號]],團隊分組!$B$1:$C$52,2,FALSE)</f>
        <v>快速保養團隊B</v>
      </c>
      <c r="N2277">
        <f>IF(交易處理資料__3[[#This Row],[上班時間]]=0,0,交易處理資料__3[[#This Row],[售出工時]]/交易處理資料__3[[#This Row],[上班時間]])</f>
        <v>0.46934632557856271</v>
      </c>
      <c r="O2277" s="31" t="str">
        <f>IF(交易處理資料__3[[#This Row],[上班時間]]=0,"否","是")</f>
        <v>是</v>
      </c>
    </row>
    <row r="2278" spans="1:15" hidden="1">
      <c r="A2278" t="s">
        <v>75</v>
      </c>
      <c r="B2278" t="s">
        <v>45</v>
      </c>
      <c r="C2278">
        <v>10.58333333</v>
      </c>
      <c r="D2278">
        <v>4.0599999999999996</v>
      </c>
      <c r="E2278" s="27">
        <v>260.67323479999999</v>
      </c>
      <c r="F2278">
        <v>7.73</v>
      </c>
      <c r="G2278">
        <v>0.74</v>
      </c>
      <c r="H2278">
        <v>8.4700000000000006</v>
      </c>
      <c r="I2278">
        <v>91.26</v>
      </c>
      <c r="J2278">
        <v>124.95</v>
      </c>
      <c r="K2278" s="9">
        <v>45348</v>
      </c>
      <c r="L2278">
        <f xml:space="preserve"> (交易處理資料__3[[#This Row],[售出工時]] * 60) / 5</f>
        <v>126.99999996000001</v>
      </c>
      <c r="M2278" t="str">
        <f>VLOOKUP(交易處理資料__3[[#This Row],[人員代號]],團隊分組!$B$1:$C$52,2,FALSE)</f>
        <v>快速保養團隊A</v>
      </c>
      <c r="N2278">
        <f>IF(交易處理資料__3[[#This Row],[上班時間]]=0,0,交易處理資料__3[[#This Row],[售出工時]]/交易處理資料__3[[#This Row],[上班時間]])</f>
        <v>1.2495080672963399</v>
      </c>
      <c r="O2278" s="31" t="str">
        <f>IF(交易處理資料__3[[#This Row],[上班時間]]=0,"否","是")</f>
        <v>是</v>
      </c>
    </row>
    <row r="2279" spans="1:15" hidden="1">
      <c r="A2279" t="s">
        <v>75</v>
      </c>
      <c r="B2279" t="s">
        <v>46</v>
      </c>
      <c r="C2279">
        <v>2.75</v>
      </c>
      <c r="D2279">
        <v>4.03</v>
      </c>
      <c r="E2279" s="27">
        <v>68.238213400000006</v>
      </c>
      <c r="F2279">
        <v>7.47</v>
      </c>
      <c r="G2279">
        <v>2.25</v>
      </c>
      <c r="H2279">
        <v>9.7200000000000006</v>
      </c>
      <c r="I2279">
        <v>76.849999999999994</v>
      </c>
      <c r="J2279">
        <v>28.29</v>
      </c>
      <c r="K2279" s="9">
        <v>45348</v>
      </c>
      <c r="L2279">
        <f xml:space="preserve"> (交易處理資料__3[[#This Row],[售出工時]] * 60) / 5</f>
        <v>33</v>
      </c>
      <c r="M2279" t="str">
        <f>VLOOKUP(交易處理資料__3[[#This Row],[人員代號]],團隊分組!$B$1:$C$52,2,FALSE)</f>
        <v>查修團隊B</v>
      </c>
      <c r="N2279">
        <f>IF(交易處理資料__3[[#This Row],[上班時間]]=0,0,交易處理資料__3[[#This Row],[售出工時]]/交易處理資料__3[[#This Row],[上班時間]])</f>
        <v>0.28292181069958844</v>
      </c>
      <c r="O2279" s="31" t="str">
        <f>IF(交易處理資料__3[[#This Row],[上班時間]]=0,"否","是")</f>
        <v>是</v>
      </c>
    </row>
    <row r="2280" spans="1:15" hidden="1">
      <c r="A2280" t="s">
        <v>75</v>
      </c>
      <c r="B2280" t="s">
        <v>47</v>
      </c>
      <c r="C2280">
        <v>0</v>
      </c>
      <c r="D2280">
        <v>0</v>
      </c>
      <c r="E2280" s="27">
        <v>0</v>
      </c>
      <c r="F2280">
        <v>2.4300000000000002</v>
      </c>
      <c r="G2280">
        <v>1.74</v>
      </c>
      <c r="H2280">
        <v>4.17</v>
      </c>
      <c r="I2280">
        <v>58.27</v>
      </c>
      <c r="J2280">
        <v>0</v>
      </c>
      <c r="K2280" s="9">
        <v>45348</v>
      </c>
      <c r="L2280">
        <f xml:space="preserve"> (交易處理資料__3[[#This Row],[售出工時]] * 60) / 5</f>
        <v>0</v>
      </c>
      <c r="M2280" t="str">
        <f>VLOOKUP(交易處理資料__3[[#This Row],[人員代號]],團隊分組!$B$1:$C$52,2,FALSE)</f>
        <v>查修團隊B</v>
      </c>
      <c r="N2280">
        <f>IF(交易處理資料__3[[#This Row],[上班時間]]=0,0,交易處理資料__3[[#This Row],[售出工時]]/交易處理資料__3[[#This Row],[上班時間]])</f>
        <v>0</v>
      </c>
      <c r="O2280" s="31" t="str">
        <f>IF(交易處理資料__3[[#This Row],[上班時間]]=0,"否","是")</f>
        <v>是</v>
      </c>
    </row>
    <row r="2281" spans="1:15" hidden="1">
      <c r="A2281" t="s">
        <v>75</v>
      </c>
      <c r="B2281" t="s">
        <v>51</v>
      </c>
      <c r="C2281">
        <v>0</v>
      </c>
      <c r="D2281">
        <v>0</v>
      </c>
      <c r="E2281" s="27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 s="9">
        <v>45348</v>
      </c>
      <c r="L2281">
        <f xml:space="preserve"> (交易處理資料__3[[#This Row],[售出工時]] * 60) / 5</f>
        <v>0</v>
      </c>
      <c r="M2281" t="str">
        <f>VLOOKUP(交易處理資料__3[[#This Row],[人員代號]],團隊分組!$B$1:$C$52,2,FALSE)</f>
        <v>無效數據</v>
      </c>
      <c r="N2281">
        <f>IF(交易處理資料__3[[#This Row],[上班時間]]=0,0,交易處理資料__3[[#This Row],[售出工時]]/交易處理資料__3[[#This Row],[上班時間]])</f>
        <v>0</v>
      </c>
      <c r="O2281" s="31" t="str">
        <f>IF(交易處理資料__3[[#This Row],[上班時間]]=0,"否","是")</f>
        <v>否</v>
      </c>
    </row>
    <row r="2282" spans="1:15" hidden="1">
      <c r="A2282" t="s">
        <v>75</v>
      </c>
      <c r="B2282" t="s">
        <v>52</v>
      </c>
      <c r="C2282">
        <v>2</v>
      </c>
      <c r="D2282">
        <v>5.24</v>
      </c>
      <c r="E2282" s="27">
        <v>38.167938929999998</v>
      </c>
      <c r="F2282">
        <v>7.44</v>
      </c>
      <c r="G2282">
        <v>0.75</v>
      </c>
      <c r="H2282">
        <v>8.19</v>
      </c>
      <c r="I2282">
        <v>90.84</v>
      </c>
      <c r="J2282">
        <v>24.42</v>
      </c>
      <c r="K2282" s="9">
        <v>45348</v>
      </c>
      <c r="L2282">
        <f xml:space="preserve"> (交易處理資料__3[[#This Row],[售出工時]] * 60) / 5</f>
        <v>24</v>
      </c>
      <c r="M2282" t="str">
        <f>VLOOKUP(交易處理資料__3[[#This Row],[人員代號]],團隊分組!$B$1:$C$52,2,FALSE)</f>
        <v>查修團隊B</v>
      </c>
      <c r="N2282">
        <f>IF(交易處理資料__3[[#This Row],[上班時間]]=0,0,交易處理資料__3[[#This Row],[售出工時]]/交易處理資料__3[[#This Row],[上班時間]])</f>
        <v>0.24420024420024422</v>
      </c>
      <c r="O2282" s="31" t="str">
        <f>IF(交易處理資料__3[[#This Row],[上班時間]]=0,"否","是")</f>
        <v>是</v>
      </c>
    </row>
    <row r="2283" spans="1:15" hidden="1">
      <c r="A2283" t="s">
        <v>75</v>
      </c>
      <c r="B2283" t="s">
        <v>53</v>
      </c>
      <c r="C2283">
        <v>5.5833333329999997</v>
      </c>
      <c r="D2283">
        <v>7.02</v>
      </c>
      <c r="E2283" s="27">
        <v>79.534662870000005</v>
      </c>
      <c r="F2283">
        <v>9.0399999999999991</v>
      </c>
      <c r="G2283">
        <v>0.61</v>
      </c>
      <c r="H2283">
        <v>9.65</v>
      </c>
      <c r="I2283">
        <v>93.68</v>
      </c>
      <c r="J2283">
        <v>57.86</v>
      </c>
      <c r="K2283" s="9">
        <v>45348</v>
      </c>
      <c r="L2283">
        <f xml:space="preserve"> (交易處理資料__3[[#This Row],[售出工時]] * 60) / 5</f>
        <v>66.999999996</v>
      </c>
      <c r="M2283" t="str">
        <f>VLOOKUP(交易處理資料__3[[#This Row],[人員代號]],團隊分組!$B$1:$C$52,2,FALSE)</f>
        <v>查修團隊A</v>
      </c>
      <c r="N2283">
        <f>IF(交易處理資料__3[[#This Row],[上班時間]]=0,0,交易處理資料__3[[#This Row],[售出工時]]/交易處理資料__3[[#This Row],[上班時間]])</f>
        <v>0.57858376507772014</v>
      </c>
      <c r="O2283" s="31" t="str">
        <f>IF(交易處理資料__3[[#This Row],[上班時間]]=0,"否","是")</f>
        <v>是</v>
      </c>
    </row>
    <row r="2284" spans="1:15" hidden="1">
      <c r="A2284" s="10" t="s">
        <v>73</v>
      </c>
      <c r="B2284" t="s">
        <v>1</v>
      </c>
      <c r="C2284">
        <v>0</v>
      </c>
      <c r="D2284">
        <v>0</v>
      </c>
      <c r="E2284" s="27">
        <v>0</v>
      </c>
      <c r="F2284">
        <v>3.2</v>
      </c>
      <c r="G2284">
        <v>4.83</v>
      </c>
      <c r="H2284">
        <v>8.0299999999999994</v>
      </c>
      <c r="I2284">
        <v>39.85</v>
      </c>
      <c r="J2284">
        <v>0</v>
      </c>
      <c r="K2284" s="9">
        <v>45349</v>
      </c>
      <c r="L2284">
        <f xml:space="preserve"> (交易處理資料__3[[#This Row],[售出工時]] * 60) / 5</f>
        <v>0</v>
      </c>
      <c r="M2284" t="str">
        <f>VLOOKUP(交易處理資料__3[[#This Row],[人員代號]],團隊分組!$B$1:$C$52,2,FALSE)</f>
        <v>噴漆維修組</v>
      </c>
      <c r="N2284">
        <f>IF(交易處理資料__3[[#This Row],[上班時間]]=0,0,交易處理資料__3[[#This Row],[售出工時]]/交易處理資料__3[[#This Row],[上班時間]])</f>
        <v>0</v>
      </c>
      <c r="O2284" s="31" t="str">
        <f>IF(交易處理資料__3[[#This Row],[上班時間]]=0,"否","是")</f>
        <v>是</v>
      </c>
    </row>
    <row r="2285" spans="1:15" hidden="1">
      <c r="A2285" s="10" t="s">
        <v>73</v>
      </c>
      <c r="B2285" t="s">
        <v>2</v>
      </c>
      <c r="C2285">
        <v>0</v>
      </c>
      <c r="D2285">
        <v>0</v>
      </c>
      <c r="E2285" s="27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 s="9">
        <v>45349</v>
      </c>
      <c r="L2285">
        <f xml:space="preserve"> (交易處理資料__3[[#This Row],[售出工時]] * 60) / 5</f>
        <v>0</v>
      </c>
      <c r="M2285" t="str">
        <f>VLOOKUP(交易處理資料__3[[#This Row],[人員代號]],團隊分組!$B$1:$C$52,2,FALSE)</f>
        <v>噴漆維修組</v>
      </c>
      <c r="N2285">
        <f>IF(交易處理資料__3[[#This Row],[上班時間]]=0,0,交易處理資料__3[[#This Row],[售出工時]]/交易處理資料__3[[#This Row],[上班時間]])</f>
        <v>0</v>
      </c>
      <c r="O2285" s="31" t="str">
        <f>IF(交易處理資料__3[[#This Row],[上班時間]]=0,"否","是")</f>
        <v>否</v>
      </c>
    </row>
    <row r="2286" spans="1:15" hidden="1">
      <c r="A2286" s="10" t="s">
        <v>73</v>
      </c>
      <c r="B2286" t="s">
        <v>3</v>
      </c>
      <c r="C2286">
        <v>0</v>
      </c>
      <c r="D2286">
        <v>0</v>
      </c>
      <c r="E2286" s="27">
        <v>0</v>
      </c>
      <c r="F2286">
        <v>4</v>
      </c>
      <c r="G2286">
        <v>4.03</v>
      </c>
      <c r="H2286">
        <v>8.0299999999999994</v>
      </c>
      <c r="I2286">
        <v>49.81</v>
      </c>
      <c r="J2286">
        <v>0</v>
      </c>
      <c r="K2286" s="9">
        <v>45349</v>
      </c>
      <c r="L2286">
        <f xml:space="preserve"> (交易處理資料__3[[#This Row],[售出工時]] * 60) / 5</f>
        <v>0</v>
      </c>
      <c r="M2286" t="str">
        <f>VLOOKUP(交易處理資料__3[[#This Row],[人員代號]],團隊分組!$B$1:$C$52,2,FALSE)</f>
        <v>噴漆維修組</v>
      </c>
      <c r="N2286">
        <f>IF(交易處理資料__3[[#This Row],[上班時間]]=0,0,交易處理資料__3[[#This Row],[售出工時]]/交易處理資料__3[[#This Row],[上班時間]])</f>
        <v>0</v>
      </c>
      <c r="O2286" s="31" t="str">
        <f>IF(交易處理資料__3[[#This Row],[上班時間]]=0,"否","是")</f>
        <v>是</v>
      </c>
    </row>
    <row r="2287" spans="1:15" hidden="1">
      <c r="A2287" s="10" t="s">
        <v>73</v>
      </c>
      <c r="B2287" t="s">
        <v>4</v>
      </c>
      <c r="C2287">
        <v>0</v>
      </c>
      <c r="D2287">
        <v>0</v>
      </c>
      <c r="E2287" s="27">
        <v>0</v>
      </c>
      <c r="F2287">
        <v>3.2</v>
      </c>
      <c r="G2287">
        <v>4.83</v>
      </c>
      <c r="H2287">
        <v>8.0299999999999994</v>
      </c>
      <c r="I2287">
        <v>39.85</v>
      </c>
      <c r="J2287">
        <v>0</v>
      </c>
      <c r="K2287" s="9">
        <v>45349</v>
      </c>
      <c r="L2287">
        <f xml:space="preserve"> (交易處理資料__3[[#This Row],[售出工時]] * 60) / 5</f>
        <v>0</v>
      </c>
      <c r="M2287" t="str">
        <f>VLOOKUP(交易處理資料__3[[#This Row],[人員代號]],團隊分組!$B$1:$C$52,2,FALSE)</f>
        <v>噴漆維修組</v>
      </c>
      <c r="N2287">
        <f>IF(交易處理資料__3[[#This Row],[上班時間]]=0,0,交易處理資料__3[[#This Row],[售出工時]]/交易處理資料__3[[#This Row],[上班時間]])</f>
        <v>0</v>
      </c>
      <c r="O2287" s="31" t="str">
        <f>IF(交易處理資料__3[[#This Row],[上班時間]]=0,"否","是")</f>
        <v>是</v>
      </c>
    </row>
    <row r="2288" spans="1:15" hidden="1">
      <c r="A2288" s="10" t="s">
        <v>73</v>
      </c>
      <c r="B2288" t="s">
        <v>6</v>
      </c>
      <c r="C2288">
        <v>0</v>
      </c>
      <c r="D2288">
        <v>0</v>
      </c>
      <c r="E2288" s="27">
        <v>0</v>
      </c>
      <c r="F2288">
        <v>4</v>
      </c>
      <c r="G2288">
        <v>4.03</v>
      </c>
      <c r="H2288">
        <v>8.0299999999999994</v>
      </c>
      <c r="I2288">
        <v>49.81</v>
      </c>
      <c r="J2288">
        <v>0</v>
      </c>
      <c r="K2288" s="9">
        <v>45349</v>
      </c>
      <c r="L2288">
        <f xml:space="preserve"> (交易處理資料__3[[#This Row],[售出工時]] * 60) / 5</f>
        <v>0</v>
      </c>
      <c r="M2288" t="str">
        <f>VLOOKUP(交易處理資料__3[[#This Row],[人員代號]],團隊分組!$B$1:$C$52,2,FALSE)</f>
        <v>噴漆維修組</v>
      </c>
      <c r="N2288">
        <f>IF(交易處理資料__3[[#This Row],[上班時間]]=0,0,交易處理資料__3[[#This Row],[售出工時]]/交易處理資料__3[[#This Row],[上班時間]])</f>
        <v>0</v>
      </c>
      <c r="O2288" s="31" t="str">
        <f>IF(交易處理資料__3[[#This Row],[上班時間]]=0,"否","是")</f>
        <v>是</v>
      </c>
    </row>
    <row r="2289" spans="1:15" hidden="1">
      <c r="A2289" s="10" t="s">
        <v>73</v>
      </c>
      <c r="B2289" t="s">
        <v>8</v>
      </c>
      <c r="C2289">
        <v>0</v>
      </c>
      <c r="D2289">
        <v>0</v>
      </c>
      <c r="E2289" s="27">
        <v>0</v>
      </c>
      <c r="F2289">
        <v>3.2</v>
      </c>
      <c r="G2289">
        <v>4.8499999999999996</v>
      </c>
      <c r="H2289">
        <v>8.0500000000000007</v>
      </c>
      <c r="I2289">
        <v>39.75</v>
      </c>
      <c r="J2289">
        <v>0</v>
      </c>
      <c r="K2289" s="9">
        <v>45349</v>
      </c>
      <c r="L2289">
        <f xml:space="preserve"> (交易處理資料__3[[#This Row],[售出工時]] * 60) / 5</f>
        <v>0</v>
      </c>
      <c r="M2289" t="str">
        <f>VLOOKUP(交易處理資料__3[[#This Row],[人員代號]],團隊分組!$B$1:$C$52,2,FALSE)</f>
        <v>噴漆維修組</v>
      </c>
      <c r="N2289">
        <f>IF(交易處理資料__3[[#This Row],[上班時間]]=0,0,交易處理資料__3[[#This Row],[售出工時]]/交易處理資料__3[[#This Row],[上班時間]])</f>
        <v>0</v>
      </c>
      <c r="O2289" s="31" t="str">
        <f>IF(交易處理資料__3[[#This Row],[上班時間]]=0,"否","是")</f>
        <v>是</v>
      </c>
    </row>
    <row r="2290" spans="1:15" hidden="1">
      <c r="A2290" s="10" t="s">
        <v>73</v>
      </c>
      <c r="B2290" t="s">
        <v>9</v>
      </c>
      <c r="C2290">
        <v>6.8333333329999997</v>
      </c>
      <c r="D2290">
        <v>6.87</v>
      </c>
      <c r="E2290" s="27">
        <v>99.466278509999995</v>
      </c>
      <c r="F2290">
        <v>6.99</v>
      </c>
      <c r="G2290">
        <v>1.07</v>
      </c>
      <c r="H2290">
        <v>8.06</v>
      </c>
      <c r="I2290">
        <v>86.72</v>
      </c>
      <c r="J2290">
        <v>84.78</v>
      </c>
      <c r="K2290" s="9">
        <v>45349</v>
      </c>
      <c r="L2290">
        <f xml:space="preserve"> (交易處理資料__3[[#This Row],[售出工時]] * 60) / 5</f>
        <v>81.999999996</v>
      </c>
      <c r="M2290" t="str">
        <f>VLOOKUP(交易處理資料__3[[#This Row],[人員代號]],團隊分組!$B$1:$C$52,2,FALSE)</f>
        <v>噴漆維修組</v>
      </c>
      <c r="N2290">
        <f>IF(交易處理資料__3[[#This Row],[上班時間]]=0,0,交易處理資料__3[[#This Row],[售出工時]]/交易處理資料__3[[#This Row],[上班時間]])</f>
        <v>0.84780810583126542</v>
      </c>
      <c r="O2290" s="31" t="str">
        <f>IF(交易處理資料__3[[#This Row],[上班時間]]=0,"否","是")</f>
        <v>是</v>
      </c>
    </row>
    <row r="2291" spans="1:15" hidden="1">
      <c r="A2291" t="s">
        <v>74</v>
      </c>
      <c r="B2291" t="s">
        <v>11</v>
      </c>
      <c r="C2291">
        <v>5</v>
      </c>
      <c r="D2291">
        <v>4.1500000000000004</v>
      </c>
      <c r="E2291" s="27">
        <v>120.4819277</v>
      </c>
      <c r="F2291">
        <v>7.26</v>
      </c>
      <c r="G2291">
        <v>0.8</v>
      </c>
      <c r="H2291">
        <v>8.06</v>
      </c>
      <c r="I2291">
        <v>90.07</v>
      </c>
      <c r="J2291">
        <v>62.03</v>
      </c>
      <c r="K2291" s="9">
        <v>45349</v>
      </c>
      <c r="L2291">
        <f xml:space="preserve"> (交易處理資料__3[[#This Row],[售出工時]] * 60) / 5</f>
        <v>60</v>
      </c>
      <c r="M2291" t="str">
        <f>VLOOKUP(交易處理資料__3[[#This Row],[人員代號]],團隊分組!$B$1:$C$52,2,FALSE)</f>
        <v>鈑金維修組</v>
      </c>
      <c r="N2291">
        <f>IF(交易處理資料__3[[#This Row],[上班時間]]=0,0,交易處理資料__3[[#This Row],[售出工時]]/交易處理資料__3[[#This Row],[上班時間]])</f>
        <v>0.6203473945409429</v>
      </c>
      <c r="O2291" s="31" t="str">
        <f>IF(交易處理資料__3[[#This Row],[上班時間]]=0,"否","是")</f>
        <v>是</v>
      </c>
    </row>
    <row r="2292" spans="1:15" hidden="1">
      <c r="A2292" t="s">
        <v>74</v>
      </c>
      <c r="B2292" t="s">
        <v>12</v>
      </c>
      <c r="C2292">
        <v>15.16666667</v>
      </c>
      <c r="D2292">
        <v>6.97</v>
      </c>
      <c r="E2292" s="27">
        <v>217.5992348</v>
      </c>
      <c r="F2292">
        <v>2.1</v>
      </c>
      <c r="G2292">
        <v>5.97</v>
      </c>
      <c r="H2292">
        <v>8.07</v>
      </c>
      <c r="I2292">
        <v>26.02</v>
      </c>
      <c r="J2292">
        <v>187.94</v>
      </c>
      <c r="K2292" s="9">
        <v>45349</v>
      </c>
      <c r="L2292">
        <f xml:space="preserve"> (交易處理資料__3[[#This Row],[售出工時]] * 60) / 5</f>
        <v>182.00000003999997</v>
      </c>
      <c r="M2292" t="str">
        <f>VLOOKUP(交易處理資料__3[[#This Row],[人員代號]],團隊分組!$B$1:$C$52,2,FALSE)</f>
        <v>鈑金維修組</v>
      </c>
      <c r="N2292">
        <f>IF(交易處理資料__3[[#This Row],[上班時間]]=0,0,交易處理資料__3[[#This Row],[售出工時]]/交易處理資料__3[[#This Row],[上班時間]])</f>
        <v>1.8793886827757125</v>
      </c>
      <c r="O2292" s="31" t="str">
        <f>IF(交易處理資料__3[[#This Row],[上班時間]]=0,"否","是")</f>
        <v>是</v>
      </c>
    </row>
    <row r="2293" spans="1:15" hidden="1">
      <c r="A2293" t="s">
        <v>74</v>
      </c>
      <c r="B2293" t="s">
        <v>13</v>
      </c>
      <c r="C2293">
        <v>2.4500000000000002</v>
      </c>
      <c r="D2293">
        <v>1.52</v>
      </c>
      <c r="E2293" s="27">
        <v>161.18421050000001</v>
      </c>
      <c r="F2293">
        <v>7.31</v>
      </c>
      <c r="G2293">
        <v>0.8</v>
      </c>
      <c r="H2293">
        <v>8.11</v>
      </c>
      <c r="I2293">
        <v>90.14</v>
      </c>
      <c r="J2293">
        <v>30.21</v>
      </c>
      <c r="K2293" s="9">
        <v>45349</v>
      </c>
      <c r="L2293">
        <f xml:space="preserve"> (交易處理資料__3[[#This Row],[售出工時]] * 60) / 5</f>
        <v>29.4</v>
      </c>
      <c r="M2293" t="str">
        <f>VLOOKUP(交易處理資料__3[[#This Row],[人員代號]],團隊分組!$B$1:$C$52,2,FALSE)</f>
        <v>鈑金維修組</v>
      </c>
      <c r="N2293">
        <f>IF(交易處理資料__3[[#This Row],[上班時間]]=0,0,交易處理資料__3[[#This Row],[售出工時]]/交易處理資料__3[[#This Row],[上班時間]])</f>
        <v>0.30209617755856971</v>
      </c>
      <c r="O2293" s="31" t="str">
        <f>IF(交易處理資料__3[[#This Row],[上班時間]]=0,"否","是")</f>
        <v>是</v>
      </c>
    </row>
    <row r="2294" spans="1:15" hidden="1">
      <c r="A2294" t="s">
        <v>74</v>
      </c>
      <c r="B2294" t="s">
        <v>14</v>
      </c>
      <c r="C2294">
        <v>1.57</v>
      </c>
      <c r="D2294">
        <v>0.97</v>
      </c>
      <c r="E2294" s="27">
        <v>161.8556701</v>
      </c>
      <c r="F2294">
        <v>5.44</v>
      </c>
      <c r="G2294">
        <v>2.64</v>
      </c>
      <c r="H2294">
        <v>8.08</v>
      </c>
      <c r="I2294">
        <v>67.33</v>
      </c>
      <c r="J2294">
        <v>19.43</v>
      </c>
      <c r="K2294" s="9">
        <v>45349</v>
      </c>
      <c r="L2294">
        <f xml:space="preserve"> (交易處理資料__3[[#This Row],[售出工時]] * 60) / 5</f>
        <v>18.84</v>
      </c>
      <c r="M2294" t="str">
        <f>VLOOKUP(交易處理資料__3[[#This Row],[人員代號]],團隊分組!$B$1:$C$52,2,FALSE)</f>
        <v>鈑金維修組</v>
      </c>
      <c r="N2294">
        <f>IF(交易處理資料__3[[#This Row],[上班時間]]=0,0,交易處理資料__3[[#This Row],[售出工時]]/交易處理資料__3[[#This Row],[上班時間]])</f>
        <v>0.19430693069306931</v>
      </c>
      <c r="O2294" s="31" t="str">
        <f>IF(交易處理資料__3[[#This Row],[上班時間]]=0,"否","是")</f>
        <v>是</v>
      </c>
    </row>
    <row r="2295" spans="1:15" hidden="1">
      <c r="A2295" t="s">
        <v>74</v>
      </c>
      <c r="B2295" t="s">
        <v>15</v>
      </c>
      <c r="C2295">
        <v>4.2366666669999997</v>
      </c>
      <c r="D2295">
        <v>4.28</v>
      </c>
      <c r="E2295" s="27">
        <v>98.987538939999993</v>
      </c>
      <c r="F2295">
        <v>6.16</v>
      </c>
      <c r="G2295">
        <v>1.95</v>
      </c>
      <c r="H2295">
        <v>8.11</v>
      </c>
      <c r="I2295">
        <v>75.959999999999994</v>
      </c>
      <c r="J2295">
        <v>52.24</v>
      </c>
      <c r="K2295" s="9">
        <v>45349</v>
      </c>
      <c r="L2295">
        <f xml:space="preserve"> (交易處理資料__3[[#This Row],[售出工時]] * 60) / 5</f>
        <v>50.840000003999997</v>
      </c>
      <c r="M2295" t="str">
        <f>VLOOKUP(交易處理資料__3[[#This Row],[人員代號]],團隊分組!$B$1:$C$52,2,FALSE)</f>
        <v>鈑金維修組</v>
      </c>
      <c r="N2295">
        <f>IF(交易處理資料__3[[#This Row],[上班時間]]=0,0,交易處理資料__3[[#This Row],[售出工時]]/交易處理資料__3[[#This Row],[上班時間]])</f>
        <v>0.52240032885326759</v>
      </c>
      <c r="O2295" s="31" t="str">
        <f>IF(交易處理資料__3[[#This Row],[上班時間]]=0,"否","是")</f>
        <v>是</v>
      </c>
    </row>
    <row r="2296" spans="1:15" hidden="1">
      <c r="A2296" t="s">
        <v>75</v>
      </c>
      <c r="B2296" t="s">
        <v>18</v>
      </c>
      <c r="C2296">
        <v>4.8333333329999997</v>
      </c>
      <c r="D2296">
        <v>6.47</v>
      </c>
      <c r="E2296" s="27">
        <v>74.703760950000003</v>
      </c>
      <c r="F2296">
        <v>7.74</v>
      </c>
      <c r="G2296">
        <v>0.38</v>
      </c>
      <c r="H2296">
        <v>8.1199999999999992</v>
      </c>
      <c r="I2296">
        <v>95.32</v>
      </c>
      <c r="J2296">
        <v>59.52</v>
      </c>
      <c r="K2296" s="9">
        <v>45349</v>
      </c>
      <c r="L2296">
        <f xml:space="preserve"> (交易處理資料__3[[#This Row],[售出工時]] * 60) / 5</f>
        <v>57.999999996</v>
      </c>
      <c r="M2296" t="str">
        <f>VLOOKUP(交易處理資料__3[[#This Row],[人員代號]],團隊分組!$B$1:$C$52,2,FALSE)</f>
        <v>查修團隊B</v>
      </c>
      <c r="N2296">
        <f>IF(交易處理資料__3[[#This Row],[上班時間]]=0,0,交易處理資料__3[[#This Row],[售出工時]]/交易處理資料__3[[#This Row],[上班時間]])</f>
        <v>0.5952380951970444</v>
      </c>
      <c r="O2296" s="31" t="str">
        <f>IF(交易處理資料__3[[#This Row],[上班時間]]=0,"否","是")</f>
        <v>是</v>
      </c>
    </row>
    <row r="2297" spans="1:15" hidden="1">
      <c r="A2297" t="s">
        <v>75</v>
      </c>
      <c r="B2297" t="s">
        <v>20</v>
      </c>
      <c r="C2297">
        <v>0.66666666699999999</v>
      </c>
      <c r="D2297">
        <v>2.4300000000000002</v>
      </c>
      <c r="E2297" s="27">
        <v>27.434842249999999</v>
      </c>
      <c r="F2297">
        <v>2.92</v>
      </c>
      <c r="G2297">
        <v>5.62</v>
      </c>
      <c r="H2297">
        <v>8.5399999999999991</v>
      </c>
      <c r="I2297">
        <v>34.19</v>
      </c>
      <c r="J2297">
        <v>7.81</v>
      </c>
      <c r="K2297" s="9">
        <v>45349</v>
      </c>
      <c r="L2297">
        <f xml:space="preserve"> (交易處理資料__3[[#This Row],[售出工時]] * 60) / 5</f>
        <v>8.0000000040000003</v>
      </c>
      <c r="M2297" t="str">
        <f>VLOOKUP(交易處理資料__3[[#This Row],[人員代號]],團隊分組!$B$1:$C$52,2,FALSE)</f>
        <v>查修團隊B</v>
      </c>
      <c r="N2297">
        <f>IF(交易處理資料__3[[#This Row],[上班時間]]=0,0,交易處理資料__3[[#This Row],[售出工時]]/交易處理資料__3[[#This Row],[上班時間]])</f>
        <v>7.8064012529274016E-2</v>
      </c>
      <c r="O2297" s="31" t="str">
        <f>IF(交易處理資料__3[[#This Row],[上班時間]]=0,"否","是")</f>
        <v>是</v>
      </c>
    </row>
    <row r="2298" spans="1:15" hidden="1">
      <c r="A2298" t="s">
        <v>75</v>
      </c>
      <c r="B2298" t="s">
        <v>21</v>
      </c>
      <c r="C2298">
        <v>2.6666666669999999</v>
      </c>
      <c r="D2298">
        <v>3.9</v>
      </c>
      <c r="E2298" s="27">
        <v>68.376068380000007</v>
      </c>
      <c r="F2298">
        <v>6.53</v>
      </c>
      <c r="G2298">
        <v>1.73</v>
      </c>
      <c r="H2298">
        <v>8.26</v>
      </c>
      <c r="I2298">
        <v>79.06</v>
      </c>
      <c r="J2298">
        <v>32.28</v>
      </c>
      <c r="K2298" s="9">
        <v>45349</v>
      </c>
      <c r="L2298">
        <f xml:space="preserve"> (交易處理資料__3[[#This Row],[售出工時]] * 60) / 5</f>
        <v>32.000000004</v>
      </c>
      <c r="M2298" t="str">
        <f>VLOOKUP(交易處理資料__3[[#This Row],[人員代號]],團隊分組!$B$1:$C$52,2,FALSE)</f>
        <v>查修團隊B</v>
      </c>
      <c r="N2298">
        <f>IF(交易處理資料__3[[#This Row],[上班時間]]=0,0,交易處理資料__3[[#This Row],[售出工時]]/交易處理資料__3[[#This Row],[上班時間]])</f>
        <v>0.32284100084745759</v>
      </c>
      <c r="O2298" s="31" t="str">
        <f>IF(交易處理資料__3[[#This Row],[上班時間]]=0,"否","是")</f>
        <v>是</v>
      </c>
    </row>
    <row r="2299" spans="1:15" hidden="1">
      <c r="A2299" t="s">
        <v>75</v>
      </c>
      <c r="B2299" t="s">
        <v>22</v>
      </c>
      <c r="C2299">
        <v>5.5</v>
      </c>
      <c r="D2299">
        <v>2.0299999999999998</v>
      </c>
      <c r="E2299" s="27">
        <v>270.93596059999999</v>
      </c>
      <c r="F2299">
        <v>3.6</v>
      </c>
      <c r="G2299">
        <v>0.26</v>
      </c>
      <c r="H2299">
        <v>3.86</v>
      </c>
      <c r="I2299">
        <v>93.26</v>
      </c>
      <c r="J2299">
        <v>142.49</v>
      </c>
      <c r="K2299" s="9">
        <v>45349</v>
      </c>
      <c r="L2299">
        <f xml:space="preserve"> (交易處理資料__3[[#This Row],[售出工時]] * 60) / 5</f>
        <v>66</v>
      </c>
      <c r="M2299" t="str">
        <f>VLOOKUP(交易處理資料__3[[#This Row],[人員代號]],團隊分組!$B$1:$C$52,2,FALSE)</f>
        <v>快速保養團隊A</v>
      </c>
      <c r="N2299">
        <f>IF(交易處理資料__3[[#This Row],[上班時間]]=0,0,交易處理資料__3[[#This Row],[售出工時]]/交易處理資料__3[[#This Row],[上班時間]])</f>
        <v>1.4248704663212435</v>
      </c>
      <c r="O2299" s="31" t="str">
        <f>IF(交易處理資料__3[[#This Row],[上班時間]]=0,"否","是")</f>
        <v>是</v>
      </c>
    </row>
    <row r="2300" spans="1:15" hidden="1">
      <c r="A2300" t="s">
        <v>75</v>
      </c>
      <c r="B2300" t="s">
        <v>23</v>
      </c>
      <c r="C2300">
        <v>7.17</v>
      </c>
      <c r="D2300">
        <v>3.21</v>
      </c>
      <c r="E2300" s="27">
        <v>223.364486</v>
      </c>
      <c r="F2300">
        <v>7.31</v>
      </c>
      <c r="G2300">
        <v>0.7</v>
      </c>
      <c r="H2300">
        <v>8.01</v>
      </c>
      <c r="I2300">
        <v>91.26</v>
      </c>
      <c r="J2300">
        <v>89.51</v>
      </c>
      <c r="K2300" s="9">
        <v>45349</v>
      </c>
      <c r="L2300">
        <f xml:space="preserve"> (交易處理資料__3[[#This Row],[售出工時]] * 60) / 5</f>
        <v>86.039999999999992</v>
      </c>
      <c r="M2300" t="str">
        <f>VLOOKUP(交易處理資料__3[[#This Row],[人員代號]],團隊分組!$B$1:$C$52,2,FALSE)</f>
        <v>快速保養團隊B</v>
      </c>
      <c r="N2300">
        <f>IF(交易處理資料__3[[#This Row],[上班時間]]=0,0,交易處理資料__3[[#This Row],[售出工時]]/交易處理資料__3[[#This Row],[上班時間]])</f>
        <v>0.89513108614232206</v>
      </c>
      <c r="O2300" s="31" t="str">
        <f>IF(交易處理資料__3[[#This Row],[上班時間]]=0,"否","是")</f>
        <v>是</v>
      </c>
    </row>
    <row r="2301" spans="1:15" hidden="1">
      <c r="A2301" t="s">
        <v>75</v>
      </c>
      <c r="B2301" t="s">
        <v>24</v>
      </c>
      <c r="C2301">
        <v>7.79</v>
      </c>
      <c r="D2301">
        <v>6.32</v>
      </c>
      <c r="E2301" s="27">
        <v>123.25949369999999</v>
      </c>
      <c r="F2301">
        <v>6.32</v>
      </c>
      <c r="G2301">
        <v>1.5</v>
      </c>
      <c r="H2301">
        <v>7.82</v>
      </c>
      <c r="I2301">
        <v>80.819999999999993</v>
      </c>
      <c r="J2301">
        <v>99.62</v>
      </c>
      <c r="K2301" s="9">
        <v>45349</v>
      </c>
      <c r="L2301">
        <f xml:space="preserve"> (交易處理資料__3[[#This Row],[售出工時]] * 60) / 5</f>
        <v>93.47999999999999</v>
      </c>
      <c r="M2301" t="str">
        <f>VLOOKUP(交易處理資料__3[[#This Row],[人員代號]],團隊分組!$B$1:$C$52,2,FALSE)</f>
        <v>快速保養團隊A</v>
      </c>
      <c r="N2301">
        <f>IF(交易處理資料__3[[#This Row],[上班時間]]=0,0,交易處理資料__3[[#This Row],[售出工時]]/交易處理資料__3[[#This Row],[上班時間]])</f>
        <v>0.99616368286445012</v>
      </c>
      <c r="O2301" s="31" t="str">
        <f>IF(交易處理資料__3[[#This Row],[上班時間]]=0,"否","是")</f>
        <v>是</v>
      </c>
    </row>
    <row r="2302" spans="1:15" hidden="1">
      <c r="A2302" t="s">
        <v>75</v>
      </c>
      <c r="B2302" t="s">
        <v>26</v>
      </c>
      <c r="C2302">
        <v>0.49</v>
      </c>
      <c r="D2302">
        <v>4.2</v>
      </c>
      <c r="E2302" s="27">
        <v>11.66666667</v>
      </c>
      <c r="F2302">
        <v>1.39</v>
      </c>
      <c r="G2302">
        <v>7.15</v>
      </c>
      <c r="H2302">
        <v>8.5399999999999991</v>
      </c>
      <c r="I2302">
        <v>16.28</v>
      </c>
      <c r="J2302">
        <v>5.74</v>
      </c>
      <c r="K2302" s="9">
        <v>45349</v>
      </c>
      <c r="L2302">
        <f xml:space="preserve"> (交易處理資料__3[[#This Row],[售出工時]] * 60) / 5</f>
        <v>5.88</v>
      </c>
      <c r="M2302" t="str">
        <f>VLOOKUP(交易處理資料__3[[#This Row],[人員代號]],團隊分組!$B$1:$C$52,2,FALSE)</f>
        <v>查修團隊B</v>
      </c>
      <c r="N2302">
        <f>IF(交易處理資料__3[[#This Row],[上班時間]]=0,0,交易處理資料__3[[#This Row],[售出工時]]/交易處理資料__3[[#This Row],[上班時間]])</f>
        <v>5.737704918032787E-2</v>
      </c>
      <c r="O2302" s="31" t="str">
        <f>IF(交易處理資料__3[[#This Row],[上班時間]]=0,"否","是")</f>
        <v>是</v>
      </c>
    </row>
    <row r="2303" spans="1:15" hidden="1">
      <c r="A2303" t="s">
        <v>75</v>
      </c>
      <c r="B2303" t="s">
        <v>27</v>
      </c>
      <c r="C2303">
        <v>4.0066666670000002</v>
      </c>
      <c r="D2303">
        <v>6.15</v>
      </c>
      <c r="E2303" s="27">
        <v>65.149051490000005</v>
      </c>
      <c r="F2303">
        <v>7.12</v>
      </c>
      <c r="G2303">
        <v>0.87</v>
      </c>
      <c r="H2303">
        <v>7.99</v>
      </c>
      <c r="I2303">
        <v>89.11</v>
      </c>
      <c r="J2303">
        <v>50.15</v>
      </c>
      <c r="K2303" s="9">
        <v>45349</v>
      </c>
      <c r="L2303">
        <f xml:space="preserve"> (交易處理資料__3[[#This Row],[售出工時]] * 60) / 5</f>
        <v>48.080000004000006</v>
      </c>
      <c r="M2303" t="str">
        <f>VLOOKUP(交易處理資料__3[[#This Row],[人員代號]],團隊分組!$B$1:$C$52,2,FALSE)</f>
        <v>快速保養團隊B</v>
      </c>
      <c r="N2303">
        <f>IF(交易處理資料__3[[#This Row],[上班時間]]=0,0,交易處理資料__3[[#This Row],[售出工時]]/交易處理資料__3[[#This Row],[上班時間]])</f>
        <v>0.50146015857321657</v>
      </c>
      <c r="O2303" s="31" t="str">
        <f>IF(交易處理資料__3[[#This Row],[上班時間]]=0,"否","是")</f>
        <v>是</v>
      </c>
    </row>
    <row r="2304" spans="1:15" hidden="1">
      <c r="A2304" t="s">
        <v>75</v>
      </c>
      <c r="B2304" t="s">
        <v>28</v>
      </c>
      <c r="C2304">
        <v>8.2799999999999994</v>
      </c>
      <c r="D2304">
        <v>6.32</v>
      </c>
      <c r="E2304" s="27">
        <v>131.0126582</v>
      </c>
      <c r="F2304">
        <v>6.31</v>
      </c>
      <c r="G2304">
        <v>1.51</v>
      </c>
      <c r="H2304">
        <v>7.82</v>
      </c>
      <c r="I2304">
        <v>80.69</v>
      </c>
      <c r="J2304">
        <v>105.88</v>
      </c>
      <c r="K2304" s="9">
        <v>45349</v>
      </c>
      <c r="L2304">
        <f xml:space="preserve"> (交易處理資料__3[[#This Row],[售出工時]] * 60) / 5</f>
        <v>99.359999999999985</v>
      </c>
      <c r="M2304" t="str">
        <f>VLOOKUP(交易處理資料__3[[#This Row],[人員代號]],團隊分組!$B$1:$C$52,2,FALSE)</f>
        <v>快速保養團隊A</v>
      </c>
      <c r="N2304">
        <f>IF(交易處理資料__3[[#This Row],[上班時間]]=0,0,交易處理資料__3[[#This Row],[售出工時]]/交易處理資料__3[[#This Row],[上班時間]])</f>
        <v>1.0588235294117645</v>
      </c>
      <c r="O2304" s="31" t="str">
        <f>IF(交易處理資料__3[[#This Row],[上班時間]]=0,"否","是")</f>
        <v>是</v>
      </c>
    </row>
    <row r="2305" spans="1:15" hidden="1">
      <c r="A2305" t="s">
        <v>75</v>
      </c>
      <c r="B2305" t="s">
        <v>29</v>
      </c>
      <c r="C2305">
        <v>2.3333333330000001</v>
      </c>
      <c r="D2305">
        <v>2.2999999999999998</v>
      </c>
      <c r="E2305" s="27">
        <v>101.4492754</v>
      </c>
      <c r="F2305">
        <v>7.58</v>
      </c>
      <c r="G2305">
        <v>0.61</v>
      </c>
      <c r="H2305">
        <v>8.19</v>
      </c>
      <c r="I2305">
        <v>92.55</v>
      </c>
      <c r="J2305">
        <v>28.49</v>
      </c>
      <c r="K2305" s="9">
        <v>45349</v>
      </c>
      <c r="L2305">
        <f xml:space="preserve"> (交易處理資料__3[[#This Row],[售出工時]] * 60) / 5</f>
        <v>27.999999996000003</v>
      </c>
      <c r="M2305" t="str">
        <f>VLOOKUP(交易處理資料__3[[#This Row],[人員代號]],團隊分組!$B$1:$C$52,2,FALSE)</f>
        <v>查修團隊B</v>
      </c>
      <c r="N2305">
        <f>IF(交易處理資料__3[[#This Row],[上班時間]]=0,0,交易處理資料__3[[#This Row],[售出工時]]/交易處理資料__3[[#This Row],[上班時間]])</f>
        <v>0.28490028485958491</v>
      </c>
      <c r="O2305" s="31" t="str">
        <f>IF(交易處理資料__3[[#This Row],[上班時間]]=0,"否","是")</f>
        <v>是</v>
      </c>
    </row>
    <row r="2306" spans="1:15" hidden="1">
      <c r="A2306" t="s">
        <v>75</v>
      </c>
      <c r="B2306" t="s">
        <v>30</v>
      </c>
      <c r="C2306">
        <v>7.9566666670000004</v>
      </c>
      <c r="D2306">
        <v>6.59</v>
      </c>
      <c r="E2306" s="27">
        <v>120.73849269999999</v>
      </c>
      <c r="F2306">
        <v>7.21</v>
      </c>
      <c r="G2306">
        <v>0.91</v>
      </c>
      <c r="H2306">
        <v>8.1199999999999992</v>
      </c>
      <c r="I2306">
        <v>88.79</v>
      </c>
      <c r="J2306">
        <v>97.99</v>
      </c>
      <c r="K2306" s="9">
        <v>45349</v>
      </c>
      <c r="L2306">
        <f xml:space="preserve"> (交易處理資料__3[[#This Row],[售出工時]] * 60) / 5</f>
        <v>95.480000004000004</v>
      </c>
      <c r="M2306" t="str">
        <f>VLOOKUP(交易處理資料__3[[#This Row],[人員代號]],團隊分組!$B$1:$C$52,2,FALSE)</f>
        <v>快速保養團隊B</v>
      </c>
      <c r="N2306">
        <f>IF(交易處理資料__3[[#This Row],[上班時間]]=0,0,交易處理資料__3[[#This Row],[售出工時]]/交易處理資料__3[[#This Row],[上班時間]])</f>
        <v>0.97988505751231536</v>
      </c>
      <c r="O2306" s="31" t="str">
        <f>IF(交易處理資料__3[[#This Row],[上班時間]]=0,"否","是")</f>
        <v>是</v>
      </c>
    </row>
    <row r="2307" spans="1:15" hidden="1">
      <c r="A2307" t="s">
        <v>75</v>
      </c>
      <c r="B2307" t="s">
        <v>32</v>
      </c>
      <c r="C2307">
        <v>5.1566666669999996</v>
      </c>
      <c r="D2307">
        <v>5.46</v>
      </c>
      <c r="E2307" s="27">
        <v>94.444444439999998</v>
      </c>
      <c r="F2307">
        <v>7.67</v>
      </c>
      <c r="G2307">
        <v>0.35</v>
      </c>
      <c r="H2307">
        <v>8.02</v>
      </c>
      <c r="I2307">
        <v>95.64</v>
      </c>
      <c r="J2307">
        <v>64.3</v>
      </c>
      <c r="K2307" s="9">
        <v>45349</v>
      </c>
      <c r="L2307">
        <f xml:space="preserve"> (交易處理資料__3[[#This Row],[售出工時]] * 60) / 5</f>
        <v>61.880000003999996</v>
      </c>
      <c r="M2307" t="str">
        <f>VLOOKUP(交易處理資料__3[[#This Row],[人員代號]],團隊分組!$B$1:$C$52,2,FALSE)</f>
        <v>快速保養團隊B</v>
      </c>
      <c r="N2307">
        <f>IF(交易處理資料__3[[#This Row],[上班時間]]=0,0,交易處理資料__3[[#This Row],[售出工時]]/交易處理資料__3[[#This Row],[上班時間]])</f>
        <v>0.6429758936408978</v>
      </c>
      <c r="O2307" s="31" t="str">
        <f>IF(交易處理資料__3[[#This Row],[上班時間]]=0,"否","是")</f>
        <v>是</v>
      </c>
    </row>
    <row r="2308" spans="1:15">
      <c r="A2308" t="s">
        <v>75</v>
      </c>
      <c r="B2308" t="s">
        <v>33</v>
      </c>
      <c r="C2308">
        <v>1.693333333</v>
      </c>
      <c r="D2308">
        <v>1.33</v>
      </c>
      <c r="E2308" s="27">
        <v>127.31829569999999</v>
      </c>
      <c r="F2308">
        <v>7.29</v>
      </c>
      <c r="G2308">
        <v>0.66</v>
      </c>
      <c r="H2308">
        <v>7.95</v>
      </c>
      <c r="I2308">
        <v>91.7</v>
      </c>
      <c r="J2308">
        <v>21.3</v>
      </c>
      <c r="K2308" s="9">
        <v>45349</v>
      </c>
      <c r="L2308">
        <f xml:space="preserve"> (交易處理資料__3[[#This Row],[售出工時]] * 60) / 5</f>
        <v>20.319999996</v>
      </c>
      <c r="M2308" t="str">
        <f>VLOOKUP(交易處理資料__3[[#This Row],[人員代號]],團隊分組!$B$1:$C$52,2,FALSE)</f>
        <v>快速保養團隊B</v>
      </c>
      <c r="N2308">
        <f>IF(交易處理資料__3[[#This Row],[上班時間]]=0,0,交易處理資料__3[[#This Row],[售出工時]]/交易處理資料__3[[#This Row],[上班時間]])</f>
        <v>0.21299790352201256</v>
      </c>
      <c r="O2308" s="31" t="str">
        <f>IF(交易處理資料__3[[#This Row],[上班時間]]=0,"否","是")</f>
        <v>是</v>
      </c>
    </row>
    <row r="2309" spans="1:15" hidden="1">
      <c r="A2309" t="s">
        <v>75</v>
      </c>
      <c r="B2309" t="s">
        <v>34</v>
      </c>
      <c r="C2309">
        <v>5.75</v>
      </c>
      <c r="D2309">
        <v>5.66</v>
      </c>
      <c r="E2309" s="27">
        <v>101.59010600000001</v>
      </c>
      <c r="F2309">
        <v>7.61</v>
      </c>
      <c r="G2309">
        <v>0.21</v>
      </c>
      <c r="H2309">
        <v>7.82</v>
      </c>
      <c r="I2309">
        <v>97.31</v>
      </c>
      <c r="J2309">
        <v>73.53</v>
      </c>
      <c r="K2309" s="9">
        <v>45349</v>
      </c>
      <c r="L2309">
        <f xml:space="preserve"> (交易處理資料__3[[#This Row],[售出工時]] * 60) / 5</f>
        <v>69</v>
      </c>
      <c r="M2309" t="str">
        <f>VLOOKUP(交易處理資料__3[[#This Row],[人員代號]],團隊分組!$B$1:$C$52,2,FALSE)</f>
        <v>快速保養團隊A</v>
      </c>
      <c r="N2309">
        <f>IF(交易處理資料__3[[#This Row],[上班時間]]=0,0,交易處理資料__3[[#This Row],[售出工時]]/交易處理資料__3[[#This Row],[上班時間]])</f>
        <v>0.73529411764705876</v>
      </c>
      <c r="O2309" s="31" t="str">
        <f>IF(交易處理資料__3[[#This Row],[上班時間]]=0,"否","是")</f>
        <v>是</v>
      </c>
    </row>
    <row r="2310" spans="1:15" hidden="1">
      <c r="A2310" t="s">
        <v>75</v>
      </c>
      <c r="B2310" t="s">
        <v>35</v>
      </c>
      <c r="C2310">
        <v>0</v>
      </c>
      <c r="D2310">
        <v>0</v>
      </c>
      <c r="E2310" s="27">
        <v>0</v>
      </c>
      <c r="F2310">
        <v>4.4400000000000004</v>
      </c>
      <c r="G2310">
        <v>4.0999999999999996</v>
      </c>
      <c r="H2310">
        <v>8.5399999999999991</v>
      </c>
      <c r="I2310">
        <v>51.99</v>
      </c>
      <c r="J2310">
        <v>0</v>
      </c>
      <c r="K2310" s="9">
        <v>45349</v>
      </c>
      <c r="L2310">
        <f xml:space="preserve"> (交易處理資料__3[[#This Row],[售出工時]] * 60) / 5</f>
        <v>0</v>
      </c>
      <c r="M2310" t="str">
        <f>VLOOKUP(交易處理資料__3[[#This Row],[人員代號]],團隊分組!$B$1:$C$52,2,FALSE)</f>
        <v>查修團隊B</v>
      </c>
      <c r="N2310">
        <f>IF(交易處理資料__3[[#This Row],[上班時間]]=0,0,交易處理資料__3[[#This Row],[售出工時]]/交易處理資料__3[[#This Row],[上班時間]])</f>
        <v>0</v>
      </c>
      <c r="O2310" s="31" t="str">
        <f>IF(交易處理資料__3[[#This Row],[上班時間]]=0,"否","是")</f>
        <v>是</v>
      </c>
    </row>
    <row r="2311" spans="1:15" hidden="1">
      <c r="A2311" t="s">
        <v>75</v>
      </c>
      <c r="B2311" t="s">
        <v>36</v>
      </c>
      <c r="C2311">
        <v>5.47</v>
      </c>
      <c r="D2311">
        <v>7.18</v>
      </c>
      <c r="E2311" s="27">
        <v>76.183844010000001</v>
      </c>
      <c r="F2311">
        <v>7.38</v>
      </c>
      <c r="G2311">
        <v>0.72</v>
      </c>
      <c r="H2311">
        <v>8.1</v>
      </c>
      <c r="I2311">
        <v>91.11</v>
      </c>
      <c r="J2311">
        <v>67.53</v>
      </c>
      <c r="K2311" s="9">
        <v>45349</v>
      </c>
      <c r="L2311">
        <f xml:space="preserve"> (交易處理資料__3[[#This Row],[售出工時]] * 60) / 5</f>
        <v>65.64</v>
      </c>
      <c r="M2311" t="str">
        <f>VLOOKUP(交易處理資料__3[[#This Row],[人員代號]],團隊分組!$B$1:$C$52,2,FALSE)</f>
        <v>查修團隊B</v>
      </c>
      <c r="N2311">
        <f>IF(交易處理資料__3[[#This Row],[上班時間]]=0,0,交易處理資料__3[[#This Row],[售出工時]]/交易處理資料__3[[#This Row],[上班時間]])</f>
        <v>0.6753086419753086</v>
      </c>
      <c r="O2311" s="31" t="str">
        <f>IF(交易處理資料__3[[#This Row],[上班時間]]=0,"否","是")</f>
        <v>是</v>
      </c>
    </row>
    <row r="2312" spans="1:15" hidden="1">
      <c r="A2312" t="s">
        <v>75</v>
      </c>
      <c r="B2312" t="s">
        <v>38</v>
      </c>
      <c r="C2312">
        <v>16.166666670000001</v>
      </c>
      <c r="D2312">
        <v>6.62</v>
      </c>
      <c r="E2312" s="27">
        <v>244.2094663</v>
      </c>
      <c r="F2312">
        <v>7.41</v>
      </c>
      <c r="G2312">
        <v>2.39</v>
      </c>
      <c r="H2312">
        <v>9.8000000000000007</v>
      </c>
      <c r="I2312">
        <v>75.61</v>
      </c>
      <c r="J2312">
        <v>164.97</v>
      </c>
      <c r="K2312" s="9">
        <v>45349</v>
      </c>
      <c r="L2312">
        <f xml:space="preserve"> (交易處理資料__3[[#This Row],[售出工時]] * 60) / 5</f>
        <v>194.00000004</v>
      </c>
      <c r="M2312" t="str">
        <f>VLOOKUP(交易處理資料__3[[#This Row],[人員代號]],團隊分組!$B$1:$C$52,2,FALSE)</f>
        <v>快速保養團隊A</v>
      </c>
      <c r="N2312">
        <f>IF(交易處理資料__3[[#This Row],[上班時間]]=0,0,交易處理資料__3[[#This Row],[售出工時]]/交易處理資料__3[[#This Row],[上班時間]])</f>
        <v>1.6496598642857143</v>
      </c>
      <c r="O2312" s="31" t="str">
        <f>IF(交易處理資料__3[[#This Row],[上班時間]]=0,"否","是")</f>
        <v>是</v>
      </c>
    </row>
    <row r="2313" spans="1:15" hidden="1">
      <c r="A2313" t="s">
        <v>75</v>
      </c>
      <c r="B2313" t="s">
        <v>39</v>
      </c>
      <c r="C2313">
        <v>0</v>
      </c>
      <c r="D2313">
        <v>0</v>
      </c>
      <c r="E2313" s="27">
        <v>0</v>
      </c>
      <c r="F2313">
        <v>7.78</v>
      </c>
      <c r="G2313">
        <v>0.14000000000000001</v>
      </c>
      <c r="H2313">
        <v>7.92</v>
      </c>
      <c r="I2313">
        <v>98.23</v>
      </c>
      <c r="J2313">
        <v>0</v>
      </c>
      <c r="K2313" s="9">
        <v>45349</v>
      </c>
      <c r="L2313">
        <f xml:space="preserve"> (交易處理資料__3[[#This Row],[售出工時]] * 60) / 5</f>
        <v>0</v>
      </c>
      <c r="M2313" t="str">
        <f>VLOOKUP(交易處理資料__3[[#This Row],[人員代號]],團隊分組!$B$1:$C$52,2,FALSE)</f>
        <v>查修團隊A</v>
      </c>
      <c r="N2313">
        <f>IF(交易處理資料__3[[#This Row],[上班時間]]=0,0,交易處理資料__3[[#This Row],[售出工時]]/交易處理資料__3[[#This Row],[上班時間]])</f>
        <v>0</v>
      </c>
      <c r="O2313" s="31" t="str">
        <f>IF(交易處理資料__3[[#This Row],[上班時間]]=0,"否","是")</f>
        <v>是</v>
      </c>
    </row>
    <row r="2314" spans="1:15" hidden="1">
      <c r="A2314" t="s">
        <v>75</v>
      </c>
      <c r="B2314" t="s">
        <v>40</v>
      </c>
      <c r="C2314">
        <v>2.4166666669999999</v>
      </c>
      <c r="D2314">
        <v>5.86</v>
      </c>
      <c r="E2314" s="27">
        <v>41.240045510000002</v>
      </c>
      <c r="F2314">
        <v>7.43</v>
      </c>
      <c r="G2314">
        <v>0.45</v>
      </c>
      <c r="H2314">
        <v>7.88</v>
      </c>
      <c r="I2314">
        <v>94.29</v>
      </c>
      <c r="J2314">
        <v>30.67</v>
      </c>
      <c r="K2314" s="9">
        <v>45349</v>
      </c>
      <c r="L2314">
        <f xml:space="preserve"> (交易處理資料__3[[#This Row],[售出工時]] * 60) / 5</f>
        <v>29.000000003999997</v>
      </c>
      <c r="M2314" t="str">
        <f>VLOOKUP(交易處理資料__3[[#This Row],[人員代號]],團隊分組!$B$1:$C$52,2,FALSE)</f>
        <v>查修團隊A</v>
      </c>
      <c r="N2314">
        <f>IF(交易處理資料__3[[#This Row],[上班時間]]=0,0,交易處理資料__3[[#This Row],[售出工時]]/交易處理資料__3[[#This Row],[上班時間]])</f>
        <v>0.30668358718274108</v>
      </c>
      <c r="O2314" s="31" t="str">
        <f>IF(交易處理資料__3[[#This Row],[上班時間]]=0,"否","是")</f>
        <v>是</v>
      </c>
    </row>
    <row r="2315" spans="1:15" hidden="1">
      <c r="A2315" t="s">
        <v>75</v>
      </c>
      <c r="B2315" t="s">
        <v>41</v>
      </c>
      <c r="C2315">
        <v>12.66666667</v>
      </c>
      <c r="D2315">
        <v>5.27</v>
      </c>
      <c r="E2315" s="27">
        <v>240.35420619999999</v>
      </c>
      <c r="F2315">
        <v>6.77</v>
      </c>
      <c r="G2315">
        <v>2.67</v>
      </c>
      <c r="H2315">
        <v>9.44</v>
      </c>
      <c r="I2315">
        <v>71.72</v>
      </c>
      <c r="J2315">
        <v>134.18</v>
      </c>
      <c r="K2315" s="9">
        <v>45349</v>
      </c>
      <c r="L2315">
        <f xml:space="preserve"> (交易處理資料__3[[#This Row],[售出工時]] * 60) / 5</f>
        <v>152.00000003999997</v>
      </c>
      <c r="M2315" t="str">
        <f>VLOOKUP(交易處理資料__3[[#This Row],[人員代號]],團隊分組!$B$1:$C$52,2,FALSE)</f>
        <v>快速保養團隊A</v>
      </c>
      <c r="N2315">
        <f>IF(交易處理資料__3[[#This Row],[上班時間]]=0,0,交易處理資料__3[[#This Row],[售出工時]]/交易處理資料__3[[#This Row],[上班時間]])</f>
        <v>1.3418079099576272</v>
      </c>
      <c r="O2315" s="31" t="str">
        <f>IF(交易處理資料__3[[#This Row],[上班時間]]=0,"否","是")</f>
        <v>是</v>
      </c>
    </row>
    <row r="2316" spans="1:15" hidden="1">
      <c r="A2316" t="s">
        <v>75</v>
      </c>
      <c r="B2316" t="s">
        <v>42</v>
      </c>
      <c r="C2316">
        <v>9.9166666669999994</v>
      </c>
      <c r="D2316">
        <v>4.8600000000000003</v>
      </c>
      <c r="E2316" s="27">
        <v>204.04663919999999</v>
      </c>
      <c r="F2316">
        <v>5.0599999999999996</v>
      </c>
      <c r="G2316">
        <v>2.76</v>
      </c>
      <c r="H2316">
        <v>7.82</v>
      </c>
      <c r="I2316">
        <v>64.709999999999994</v>
      </c>
      <c r="J2316">
        <v>126.81</v>
      </c>
      <c r="K2316" s="9">
        <v>45349</v>
      </c>
      <c r="L2316">
        <f xml:space="preserve"> (交易處理資料__3[[#This Row],[售出工時]] * 60) / 5</f>
        <v>119.000000004</v>
      </c>
      <c r="M2316" t="str">
        <f>VLOOKUP(交易處理資料__3[[#This Row],[人員代號]],團隊分組!$B$1:$C$52,2,FALSE)</f>
        <v>快速保養團隊A</v>
      </c>
      <c r="N2316">
        <f>IF(交易處理資料__3[[#This Row],[上班時間]]=0,0,交易處理資料__3[[#This Row],[售出工時]]/交易處理資料__3[[#This Row],[上班時間]])</f>
        <v>1.268115942071611</v>
      </c>
      <c r="O2316" s="31" t="str">
        <f>IF(交易處理資料__3[[#This Row],[上班時間]]=0,"否","是")</f>
        <v>是</v>
      </c>
    </row>
    <row r="2317" spans="1:15" hidden="1">
      <c r="A2317" t="s">
        <v>75</v>
      </c>
      <c r="B2317" t="s">
        <v>43</v>
      </c>
      <c r="C2317">
        <v>1.05</v>
      </c>
      <c r="D2317">
        <v>2.8</v>
      </c>
      <c r="E2317" s="27">
        <v>37.5</v>
      </c>
      <c r="F2317">
        <v>7.73</v>
      </c>
      <c r="G2317">
        <v>0.4</v>
      </c>
      <c r="H2317">
        <v>8.1300000000000008</v>
      </c>
      <c r="I2317">
        <v>95.08</v>
      </c>
      <c r="J2317">
        <v>12.92</v>
      </c>
      <c r="K2317" s="9">
        <v>45349</v>
      </c>
      <c r="L2317">
        <f xml:space="preserve"> (交易處理資料__3[[#This Row],[售出工時]] * 60) / 5</f>
        <v>12.6</v>
      </c>
      <c r="M2317" t="str">
        <f>VLOOKUP(交易處理資料__3[[#This Row],[人員代號]],團隊分組!$B$1:$C$52,2,FALSE)</f>
        <v>查修團隊B</v>
      </c>
      <c r="N2317">
        <f>IF(交易處理資料__3[[#This Row],[上班時間]]=0,0,交易處理資料__3[[#This Row],[售出工時]]/交易處理資料__3[[#This Row],[上班時間]])</f>
        <v>0.12915129151291513</v>
      </c>
      <c r="O2317" s="31" t="str">
        <f>IF(交易處理資料__3[[#This Row],[上班時間]]=0,"否","是")</f>
        <v>是</v>
      </c>
    </row>
    <row r="2318" spans="1:15" hidden="1">
      <c r="A2318" t="s">
        <v>75</v>
      </c>
      <c r="B2318" t="s">
        <v>45</v>
      </c>
      <c r="C2318">
        <v>7</v>
      </c>
      <c r="D2318">
        <v>5.15</v>
      </c>
      <c r="E2318" s="27">
        <v>135.92233010000001</v>
      </c>
      <c r="F2318">
        <v>7.05</v>
      </c>
      <c r="G2318">
        <v>0.83</v>
      </c>
      <c r="H2318">
        <v>7.88</v>
      </c>
      <c r="I2318">
        <v>89.47</v>
      </c>
      <c r="J2318">
        <v>88.83</v>
      </c>
      <c r="K2318" s="9">
        <v>45349</v>
      </c>
      <c r="L2318">
        <f xml:space="preserve"> (交易處理資料__3[[#This Row],[售出工時]] * 60) / 5</f>
        <v>84</v>
      </c>
      <c r="M2318" t="str">
        <f>VLOOKUP(交易處理資料__3[[#This Row],[人員代號]],團隊分組!$B$1:$C$52,2,FALSE)</f>
        <v>快速保養團隊A</v>
      </c>
      <c r="N2318">
        <f>IF(交易處理資料__3[[#This Row],[上班時間]]=0,0,交易處理資料__3[[#This Row],[售出工時]]/交易處理資料__3[[#This Row],[上班時間]])</f>
        <v>0.8883248730964467</v>
      </c>
      <c r="O2318" s="31" t="str">
        <f>IF(交易處理資料__3[[#This Row],[上班時間]]=0,"否","是")</f>
        <v>是</v>
      </c>
    </row>
    <row r="2319" spans="1:15" hidden="1">
      <c r="A2319" t="s">
        <v>75</v>
      </c>
      <c r="B2319" t="s">
        <v>46</v>
      </c>
      <c r="C2319">
        <v>3.9166666669999999</v>
      </c>
      <c r="D2319">
        <v>5.82</v>
      </c>
      <c r="E2319" s="27">
        <v>67.296678119999996</v>
      </c>
      <c r="F2319">
        <v>6.02</v>
      </c>
      <c r="G2319">
        <v>2.09</v>
      </c>
      <c r="H2319">
        <v>8.11</v>
      </c>
      <c r="I2319">
        <v>74.23</v>
      </c>
      <c r="J2319">
        <v>48.29</v>
      </c>
      <c r="K2319" s="9">
        <v>45349</v>
      </c>
      <c r="L2319">
        <f xml:space="preserve"> (交易處理資料__3[[#This Row],[售出工時]] * 60) / 5</f>
        <v>47.000000004</v>
      </c>
      <c r="M2319" t="str">
        <f>VLOOKUP(交易處理資料__3[[#This Row],[人員代號]],團隊分組!$B$1:$C$52,2,FALSE)</f>
        <v>查修團隊B</v>
      </c>
      <c r="N2319">
        <f>IF(交易處理資料__3[[#This Row],[上班時間]]=0,0,交易處理資料__3[[#This Row],[售出工時]]/交易處理資料__3[[#This Row],[上班時間]])</f>
        <v>0.4829428689272503</v>
      </c>
      <c r="O2319" s="31" t="str">
        <f>IF(交易處理資料__3[[#This Row],[上班時間]]=0,"否","是")</f>
        <v>是</v>
      </c>
    </row>
    <row r="2320" spans="1:15" hidden="1">
      <c r="A2320" t="s">
        <v>75</v>
      </c>
      <c r="B2320" t="s">
        <v>47</v>
      </c>
      <c r="C2320">
        <v>3.91</v>
      </c>
      <c r="D2320">
        <v>5.95</v>
      </c>
      <c r="E2320" s="27">
        <v>65.714285709999999</v>
      </c>
      <c r="F2320">
        <v>5.96</v>
      </c>
      <c r="G2320">
        <v>2.2400000000000002</v>
      </c>
      <c r="H2320">
        <v>8.1999999999999993</v>
      </c>
      <c r="I2320">
        <v>72.680000000000007</v>
      </c>
      <c r="J2320">
        <v>47.68</v>
      </c>
      <c r="K2320" s="9">
        <v>45349</v>
      </c>
      <c r="L2320">
        <f xml:space="preserve"> (交易處理資料__3[[#This Row],[售出工時]] * 60) / 5</f>
        <v>46.92</v>
      </c>
      <c r="M2320" t="str">
        <f>VLOOKUP(交易處理資料__3[[#This Row],[人員代號]],團隊分組!$B$1:$C$52,2,FALSE)</f>
        <v>查修團隊B</v>
      </c>
      <c r="N2320">
        <f>IF(交易處理資料__3[[#This Row],[上班時間]]=0,0,交易處理資料__3[[#This Row],[售出工時]]/交易處理資料__3[[#This Row],[上班時間]])</f>
        <v>0.47682926829268296</v>
      </c>
      <c r="O2320" s="31" t="str">
        <f>IF(交易處理資料__3[[#This Row],[上班時間]]=0,"否","是")</f>
        <v>是</v>
      </c>
    </row>
    <row r="2321" spans="1:15" hidden="1">
      <c r="A2321" t="s">
        <v>75</v>
      </c>
      <c r="B2321" t="s">
        <v>48</v>
      </c>
      <c r="C2321">
        <v>0</v>
      </c>
      <c r="D2321">
        <v>0</v>
      </c>
      <c r="E2321" s="27">
        <v>0</v>
      </c>
      <c r="F2321">
        <v>7.53</v>
      </c>
      <c r="G2321">
        <v>0.51</v>
      </c>
      <c r="H2321">
        <v>8.0399999999999991</v>
      </c>
      <c r="I2321">
        <v>93.66</v>
      </c>
      <c r="J2321">
        <v>0</v>
      </c>
      <c r="K2321" s="9">
        <v>45349</v>
      </c>
      <c r="L2321">
        <f xml:space="preserve"> (交易處理資料__3[[#This Row],[售出工時]] * 60) / 5</f>
        <v>0</v>
      </c>
      <c r="M2321" t="str">
        <f>VLOOKUP(交易處理資料__3[[#This Row],[人員代號]],團隊分組!$B$1:$C$52,2,FALSE)</f>
        <v>查修團隊A</v>
      </c>
      <c r="N2321">
        <f>IF(交易處理資料__3[[#This Row],[上班時間]]=0,0,交易處理資料__3[[#This Row],[售出工時]]/交易處理資料__3[[#This Row],[上班時間]])</f>
        <v>0</v>
      </c>
      <c r="O2321" s="31" t="str">
        <f>IF(交易處理資料__3[[#This Row],[上班時間]]=0,"否","是")</f>
        <v>是</v>
      </c>
    </row>
    <row r="2322" spans="1:15" hidden="1">
      <c r="A2322" t="s">
        <v>75</v>
      </c>
      <c r="B2322" t="s">
        <v>51</v>
      </c>
      <c r="C2322">
        <v>0</v>
      </c>
      <c r="D2322">
        <v>0</v>
      </c>
      <c r="E2322" s="27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 s="9">
        <v>45349</v>
      </c>
      <c r="L2322">
        <f xml:space="preserve"> (交易處理資料__3[[#This Row],[售出工時]] * 60) / 5</f>
        <v>0</v>
      </c>
      <c r="M2322" t="str">
        <f>VLOOKUP(交易處理資料__3[[#This Row],[人員代號]],團隊分組!$B$1:$C$52,2,FALSE)</f>
        <v>無效數據</v>
      </c>
      <c r="N2322">
        <f>IF(交易處理資料__3[[#This Row],[上班時間]]=0,0,交易處理資料__3[[#This Row],[售出工時]]/交易處理資料__3[[#This Row],[上班時間]])</f>
        <v>0</v>
      </c>
      <c r="O2322" s="31" t="str">
        <f>IF(交易處理資料__3[[#This Row],[上班時間]]=0,"否","是")</f>
        <v>否</v>
      </c>
    </row>
    <row r="2323" spans="1:15" hidden="1">
      <c r="A2323" t="s">
        <v>75</v>
      </c>
      <c r="B2323" t="s">
        <v>52</v>
      </c>
      <c r="C2323">
        <v>1</v>
      </c>
      <c r="D2323">
        <v>7.0000000000000007E-2</v>
      </c>
      <c r="E2323" s="27">
        <v>1428.5714290000001</v>
      </c>
      <c r="F2323">
        <v>6.12</v>
      </c>
      <c r="G2323">
        <v>1.99</v>
      </c>
      <c r="H2323">
        <v>8.11</v>
      </c>
      <c r="I2323">
        <v>75.459999999999994</v>
      </c>
      <c r="J2323">
        <v>12.33</v>
      </c>
      <c r="K2323" s="9">
        <v>45349</v>
      </c>
      <c r="L2323">
        <f xml:space="preserve"> (交易處理資料__3[[#This Row],[售出工時]] * 60) / 5</f>
        <v>12</v>
      </c>
      <c r="M2323" t="str">
        <f>VLOOKUP(交易處理資料__3[[#This Row],[人員代號]],團隊分組!$B$1:$C$52,2,FALSE)</f>
        <v>查修團隊B</v>
      </c>
      <c r="N2323">
        <f>IF(交易處理資料__3[[#This Row],[上班時間]]=0,0,交易處理資料__3[[#This Row],[售出工時]]/交易處理資料__3[[#This Row],[上班時間]])</f>
        <v>0.12330456226880396</v>
      </c>
      <c r="O2323" s="31" t="str">
        <f>IF(交易處理資料__3[[#This Row],[上班時間]]=0,"否","是")</f>
        <v>是</v>
      </c>
    </row>
    <row r="2324" spans="1:15" hidden="1">
      <c r="A2324" t="s">
        <v>75</v>
      </c>
      <c r="B2324" t="s">
        <v>53</v>
      </c>
      <c r="C2324">
        <v>6</v>
      </c>
      <c r="D2324">
        <v>5.42</v>
      </c>
      <c r="E2324" s="27">
        <v>110.70110699999999</v>
      </c>
      <c r="F2324">
        <v>7.23</v>
      </c>
      <c r="G2324">
        <v>0.63</v>
      </c>
      <c r="H2324">
        <v>7.86</v>
      </c>
      <c r="I2324">
        <v>91.98</v>
      </c>
      <c r="J2324">
        <v>76.34</v>
      </c>
      <c r="K2324" s="9">
        <v>45349</v>
      </c>
      <c r="L2324">
        <f xml:space="preserve"> (交易處理資料__3[[#This Row],[售出工時]] * 60) / 5</f>
        <v>72</v>
      </c>
      <c r="M2324" t="str">
        <f>VLOOKUP(交易處理資料__3[[#This Row],[人員代號]],團隊分組!$B$1:$C$52,2,FALSE)</f>
        <v>查修團隊A</v>
      </c>
      <c r="N2324">
        <f>IF(交易處理資料__3[[#This Row],[上班時間]]=0,0,交易處理資料__3[[#This Row],[售出工時]]/交易處理資料__3[[#This Row],[上班時間]])</f>
        <v>0.76335877862595414</v>
      </c>
      <c r="O2324" s="31" t="str">
        <f>IF(交易處理資料__3[[#This Row],[上班時間]]=0,"否","是")</f>
        <v>是</v>
      </c>
    </row>
    <row r="2325" spans="1:15" hidden="1">
      <c r="A2325" s="10" t="s">
        <v>73</v>
      </c>
      <c r="B2325" t="s">
        <v>1</v>
      </c>
      <c r="C2325">
        <v>0</v>
      </c>
      <c r="D2325">
        <v>0</v>
      </c>
      <c r="E2325" s="27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 s="9">
        <v>45350</v>
      </c>
      <c r="L2325">
        <f xml:space="preserve"> (交易處理資料__3[[#This Row],[售出工時]] * 60) / 5</f>
        <v>0</v>
      </c>
      <c r="M2325" t="str">
        <f>VLOOKUP(交易處理資料__3[[#This Row],[人員代號]],團隊分組!$B$1:$C$52,2,FALSE)</f>
        <v>噴漆維修組</v>
      </c>
      <c r="N2325">
        <f>IF(交易處理資料__3[[#This Row],[上班時間]]=0,0,交易處理資料__3[[#This Row],[售出工時]]/交易處理資料__3[[#This Row],[上班時間]])</f>
        <v>0</v>
      </c>
      <c r="O2325" s="31" t="str">
        <f>IF(交易處理資料__3[[#This Row],[上班時間]]=0,"否","是")</f>
        <v>否</v>
      </c>
    </row>
    <row r="2326" spans="1:15" hidden="1">
      <c r="A2326" s="10" t="s">
        <v>73</v>
      </c>
      <c r="B2326" t="s">
        <v>2</v>
      </c>
      <c r="C2326">
        <v>0</v>
      </c>
      <c r="D2326">
        <v>0</v>
      </c>
      <c r="E2326" s="27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 s="9">
        <v>45350</v>
      </c>
      <c r="L2326">
        <f xml:space="preserve"> (交易處理資料__3[[#This Row],[售出工時]] * 60) / 5</f>
        <v>0</v>
      </c>
      <c r="M2326" t="str">
        <f>VLOOKUP(交易處理資料__3[[#This Row],[人員代號]],團隊分組!$B$1:$C$52,2,FALSE)</f>
        <v>噴漆維修組</v>
      </c>
      <c r="N2326">
        <f>IF(交易處理資料__3[[#This Row],[上班時間]]=0,0,交易處理資料__3[[#This Row],[售出工時]]/交易處理資料__3[[#This Row],[上班時間]])</f>
        <v>0</v>
      </c>
      <c r="O2326" s="31" t="str">
        <f>IF(交易處理資料__3[[#This Row],[上班時間]]=0,"否","是")</f>
        <v>否</v>
      </c>
    </row>
    <row r="2327" spans="1:15" hidden="1">
      <c r="A2327" s="10" t="s">
        <v>73</v>
      </c>
      <c r="B2327" t="s">
        <v>3</v>
      </c>
      <c r="C2327">
        <v>0</v>
      </c>
      <c r="D2327">
        <v>0</v>
      </c>
      <c r="E2327" s="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 s="9">
        <v>45350</v>
      </c>
      <c r="L2327">
        <f xml:space="preserve"> (交易處理資料__3[[#This Row],[售出工時]] * 60) / 5</f>
        <v>0</v>
      </c>
      <c r="M2327" t="str">
        <f>VLOOKUP(交易處理資料__3[[#This Row],[人員代號]],團隊分組!$B$1:$C$52,2,FALSE)</f>
        <v>噴漆維修組</v>
      </c>
      <c r="N2327">
        <f>IF(交易處理資料__3[[#This Row],[上班時間]]=0,0,交易處理資料__3[[#This Row],[售出工時]]/交易處理資料__3[[#This Row],[上班時間]])</f>
        <v>0</v>
      </c>
      <c r="O2327" s="31" t="str">
        <f>IF(交易處理資料__3[[#This Row],[上班時間]]=0,"否","是")</f>
        <v>否</v>
      </c>
    </row>
    <row r="2328" spans="1:15" hidden="1">
      <c r="A2328" s="10" t="s">
        <v>73</v>
      </c>
      <c r="B2328" t="s">
        <v>5</v>
      </c>
      <c r="C2328">
        <v>0</v>
      </c>
      <c r="D2328">
        <v>0</v>
      </c>
      <c r="E2328" s="27">
        <v>0</v>
      </c>
      <c r="F2328">
        <v>7.47</v>
      </c>
      <c r="G2328">
        <v>1.55</v>
      </c>
      <c r="H2328">
        <v>9.02</v>
      </c>
      <c r="I2328">
        <v>82.82</v>
      </c>
      <c r="J2328">
        <v>0</v>
      </c>
      <c r="K2328" s="9">
        <v>45350</v>
      </c>
      <c r="L2328">
        <f xml:space="preserve"> (交易處理資料__3[[#This Row],[售出工時]] * 60) / 5</f>
        <v>0</v>
      </c>
      <c r="M2328" t="str">
        <f>VLOOKUP(交易處理資料__3[[#This Row],[人員代號]],團隊分組!$B$1:$C$52,2,FALSE)</f>
        <v>噴漆維修組</v>
      </c>
      <c r="N2328">
        <f>IF(交易處理資料__3[[#This Row],[上班時間]]=0,0,交易處理資料__3[[#This Row],[售出工時]]/交易處理資料__3[[#This Row],[上班時間]])</f>
        <v>0</v>
      </c>
      <c r="O2328" s="31" t="str">
        <f>IF(交易處理資料__3[[#This Row],[上班時間]]=0,"否","是")</f>
        <v>是</v>
      </c>
    </row>
    <row r="2329" spans="1:15" hidden="1">
      <c r="A2329" s="10" t="s">
        <v>73</v>
      </c>
      <c r="B2329" t="s">
        <v>6</v>
      </c>
      <c r="C2329">
        <v>0</v>
      </c>
      <c r="D2329">
        <v>0</v>
      </c>
      <c r="E2329" s="27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 s="9">
        <v>45350</v>
      </c>
      <c r="L2329">
        <f xml:space="preserve"> (交易處理資料__3[[#This Row],[售出工時]] * 60) / 5</f>
        <v>0</v>
      </c>
      <c r="M2329" t="str">
        <f>VLOOKUP(交易處理資料__3[[#This Row],[人員代號]],團隊分組!$B$1:$C$52,2,FALSE)</f>
        <v>噴漆維修組</v>
      </c>
      <c r="N2329">
        <f>IF(交易處理資料__3[[#This Row],[上班時間]]=0,0,交易處理資料__3[[#This Row],[售出工時]]/交易處理資料__3[[#This Row],[上班時間]])</f>
        <v>0</v>
      </c>
      <c r="O2329" s="31" t="str">
        <f>IF(交易處理資料__3[[#This Row],[上班時間]]=0,"否","是")</f>
        <v>否</v>
      </c>
    </row>
    <row r="2330" spans="1:15" hidden="1">
      <c r="A2330" s="10" t="s">
        <v>73</v>
      </c>
      <c r="B2330" t="s">
        <v>7</v>
      </c>
      <c r="C2330">
        <v>0</v>
      </c>
      <c r="D2330">
        <v>0</v>
      </c>
      <c r="E2330" s="27">
        <v>0</v>
      </c>
      <c r="F2330">
        <v>7.47</v>
      </c>
      <c r="G2330">
        <v>1.54</v>
      </c>
      <c r="H2330">
        <v>9.01</v>
      </c>
      <c r="I2330">
        <v>82.91</v>
      </c>
      <c r="J2330">
        <v>0</v>
      </c>
      <c r="K2330" s="9">
        <v>45350</v>
      </c>
      <c r="L2330">
        <f xml:space="preserve"> (交易處理資料__3[[#This Row],[售出工時]] * 60) / 5</f>
        <v>0</v>
      </c>
      <c r="M2330" t="str">
        <f>VLOOKUP(交易處理資料__3[[#This Row],[人員代號]],團隊分組!$B$1:$C$52,2,FALSE)</f>
        <v>噴漆維修組</v>
      </c>
      <c r="N2330">
        <f>IF(交易處理資料__3[[#This Row],[上班時間]]=0,0,交易處理資料__3[[#This Row],[售出工時]]/交易處理資料__3[[#This Row],[上班時間]])</f>
        <v>0</v>
      </c>
      <c r="O2330" s="31" t="str">
        <f>IF(交易處理資料__3[[#This Row],[上班時間]]=0,"否","是")</f>
        <v>是</v>
      </c>
    </row>
    <row r="2331" spans="1:15" hidden="1">
      <c r="A2331" s="10" t="s">
        <v>73</v>
      </c>
      <c r="B2331" t="s">
        <v>9</v>
      </c>
      <c r="C2331">
        <v>0</v>
      </c>
      <c r="D2331">
        <v>0</v>
      </c>
      <c r="E2331" s="27">
        <v>0</v>
      </c>
      <c r="F2331">
        <v>7.55</v>
      </c>
      <c r="G2331">
        <v>1.47</v>
      </c>
      <c r="H2331">
        <v>9.02</v>
      </c>
      <c r="I2331">
        <v>83.7</v>
      </c>
      <c r="J2331">
        <v>0</v>
      </c>
      <c r="K2331" s="9">
        <v>45350</v>
      </c>
      <c r="L2331">
        <f xml:space="preserve"> (交易處理資料__3[[#This Row],[售出工時]] * 60) / 5</f>
        <v>0</v>
      </c>
      <c r="M2331" t="str">
        <f>VLOOKUP(交易處理資料__3[[#This Row],[人員代號]],團隊分組!$B$1:$C$52,2,FALSE)</f>
        <v>噴漆維修組</v>
      </c>
      <c r="N2331">
        <f>IF(交易處理資料__3[[#This Row],[上班時間]]=0,0,交易處理資料__3[[#This Row],[售出工時]]/交易處理資料__3[[#This Row],[上班時間]])</f>
        <v>0</v>
      </c>
      <c r="O2331" s="31" t="str">
        <f>IF(交易處理資料__3[[#This Row],[上班時間]]=0,"否","是")</f>
        <v>是</v>
      </c>
    </row>
    <row r="2332" spans="1:15" hidden="1">
      <c r="A2332" t="s">
        <v>74</v>
      </c>
      <c r="B2332" t="s">
        <v>11</v>
      </c>
      <c r="C2332">
        <v>0</v>
      </c>
      <c r="D2332">
        <v>0</v>
      </c>
      <c r="E2332" s="27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 s="9">
        <v>45350</v>
      </c>
      <c r="L2332">
        <f xml:space="preserve"> (交易處理資料__3[[#This Row],[售出工時]] * 60) / 5</f>
        <v>0</v>
      </c>
      <c r="M2332" t="str">
        <f>VLOOKUP(交易處理資料__3[[#This Row],[人員代號]],團隊分組!$B$1:$C$52,2,FALSE)</f>
        <v>鈑金維修組</v>
      </c>
      <c r="N2332">
        <f>IF(交易處理資料__3[[#This Row],[上班時間]]=0,0,交易處理資料__3[[#This Row],[售出工時]]/交易處理資料__3[[#This Row],[上班時間]])</f>
        <v>0</v>
      </c>
      <c r="O2332" s="31" t="str">
        <f>IF(交易處理資料__3[[#This Row],[上班時間]]=0,"否","是")</f>
        <v>否</v>
      </c>
    </row>
    <row r="2333" spans="1:15" hidden="1">
      <c r="A2333" t="s">
        <v>74</v>
      </c>
      <c r="B2333" t="s">
        <v>12</v>
      </c>
      <c r="C2333">
        <v>0</v>
      </c>
      <c r="D2333">
        <v>0</v>
      </c>
      <c r="E2333" s="27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 s="9">
        <v>45350</v>
      </c>
      <c r="L2333">
        <f xml:space="preserve"> (交易處理資料__3[[#This Row],[售出工時]] * 60) / 5</f>
        <v>0</v>
      </c>
      <c r="M2333" t="str">
        <f>VLOOKUP(交易處理資料__3[[#This Row],[人員代號]],團隊分組!$B$1:$C$52,2,FALSE)</f>
        <v>鈑金維修組</v>
      </c>
      <c r="N2333">
        <f>IF(交易處理資料__3[[#This Row],[上班時間]]=0,0,交易處理資料__3[[#This Row],[售出工時]]/交易處理資料__3[[#This Row],[上班時間]])</f>
        <v>0</v>
      </c>
      <c r="O2333" s="31" t="str">
        <f>IF(交易處理資料__3[[#This Row],[上班時間]]=0,"否","是")</f>
        <v>否</v>
      </c>
    </row>
    <row r="2334" spans="1:15" hidden="1">
      <c r="A2334" t="s">
        <v>75</v>
      </c>
      <c r="B2334" t="s">
        <v>17</v>
      </c>
      <c r="C2334">
        <v>0</v>
      </c>
      <c r="D2334">
        <v>0</v>
      </c>
      <c r="E2334" s="27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 s="9">
        <v>45350</v>
      </c>
      <c r="L2334">
        <f xml:space="preserve"> (交易處理資料__3[[#This Row],[售出工時]] * 60) / 5</f>
        <v>0</v>
      </c>
      <c r="M2334" t="str">
        <f>VLOOKUP(交易處理資料__3[[#This Row],[人員代號]],團隊分組!$B$1:$C$52,2,FALSE)</f>
        <v>快速保養團隊A</v>
      </c>
      <c r="N2334">
        <f>IF(交易處理資料__3[[#This Row],[上班時間]]=0,0,交易處理資料__3[[#This Row],[售出工時]]/交易處理資料__3[[#This Row],[上班時間]])</f>
        <v>0</v>
      </c>
      <c r="O2334" s="31" t="str">
        <f>IF(交易處理資料__3[[#This Row],[上班時間]]=0,"否","是")</f>
        <v>否</v>
      </c>
    </row>
    <row r="2335" spans="1:15" hidden="1">
      <c r="A2335" t="s">
        <v>75</v>
      </c>
      <c r="B2335" t="s">
        <v>18</v>
      </c>
      <c r="C2335">
        <v>0</v>
      </c>
      <c r="D2335">
        <v>0</v>
      </c>
      <c r="E2335" s="27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 s="9">
        <v>45350</v>
      </c>
      <c r="L2335">
        <f xml:space="preserve"> (交易處理資料__3[[#This Row],[售出工時]] * 60) / 5</f>
        <v>0</v>
      </c>
      <c r="M2335" t="str">
        <f>VLOOKUP(交易處理資料__3[[#This Row],[人員代號]],團隊分組!$B$1:$C$52,2,FALSE)</f>
        <v>查修團隊B</v>
      </c>
      <c r="N2335">
        <f>IF(交易處理資料__3[[#This Row],[上班時間]]=0,0,交易處理資料__3[[#This Row],[售出工時]]/交易處理資料__3[[#This Row],[上班時間]])</f>
        <v>0</v>
      </c>
      <c r="O2335" s="31" t="str">
        <f>IF(交易處理資料__3[[#This Row],[上班時間]]=0,"否","是")</f>
        <v>否</v>
      </c>
    </row>
    <row r="2336" spans="1:15" hidden="1">
      <c r="A2336" t="s">
        <v>75</v>
      </c>
      <c r="B2336" t="s">
        <v>19</v>
      </c>
      <c r="C2336">
        <v>0</v>
      </c>
      <c r="D2336">
        <v>0</v>
      </c>
      <c r="E2336" s="27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 s="9">
        <v>45350</v>
      </c>
      <c r="L2336">
        <f xml:space="preserve"> (交易處理資料__3[[#This Row],[售出工時]] * 60) / 5</f>
        <v>0</v>
      </c>
      <c r="M2336" t="str">
        <f>VLOOKUP(交易處理資料__3[[#This Row],[人員代號]],團隊分組!$B$1:$C$52,2,FALSE)</f>
        <v>查修團隊A</v>
      </c>
      <c r="N2336">
        <f>IF(交易處理資料__3[[#This Row],[上班時間]]=0,0,交易處理資料__3[[#This Row],[售出工時]]/交易處理資料__3[[#This Row],[上班時間]])</f>
        <v>0</v>
      </c>
      <c r="O2336" s="31" t="str">
        <f>IF(交易處理資料__3[[#This Row],[上班時間]]=0,"否","是")</f>
        <v>否</v>
      </c>
    </row>
    <row r="2337" spans="1:15" hidden="1">
      <c r="A2337" t="s">
        <v>75</v>
      </c>
      <c r="B2337" t="s">
        <v>20</v>
      </c>
      <c r="C2337">
        <v>0</v>
      </c>
      <c r="D2337">
        <v>0</v>
      </c>
      <c r="E2337" s="2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 s="9">
        <v>45350</v>
      </c>
      <c r="L2337">
        <f xml:space="preserve"> (交易處理資料__3[[#This Row],[售出工時]] * 60) / 5</f>
        <v>0</v>
      </c>
      <c r="M2337" t="str">
        <f>VLOOKUP(交易處理資料__3[[#This Row],[人員代號]],團隊分組!$B$1:$C$52,2,FALSE)</f>
        <v>查修團隊B</v>
      </c>
      <c r="N2337">
        <f>IF(交易處理資料__3[[#This Row],[上班時間]]=0,0,交易處理資料__3[[#This Row],[售出工時]]/交易處理資料__3[[#This Row],[上班時間]])</f>
        <v>0</v>
      </c>
      <c r="O2337" s="31" t="str">
        <f>IF(交易處理資料__3[[#This Row],[上班時間]]=0,"否","是")</f>
        <v>否</v>
      </c>
    </row>
    <row r="2338" spans="1:15" hidden="1">
      <c r="A2338" t="s">
        <v>75</v>
      </c>
      <c r="B2338" t="s">
        <v>21</v>
      </c>
      <c r="C2338">
        <v>3.6833333330000002</v>
      </c>
      <c r="D2338">
        <v>3.93</v>
      </c>
      <c r="E2338" s="27">
        <v>93.723494489999993</v>
      </c>
      <c r="F2338">
        <v>3.91</v>
      </c>
      <c r="G2338">
        <v>3.94</v>
      </c>
      <c r="H2338">
        <v>7.85</v>
      </c>
      <c r="I2338">
        <v>49.81</v>
      </c>
      <c r="J2338">
        <v>46.92</v>
      </c>
      <c r="K2338" s="9">
        <v>45350</v>
      </c>
      <c r="L2338">
        <f xml:space="preserve"> (交易處理資料__3[[#This Row],[售出工時]] * 60) / 5</f>
        <v>44.199999996000003</v>
      </c>
      <c r="M2338" t="str">
        <f>VLOOKUP(交易處理資料__3[[#This Row],[人員代號]],團隊分組!$B$1:$C$52,2,FALSE)</f>
        <v>查修團隊B</v>
      </c>
      <c r="N2338">
        <f>IF(交易處理資料__3[[#This Row],[上班時間]]=0,0,交易處理資料__3[[#This Row],[售出工時]]/交易處理資料__3[[#This Row],[上班時間]])</f>
        <v>0.46921443732484081</v>
      </c>
      <c r="O2338" s="31" t="str">
        <f>IF(交易處理資料__3[[#This Row],[上班時間]]=0,"否","是")</f>
        <v>是</v>
      </c>
    </row>
    <row r="2339" spans="1:15" hidden="1">
      <c r="A2339" t="s">
        <v>75</v>
      </c>
      <c r="B2339" t="s">
        <v>22</v>
      </c>
      <c r="C2339">
        <v>0</v>
      </c>
      <c r="D2339">
        <v>0</v>
      </c>
      <c r="E2339" s="27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 s="9">
        <v>45350</v>
      </c>
      <c r="L2339">
        <f xml:space="preserve"> (交易處理資料__3[[#This Row],[售出工時]] * 60) / 5</f>
        <v>0</v>
      </c>
      <c r="M2339" t="str">
        <f>VLOOKUP(交易處理資料__3[[#This Row],[人員代號]],團隊分組!$B$1:$C$52,2,FALSE)</f>
        <v>快速保養團隊A</v>
      </c>
      <c r="N2339">
        <f>IF(交易處理資料__3[[#This Row],[上班時間]]=0,0,交易處理資料__3[[#This Row],[售出工時]]/交易處理資料__3[[#This Row],[上班時間]])</f>
        <v>0</v>
      </c>
      <c r="O2339" s="31" t="str">
        <f>IF(交易處理資料__3[[#This Row],[上班時間]]=0,"否","是")</f>
        <v>否</v>
      </c>
    </row>
    <row r="2340" spans="1:15" hidden="1">
      <c r="A2340" t="s">
        <v>75</v>
      </c>
      <c r="B2340" t="s">
        <v>24</v>
      </c>
      <c r="C2340">
        <v>0</v>
      </c>
      <c r="D2340">
        <v>0</v>
      </c>
      <c r="E2340" s="27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 s="9">
        <v>45350</v>
      </c>
      <c r="L2340">
        <f xml:space="preserve"> (交易處理資料__3[[#This Row],[售出工時]] * 60) / 5</f>
        <v>0</v>
      </c>
      <c r="M2340" t="str">
        <f>VLOOKUP(交易處理資料__3[[#This Row],[人員代號]],團隊分組!$B$1:$C$52,2,FALSE)</f>
        <v>快速保養團隊A</v>
      </c>
      <c r="N2340">
        <f>IF(交易處理資料__3[[#This Row],[上班時間]]=0,0,交易處理資料__3[[#This Row],[售出工時]]/交易處理資料__3[[#This Row],[上班時間]])</f>
        <v>0</v>
      </c>
      <c r="O2340" s="31" t="str">
        <f>IF(交易處理資料__3[[#This Row],[上班時間]]=0,"否","是")</f>
        <v>否</v>
      </c>
    </row>
    <row r="2341" spans="1:15" hidden="1">
      <c r="A2341" t="s">
        <v>75</v>
      </c>
      <c r="B2341" t="s">
        <v>25</v>
      </c>
      <c r="C2341">
        <v>0</v>
      </c>
      <c r="D2341">
        <v>0</v>
      </c>
      <c r="E2341" s="27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 s="9">
        <v>45350</v>
      </c>
      <c r="L2341">
        <f xml:space="preserve"> (交易處理資料__3[[#This Row],[售出工時]] * 60) / 5</f>
        <v>0</v>
      </c>
      <c r="M2341" t="str">
        <f>VLOOKUP(交易處理資料__3[[#This Row],[人員代號]],團隊分組!$B$1:$C$52,2,FALSE)</f>
        <v>查修團隊A</v>
      </c>
      <c r="N2341">
        <f>IF(交易處理資料__3[[#This Row],[上班時間]]=0,0,交易處理資料__3[[#This Row],[售出工時]]/交易處理資料__3[[#This Row],[上班時間]])</f>
        <v>0</v>
      </c>
      <c r="O2341" s="31" t="str">
        <f>IF(交易處理資料__3[[#This Row],[上班時間]]=0,"否","是")</f>
        <v>否</v>
      </c>
    </row>
    <row r="2342" spans="1:15" hidden="1">
      <c r="A2342" t="s">
        <v>75</v>
      </c>
      <c r="B2342" t="s">
        <v>26</v>
      </c>
      <c r="C2342">
        <v>0</v>
      </c>
      <c r="D2342">
        <v>0</v>
      </c>
      <c r="E2342" s="27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 s="9">
        <v>45350</v>
      </c>
      <c r="L2342">
        <f xml:space="preserve"> (交易處理資料__3[[#This Row],[售出工時]] * 60) / 5</f>
        <v>0</v>
      </c>
      <c r="M2342" t="str">
        <f>VLOOKUP(交易處理資料__3[[#This Row],[人員代號]],團隊分組!$B$1:$C$52,2,FALSE)</f>
        <v>查修團隊B</v>
      </c>
      <c r="N2342">
        <f>IF(交易處理資料__3[[#This Row],[上班時間]]=0,0,交易處理資料__3[[#This Row],[售出工時]]/交易處理資料__3[[#This Row],[上班時間]])</f>
        <v>0</v>
      </c>
      <c r="O2342" s="31" t="str">
        <f>IF(交易處理資料__3[[#This Row],[上班時間]]=0,"否","是")</f>
        <v>否</v>
      </c>
    </row>
    <row r="2343" spans="1:15" hidden="1">
      <c r="A2343" t="s">
        <v>75</v>
      </c>
      <c r="B2343" t="s">
        <v>28</v>
      </c>
      <c r="C2343">
        <v>0</v>
      </c>
      <c r="D2343">
        <v>0</v>
      </c>
      <c r="E2343" s="27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 s="9">
        <v>45350</v>
      </c>
      <c r="L2343">
        <f xml:space="preserve"> (交易處理資料__3[[#This Row],[售出工時]] * 60) / 5</f>
        <v>0</v>
      </c>
      <c r="M2343" t="str">
        <f>VLOOKUP(交易處理資料__3[[#This Row],[人員代號]],團隊分組!$B$1:$C$52,2,FALSE)</f>
        <v>快速保養團隊A</v>
      </c>
      <c r="N2343">
        <f>IF(交易處理資料__3[[#This Row],[上班時間]]=0,0,交易處理資料__3[[#This Row],[售出工時]]/交易處理資料__3[[#This Row],[上班時間]])</f>
        <v>0</v>
      </c>
      <c r="O2343" s="31" t="str">
        <f>IF(交易處理資料__3[[#This Row],[上班時間]]=0,"否","是")</f>
        <v>否</v>
      </c>
    </row>
    <row r="2344" spans="1:15" hidden="1">
      <c r="A2344" t="s">
        <v>75</v>
      </c>
      <c r="B2344" t="s">
        <v>29</v>
      </c>
      <c r="C2344">
        <v>2.8</v>
      </c>
      <c r="D2344">
        <v>2.9</v>
      </c>
      <c r="E2344" s="27">
        <v>96.551724140000005</v>
      </c>
      <c r="F2344">
        <v>5.7</v>
      </c>
      <c r="G2344">
        <v>2.17</v>
      </c>
      <c r="H2344">
        <v>7.87</v>
      </c>
      <c r="I2344">
        <v>72.430000000000007</v>
      </c>
      <c r="J2344">
        <v>35.58</v>
      </c>
      <c r="K2344" s="9">
        <v>45350</v>
      </c>
      <c r="L2344">
        <f xml:space="preserve"> (交易處理資料__3[[#This Row],[售出工時]] * 60) / 5</f>
        <v>33.6</v>
      </c>
      <c r="M2344" t="str">
        <f>VLOOKUP(交易處理資料__3[[#This Row],[人員代號]],團隊分組!$B$1:$C$52,2,FALSE)</f>
        <v>查修團隊B</v>
      </c>
      <c r="N2344">
        <f>IF(交易處理資料__3[[#This Row],[上班時間]]=0,0,交易處理資料__3[[#This Row],[售出工時]]/交易處理資料__3[[#This Row],[上班時間]])</f>
        <v>0.35578144853875476</v>
      </c>
      <c r="O2344" s="31" t="str">
        <f>IF(交易處理資料__3[[#This Row],[上班時間]]=0,"否","是")</f>
        <v>是</v>
      </c>
    </row>
    <row r="2345" spans="1:15" hidden="1">
      <c r="A2345" t="s">
        <v>75</v>
      </c>
      <c r="B2345" t="s">
        <v>32</v>
      </c>
      <c r="C2345">
        <v>0</v>
      </c>
      <c r="D2345">
        <v>0</v>
      </c>
      <c r="E2345" s="27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 s="9">
        <v>45350</v>
      </c>
      <c r="L2345">
        <f xml:space="preserve"> (交易處理資料__3[[#This Row],[售出工時]] * 60) / 5</f>
        <v>0</v>
      </c>
      <c r="M2345" t="str">
        <f>VLOOKUP(交易處理資料__3[[#This Row],[人員代號]],團隊分組!$B$1:$C$52,2,FALSE)</f>
        <v>快速保養團隊B</v>
      </c>
      <c r="N2345">
        <f>IF(交易處理資料__3[[#This Row],[上班時間]]=0,0,交易處理資料__3[[#This Row],[售出工時]]/交易處理資料__3[[#This Row],[上班時間]])</f>
        <v>0</v>
      </c>
      <c r="O2345" s="31" t="str">
        <f>IF(交易處理資料__3[[#This Row],[上班時間]]=0,"否","是")</f>
        <v>否</v>
      </c>
    </row>
    <row r="2346" spans="1:15" hidden="1">
      <c r="A2346" t="s">
        <v>75</v>
      </c>
      <c r="B2346" t="s">
        <v>34</v>
      </c>
      <c r="C2346">
        <v>3.75</v>
      </c>
      <c r="D2346">
        <v>2.1</v>
      </c>
      <c r="E2346" s="27">
        <v>178.57142859999999</v>
      </c>
      <c r="F2346">
        <v>6.87</v>
      </c>
      <c r="G2346">
        <v>1.04</v>
      </c>
      <c r="H2346">
        <v>7.91</v>
      </c>
      <c r="I2346">
        <v>86.85</v>
      </c>
      <c r="J2346">
        <v>47.41</v>
      </c>
      <c r="K2346" s="9">
        <v>45350</v>
      </c>
      <c r="L2346">
        <f xml:space="preserve"> (交易處理資料__3[[#This Row],[售出工時]] * 60) / 5</f>
        <v>45</v>
      </c>
      <c r="M2346" t="str">
        <f>VLOOKUP(交易處理資料__3[[#This Row],[人員代號]],團隊分組!$B$1:$C$52,2,FALSE)</f>
        <v>快速保養團隊A</v>
      </c>
      <c r="N2346">
        <f>IF(交易處理資料__3[[#This Row],[上班時間]]=0,0,交易處理資料__3[[#This Row],[售出工時]]/交易處理資料__3[[#This Row],[上班時間]])</f>
        <v>0.47408343868520858</v>
      </c>
      <c r="O2346" s="31" t="str">
        <f>IF(交易處理資料__3[[#This Row],[上班時間]]=0,"否","是")</f>
        <v>是</v>
      </c>
    </row>
    <row r="2347" spans="1:15" hidden="1">
      <c r="A2347" t="s">
        <v>75</v>
      </c>
      <c r="B2347" t="s">
        <v>35</v>
      </c>
      <c r="C2347">
        <v>0</v>
      </c>
      <c r="D2347">
        <v>0</v>
      </c>
      <c r="E2347" s="2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 s="9">
        <v>45350</v>
      </c>
      <c r="L2347">
        <f xml:space="preserve"> (交易處理資料__3[[#This Row],[售出工時]] * 60) / 5</f>
        <v>0</v>
      </c>
      <c r="M2347" t="str">
        <f>VLOOKUP(交易處理資料__3[[#This Row],[人員代號]],團隊分組!$B$1:$C$52,2,FALSE)</f>
        <v>查修團隊B</v>
      </c>
      <c r="N2347">
        <f>IF(交易處理資料__3[[#This Row],[上班時間]]=0,0,交易處理資料__3[[#This Row],[售出工時]]/交易處理資料__3[[#This Row],[上班時間]])</f>
        <v>0</v>
      </c>
      <c r="O2347" s="31" t="str">
        <f>IF(交易處理資料__3[[#This Row],[上班時間]]=0,"否","是")</f>
        <v>否</v>
      </c>
    </row>
    <row r="2348" spans="1:15" hidden="1">
      <c r="A2348" t="s">
        <v>75</v>
      </c>
      <c r="B2348" t="s">
        <v>37</v>
      </c>
      <c r="C2348">
        <v>0</v>
      </c>
      <c r="D2348">
        <v>0</v>
      </c>
      <c r="E2348" s="27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 s="9">
        <v>45350</v>
      </c>
      <c r="L2348">
        <f xml:space="preserve"> (交易處理資料__3[[#This Row],[售出工時]] * 60) / 5</f>
        <v>0</v>
      </c>
      <c r="M2348" t="str">
        <f>VLOOKUP(交易處理資料__3[[#This Row],[人員代號]],團隊分組!$B$1:$C$52,2,FALSE)</f>
        <v>查修團隊A</v>
      </c>
      <c r="N2348">
        <f>IF(交易處理資料__3[[#This Row],[上班時間]]=0,0,交易處理資料__3[[#This Row],[售出工時]]/交易處理資料__3[[#This Row],[上班時間]])</f>
        <v>0</v>
      </c>
      <c r="O2348" s="31" t="str">
        <f>IF(交易處理資料__3[[#This Row],[上班時間]]=0,"否","是")</f>
        <v>否</v>
      </c>
    </row>
    <row r="2349" spans="1:15" hidden="1">
      <c r="A2349" t="s">
        <v>75</v>
      </c>
      <c r="B2349" t="s">
        <v>38</v>
      </c>
      <c r="C2349">
        <v>2.57</v>
      </c>
      <c r="D2349">
        <v>2.95</v>
      </c>
      <c r="E2349" s="27">
        <v>87.118644070000002</v>
      </c>
      <c r="F2349">
        <v>4.8499999999999996</v>
      </c>
      <c r="G2349">
        <v>3.06</v>
      </c>
      <c r="H2349">
        <v>7.91</v>
      </c>
      <c r="I2349">
        <v>61.31</v>
      </c>
      <c r="J2349">
        <v>32.49</v>
      </c>
      <c r="K2349" s="9">
        <v>45350</v>
      </c>
      <c r="L2349">
        <f xml:space="preserve"> (交易處理資料__3[[#This Row],[售出工時]] * 60) / 5</f>
        <v>30.839999999999996</v>
      </c>
      <c r="M2349" t="str">
        <f>VLOOKUP(交易處理資料__3[[#This Row],[人員代號]],團隊分組!$B$1:$C$52,2,FALSE)</f>
        <v>快速保養團隊A</v>
      </c>
      <c r="N2349">
        <f>IF(交易處理資料__3[[#This Row],[上班時間]]=0,0,交易處理資料__3[[#This Row],[售出工時]]/交易處理資料__3[[#This Row],[上班時間]])</f>
        <v>0.32490518331226292</v>
      </c>
      <c r="O2349" s="31" t="str">
        <f>IF(交易處理資料__3[[#This Row],[上班時間]]=0,"否","是")</f>
        <v>是</v>
      </c>
    </row>
    <row r="2350" spans="1:15" hidden="1">
      <c r="A2350" t="s">
        <v>75</v>
      </c>
      <c r="B2350" t="s">
        <v>39</v>
      </c>
      <c r="C2350">
        <v>0</v>
      </c>
      <c r="D2350">
        <v>0</v>
      </c>
      <c r="E2350" s="27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 s="9">
        <v>45350</v>
      </c>
      <c r="L2350">
        <f xml:space="preserve"> (交易處理資料__3[[#This Row],[售出工時]] * 60) / 5</f>
        <v>0</v>
      </c>
      <c r="M2350" t="str">
        <f>VLOOKUP(交易處理資料__3[[#This Row],[人員代號]],團隊分組!$B$1:$C$52,2,FALSE)</f>
        <v>查修團隊A</v>
      </c>
      <c r="N2350">
        <f>IF(交易處理資料__3[[#This Row],[上班時間]]=0,0,交易處理資料__3[[#This Row],[售出工時]]/交易處理資料__3[[#This Row],[上班時間]])</f>
        <v>0</v>
      </c>
      <c r="O2350" s="31" t="str">
        <f>IF(交易處理資料__3[[#This Row],[上班時間]]=0,"否","是")</f>
        <v>否</v>
      </c>
    </row>
    <row r="2351" spans="1:15" hidden="1">
      <c r="A2351" t="s">
        <v>75</v>
      </c>
      <c r="B2351" t="s">
        <v>40</v>
      </c>
      <c r="C2351">
        <v>0</v>
      </c>
      <c r="D2351">
        <v>0</v>
      </c>
      <c r="E2351" s="27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 s="9">
        <v>45350</v>
      </c>
      <c r="L2351">
        <f xml:space="preserve"> (交易處理資料__3[[#This Row],[售出工時]] * 60) / 5</f>
        <v>0</v>
      </c>
      <c r="M2351" t="str">
        <f>VLOOKUP(交易處理資料__3[[#This Row],[人員代號]],團隊分組!$B$1:$C$52,2,FALSE)</f>
        <v>查修團隊A</v>
      </c>
      <c r="N2351">
        <f>IF(交易處理資料__3[[#This Row],[上班時間]]=0,0,交易處理資料__3[[#This Row],[售出工時]]/交易處理資料__3[[#This Row],[上班時間]])</f>
        <v>0</v>
      </c>
      <c r="O2351" s="31" t="str">
        <f>IF(交易處理資料__3[[#This Row],[上班時間]]=0,"否","是")</f>
        <v>否</v>
      </c>
    </row>
    <row r="2352" spans="1:15" hidden="1">
      <c r="A2352" t="s">
        <v>75</v>
      </c>
      <c r="B2352" t="s">
        <v>41</v>
      </c>
      <c r="C2352">
        <v>0</v>
      </c>
      <c r="D2352">
        <v>0</v>
      </c>
      <c r="E2352" s="27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 s="9">
        <v>45350</v>
      </c>
      <c r="L2352">
        <f xml:space="preserve"> (交易處理資料__3[[#This Row],[售出工時]] * 60) / 5</f>
        <v>0</v>
      </c>
      <c r="M2352" t="str">
        <f>VLOOKUP(交易處理資料__3[[#This Row],[人員代號]],團隊分組!$B$1:$C$52,2,FALSE)</f>
        <v>快速保養團隊A</v>
      </c>
      <c r="N2352">
        <f>IF(交易處理資料__3[[#This Row],[上班時間]]=0,0,交易處理資料__3[[#This Row],[售出工時]]/交易處理資料__3[[#This Row],[上班時間]])</f>
        <v>0</v>
      </c>
      <c r="O2352" s="31" t="str">
        <f>IF(交易處理資料__3[[#This Row],[上班時間]]=0,"否","是")</f>
        <v>否</v>
      </c>
    </row>
    <row r="2353" spans="1:15" hidden="1">
      <c r="A2353" t="s">
        <v>75</v>
      </c>
      <c r="B2353" t="s">
        <v>42</v>
      </c>
      <c r="C2353">
        <v>0</v>
      </c>
      <c r="D2353">
        <v>0</v>
      </c>
      <c r="E2353" s="27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 s="9">
        <v>45350</v>
      </c>
      <c r="L2353">
        <f xml:space="preserve"> (交易處理資料__3[[#This Row],[售出工時]] * 60) / 5</f>
        <v>0</v>
      </c>
      <c r="M2353" t="str">
        <f>VLOOKUP(交易處理資料__3[[#This Row],[人員代號]],團隊分組!$B$1:$C$52,2,FALSE)</f>
        <v>快速保養團隊A</v>
      </c>
      <c r="N2353">
        <f>IF(交易處理資料__3[[#This Row],[上班時間]]=0,0,交易處理資料__3[[#This Row],[售出工時]]/交易處理資料__3[[#This Row],[上班時間]])</f>
        <v>0</v>
      </c>
      <c r="O2353" s="31" t="str">
        <f>IF(交易處理資料__3[[#This Row],[上班時間]]=0,"否","是")</f>
        <v>否</v>
      </c>
    </row>
    <row r="2354" spans="1:15" hidden="1">
      <c r="A2354" t="s">
        <v>75</v>
      </c>
      <c r="B2354" t="s">
        <v>43</v>
      </c>
      <c r="C2354">
        <v>6.653333333</v>
      </c>
      <c r="D2354">
        <v>6.56</v>
      </c>
      <c r="E2354" s="27">
        <v>101.4227642</v>
      </c>
      <c r="F2354">
        <v>5.12</v>
      </c>
      <c r="G2354">
        <v>2.7</v>
      </c>
      <c r="H2354">
        <v>7.82</v>
      </c>
      <c r="I2354">
        <v>65.47</v>
      </c>
      <c r="J2354">
        <v>85.08</v>
      </c>
      <c r="K2354" s="9">
        <v>45350</v>
      </c>
      <c r="L2354">
        <f xml:space="preserve"> (交易處理資料__3[[#This Row],[售出工時]] * 60) / 5</f>
        <v>79.839999995999989</v>
      </c>
      <c r="M2354" t="str">
        <f>VLOOKUP(交易處理資料__3[[#This Row],[人員代號]],團隊分組!$B$1:$C$52,2,FALSE)</f>
        <v>查修團隊B</v>
      </c>
      <c r="N2354">
        <f>IF(交易處理資料__3[[#This Row],[上班時間]]=0,0,交易處理資料__3[[#This Row],[售出工時]]/交易處理資料__3[[#This Row],[上班時間]])</f>
        <v>0.85080988913043476</v>
      </c>
      <c r="O2354" s="31" t="str">
        <f>IF(交易處理資料__3[[#This Row],[上班時間]]=0,"否","是")</f>
        <v>是</v>
      </c>
    </row>
    <row r="2355" spans="1:15" hidden="1">
      <c r="A2355" t="s">
        <v>75</v>
      </c>
      <c r="B2355" t="s">
        <v>44</v>
      </c>
      <c r="C2355">
        <v>0</v>
      </c>
      <c r="D2355">
        <v>0</v>
      </c>
      <c r="E2355" s="27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 s="9">
        <v>45350</v>
      </c>
      <c r="L2355">
        <f xml:space="preserve"> (交易處理資料__3[[#This Row],[售出工時]] * 60) / 5</f>
        <v>0</v>
      </c>
      <c r="M2355" t="str">
        <f>VLOOKUP(交易處理資料__3[[#This Row],[人員代號]],團隊分組!$B$1:$C$52,2,FALSE)</f>
        <v>快速保養團隊B</v>
      </c>
      <c r="N2355">
        <f>IF(交易處理資料__3[[#This Row],[上班時間]]=0,0,交易處理資料__3[[#This Row],[售出工時]]/交易處理資料__3[[#This Row],[上班時間]])</f>
        <v>0</v>
      </c>
      <c r="O2355" s="31" t="str">
        <f>IF(交易處理資料__3[[#This Row],[上班時間]]=0,"否","是")</f>
        <v>否</v>
      </c>
    </row>
    <row r="2356" spans="1:15" hidden="1">
      <c r="A2356" t="s">
        <v>75</v>
      </c>
      <c r="B2356" t="s">
        <v>45</v>
      </c>
      <c r="C2356">
        <v>4.3733333329999997</v>
      </c>
      <c r="D2356">
        <v>5.13</v>
      </c>
      <c r="E2356" s="27">
        <v>85.250162439999997</v>
      </c>
      <c r="F2356">
        <v>5.65</v>
      </c>
      <c r="G2356">
        <v>2.25</v>
      </c>
      <c r="H2356">
        <v>7.9</v>
      </c>
      <c r="I2356">
        <v>71.52</v>
      </c>
      <c r="J2356">
        <v>55.36</v>
      </c>
      <c r="K2356" s="9">
        <v>45350</v>
      </c>
      <c r="L2356">
        <f xml:space="preserve"> (交易處理資料__3[[#This Row],[售出工時]] * 60) / 5</f>
        <v>52.479999995999989</v>
      </c>
      <c r="M2356" t="str">
        <f>VLOOKUP(交易處理資料__3[[#This Row],[人員代號]],團隊分組!$B$1:$C$52,2,FALSE)</f>
        <v>快速保養團隊A</v>
      </c>
      <c r="N2356">
        <f>IF(交易處理資料__3[[#This Row],[上班時間]]=0,0,交易處理資料__3[[#This Row],[售出工時]]/交易處理資料__3[[#This Row],[上班時間]])</f>
        <v>0.55358649784810121</v>
      </c>
      <c r="O2356" s="31" t="str">
        <f>IF(交易處理資料__3[[#This Row],[上班時間]]=0,"否","是")</f>
        <v>是</v>
      </c>
    </row>
    <row r="2357" spans="1:15" hidden="1">
      <c r="A2357" t="s">
        <v>75</v>
      </c>
      <c r="B2357" t="s">
        <v>46</v>
      </c>
      <c r="C2357">
        <v>2.5499999999999998</v>
      </c>
      <c r="D2357">
        <v>2.64</v>
      </c>
      <c r="E2357" s="27">
        <v>96.590909089999997</v>
      </c>
      <c r="F2357">
        <v>5.67</v>
      </c>
      <c r="G2357">
        <v>2.1800000000000002</v>
      </c>
      <c r="H2357">
        <v>7.85</v>
      </c>
      <c r="I2357">
        <v>72.23</v>
      </c>
      <c r="J2357">
        <v>32.479999999999997</v>
      </c>
      <c r="K2357" s="9">
        <v>45350</v>
      </c>
      <c r="L2357">
        <f xml:space="preserve"> (交易處理資料__3[[#This Row],[售出工時]] * 60) / 5</f>
        <v>30.6</v>
      </c>
      <c r="M2357" t="str">
        <f>VLOOKUP(交易處理資料__3[[#This Row],[人員代號]],團隊分組!$B$1:$C$52,2,FALSE)</f>
        <v>查修團隊B</v>
      </c>
      <c r="N2357">
        <f>IF(交易處理資料__3[[#This Row],[上班時間]]=0,0,交易處理資料__3[[#This Row],[售出工時]]/交易處理資料__3[[#This Row],[上班時間]])</f>
        <v>0.32484076433121017</v>
      </c>
      <c r="O2357" s="31" t="str">
        <f>IF(交易處理資料__3[[#This Row],[上班時間]]=0,"否","是")</f>
        <v>是</v>
      </c>
    </row>
    <row r="2358" spans="1:15" hidden="1">
      <c r="A2358" t="s">
        <v>75</v>
      </c>
      <c r="B2358" t="s">
        <v>47</v>
      </c>
      <c r="C2358">
        <v>0</v>
      </c>
      <c r="D2358">
        <v>0</v>
      </c>
      <c r="E2358" s="27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 s="9">
        <v>45350</v>
      </c>
      <c r="L2358">
        <f xml:space="preserve"> (交易處理資料__3[[#This Row],[售出工時]] * 60) / 5</f>
        <v>0</v>
      </c>
      <c r="M2358" t="str">
        <f>VLOOKUP(交易處理資料__3[[#This Row],[人員代號]],團隊分組!$B$1:$C$52,2,FALSE)</f>
        <v>查修團隊B</v>
      </c>
      <c r="N2358">
        <f>IF(交易處理資料__3[[#This Row],[上班時間]]=0,0,交易處理資料__3[[#This Row],[售出工時]]/交易處理資料__3[[#This Row],[上班時間]])</f>
        <v>0</v>
      </c>
      <c r="O2358" s="31" t="str">
        <f>IF(交易處理資料__3[[#This Row],[上班時間]]=0,"否","是")</f>
        <v>否</v>
      </c>
    </row>
    <row r="2359" spans="1:15" hidden="1">
      <c r="A2359" t="s">
        <v>75</v>
      </c>
      <c r="B2359" t="s">
        <v>48</v>
      </c>
      <c r="C2359">
        <v>0</v>
      </c>
      <c r="D2359">
        <v>0</v>
      </c>
      <c r="E2359" s="27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 s="9">
        <v>45350</v>
      </c>
      <c r="L2359">
        <f xml:space="preserve"> (交易處理資料__3[[#This Row],[售出工時]] * 60) / 5</f>
        <v>0</v>
      </c>
      <c r="M2359" t="str">
        <f>VLOOKUP(交易處理資料__3[[#This Row],[人員代號]],團隊分組!$B$1:$C$52,2,FALSE)</f>
        <v>查修團隊A</v>
      </c>
      <c r="N2359">
        <f>IF(交易處理資料__3[[#This Row],[上班時間]]=0,0,交易處理資料__3[[#This Row],[售出工時]]/交易處理資料__3[[#This Row],[上班時間]])</f>
        <v>0</v>
      </c>
      <c r="O2359" s="31" t="str">
        <f>IF(交易處理資料__3[[#This Row],[上班時間]]=0,"否","是")</f>
        <v>否</v>
      </c>
    </row>
    <row r="2360" spans="1:15" hidden="1">
      <c r="A2360" t="s">
        <v>75</v>
      </c>
      <c r="B2360" t="s">
        <v>49</v>
      </c>
      <c r="C2360">
        <v>0</v>
      </c>
      <c r="D2360">
        <v>0</v>
      </c>
      <c r="E2360" s="27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 s="9">
        <v>45350</v>
      </c>
      <c r="L2360">
        <f xml:space="preserve"> (交易處理資料__3[[#This Row],[售出工時]] * 60) / 5</f>
        <v>0</v>
      </c>
      <c r="M2360" t="str">
        <f>VLOOKUP(交易處理資料__3[[#This Row],[人員代號]],團隊分組!$B$1:$C$52,2,FALSE)</f>
        <v>查修團隊A</v>
      </c>
      <c r="N2360">
        <f>IF(交易處理資料__3[[#This Row],[上班時間]]=0,0,交易處理資料__3[[#This Row],[售出工時]]/交易處理資料__3[[#This Row],[上班時間]])</f>
        <v>0</v>
      </c>
      <c r="O2360" s="31" t="str">
        <f>IF(交易處理資料__3[[#This Row],[上班時間]]=0,"否","是")</f>
        <v>否</v>
      </c>
    </row>
    <row r="2361" spans="1:15" hidden="1">
      <c r="A2361" t="s">
        <v>75</v>
      </c>
      <c r="B2361" t="s">
        <v>50</v>
      </c>
      <c r="C2361">
        <v>0</v>
      </c>
      <c r="D2361">
        <v>0</v>
      </c>
      <c r="E2361" s="27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 s="9">
        <v>45350</v>
      </c>
      <c r="L2361">
        <f xml:space="preserve"> (交易處理資料__3[[#This Row],[售出工時]] * 60) / 5</f>
        <v>0</v>
      </c>
      <c r="M2361" t="str">
        <f>VLOOKUP(交易處理資料__3[[#This Row],[人員代號]],團隊分組!$B$1:$C$52,2,FALSE)</f>
        <v>快速保養團隊B</v>
      </c>
      <c r="N2361">
        <f>IF(交易處理資料__3[[#This Row],[上班時間]]=0,0,交易處理資料__3[[#This Row],[售出工時]]/交易處理資料__3[[#This Row],[上班時間]])</f>
        <v>0</v>
      </c>
      <c r="O2361" s="31" t="str">
        <f>IF(交易處理資料__3[[#This Row],[上班時間]]=0,"否","是")</f>
        <v>否</v>
      </c>
    </row>
    <row r="2362" spans="1:15" hidden="1">
      <c r="A2362" t="s">
        <v>75</v>
      </c>
      <c r="B2362" t="s">
        <v>51</v>
      </c>
      <c r="C2362">
        <v>0</v>
      </c>
      <c r="D2362">
        <v>0</v>
      </c>
      <c r="E2362" s="27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 s="9">
        <v>45350</v>
      </c>
      <c r="L2362">
        <f xml:space="preserve"> (交易處理資料__3[[#This Row],[售出工時]] * 60) / 5</f>
        <v>0</v>
      </c>
      <c r="M2362" t="str">
        <f>VLOOKUP(交易處理資料__3[[#This Row],[人員代號]],團隊分組!$B$1:$C$52,2,FALSE)</f>
        <v>無效數據</v>
      </c>
      <c r="N2362">
        <f>IF(交易處理資料__3[[#This Row],[上班時間]]=0,0,交易處理資料__3[[#This Row],[售出工時]]/交易處理資料__3[[#This Row],[上班時間]])</f>
        <v>0</v>
      </c>
      <c r="O2362" s="31" t="str">
        <f>IF(交易處理資料__3[[#This Row],[上班時間]]=0,"否","是")</f>
        <v>否</v>
      </c>
    </row>
    <row r="2363" spans="1:15" hidden="1">
      <c r="A2363" t="s">
        <v>75</v>
      </c>
      <c r="B2363" t="s">
        <v>52</v>
      </c>
      <c r="C2363">
        <v>0</v>
      </c>
      <c r="D2363">
        <v>0</v>
      </c>
      <c r="E2363" s="27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 s="9">
        <v>45350</v>
      </c>
      <c r="L2363">
        <f xml:space="preserve"> (交易處理資料__3[[#This Row],[售出工時]] * 60) / 5</f>
        <v>0</v>
      </c>
      <c r="M2363" t="str">
        <f>VLOOKUP(交易處理資料__3[[#This Row],[人員代號]],團隊分組!$B$1:$C$52,2,FALSE)</f>
        <v>查修團隊B</v>
      </c>
      <c r="N2363">
        <f>IF(交易處理資料__3[[#This Row],[上班時間]]=0,0,交易處理資料__3[[#This Row],[售出工時]]/交易處理資料__3[[#This Row],[上班時間]])</f>
        <v>0</v>
      </c>
      <c r="O2363" s="31" t="str">
        <f>IF(交易處理資料__3[[#This Row],[上班時間]]=0,"否","是")</f>
        <v>否</v>
      </c>
    </row>
    <row r="2364" spans="1:15" hidden="1">
      <c r="A2364" t="s">
        <v>75</v>
      </c>
      <c r="B2364" t="s">
        <v>53</v>
      </c>
      <c r="C2364">
        <v>0</v>
      </c>
      <c r="D2364">
        <v>0</v>
      </c>
      <c r="E2364" s="27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 s="9">
        <v>45350</v>
      </c>
      <c r="L2364">
        <f xml:space="preserve"> (交易處理資料__3[[#This Row],[售出工時]] * 60) / 5</f>
        <v>0</v>
      </c>
      <c r="M2364" t="str">
        <f>VLOOKUP(交易處理資料__3[[#This Row],[人員代號]],團隊分組!$B$1:$C$52,2,FALSE)</f>
        <v>查修團隊A</v>
      </c>
      <c r="N2364">
        <f>IF(交易處理資料__3[[#This Row],[上班時間]]=0,0,交易處理資料__3[[#This Row],[售出工時]]/交易處理資料__3[[#This Row],[上班時間]])</f>
        <v>0</v>
      </c>
      <c r="O2364" s="31" t="str">
        <f>IF(交易處理資料__3[[#This Row],[上班時間]]=0,"否","是")</f>
        <v>否</v>
      </c>
    </row>
    <row r="2365" spans="1:15" hidden="1">
      <c r="A2365" t="s">
        <v>75</v>
      </c>
      <c r="B2365" t="s">
        <v>18</v>
      </c>
      <c r="C2365">
        <v>0</v>
      </c>
      <c r="D2365">
        <v>0</v>
      </c>
      <c r="E2365" s="27">
        <v>0</v>
      </c>
      <c r="F2365">
        <v>7.9</v>
      </c>
      <c r="G2365">
        <v>1.41</v>
      </c>
      <c r="H2365">
        <v>9.31</v>
      </c>
      <c r="I2365">
        <v>84.85</v>
      </c>
      <c r="J2365">
        <v>0</v>
      </c>
      <c r="K2365" s="9">
        <v>45351</v>
      </c>
      <c r="L2365">
        <f xml:space="preserve"> (交易處理資料__3[[#This Row],[售出工時]] * 60) / 5</f>
        <v>0</v>
      </c>
      <c r="M2365" t="str">
        <f>VLOOKUP(交易處理資料__3[[#This Row],[人員代號]],團隊分組!$B$1:$C$52,2,FALSE)</f>
        <v>查修團隊B</v>
      </c>
      <c r="N2365">
        <f>IF(交易處理資料__3[[#This Row],[上班時間]]=0,0,交易處理資料__3[[#This Row],[售出工時]]/交易處理資料__3[[#This Row],[上班時間]])</f>
        <v>0</v>
      </c>
      <c r="O2365" s="31" t="str">
        <f>IF(交易處理資料__3[[#This Row],[上班時間]]=0,"否","是")</f>
        <v>是</v>
      </c>
    </row>
    <row r="2366" spans="1:15" hidden="1">
      <c r="A2366" t="s">
        <v>75</v>
      </c>
      <c r="B2366" t="s">
        <v>19</v>
      </c>
      <c r="C2366">
        <v>6.4533333329999998</v>
      </c>
      <c r="D2366">
        <v>7.8</v>
      </c>
      <c r="E2366" s="27">
        <v>82.735042739999997</v>
      </c>
      <c r="F2366">
        <v>8.68</v>
      </c>
      <c r="G2366">
        <v>0.34</v>
      </c>
      <c r="H2366">
        <v>9.02</v>
      </c>
      <c r="I2366">
        <v>96.23</v>
      </c>
      <c r="J2366">
        <v>71.540000000000006</v>
      </c>
      <c r="K2366" s="9">
        <v>45351</v>
      </c>
      <c r="L2366">
        <f xml:space="preserve"> (交易處理資料__3[[#This Row],[售出工時]] * 60) / 5</f>
        <v>77.439999995999997</v>
      </c>
      <c r="M2366" t="str">
        <f>VLOOKUP(交易處理資料__3[[#This Row],[人員代號]],團隊分組!$B$1:$C$52,2,FALSE)</f>
        <v>查修團隊A</v>
      </c>
      <c r="N2366">
        <f>IF(交易處理資料__3[[#This Row],[上班時間]]=0,0,交易處理資料__3[[#This Row],[售出工時]]/交易處理資料__3[[#This Row],[上班時間]])</f>
        <v>0.71544715443458984</v>
      </c>
      <c r="O2366" s="31" t="str">
        <f>IF(交易處理資料__3[[#This Row],[上班時間]]=0,"否","是")</f>
        <v>是</v>
      </c>
    </row>
    <row r="2367" spans="1:15" hidden="1">
      <c r="A2367" t="s">
        <v>75</v>
      </c>
      <c r="B2367" t="s">
        <v>20</v>
      </c>
      <c r="C2367">
        <v>1.19</v>
      </c>
      <c r="D2367">
        <v>1.02</v>
      </c>
      <c r="E2367" s="27">
        <v>116.66666669999999</v>
      </c>
      <c r="F2367">
        <v>4.6100000000000003</v>
      </c>
      <c r="G2367">
        <v>6.22</v>
      </c>
      <c r="H2367">
        <v>10.83</v>
      </c>
      <c r="I2367">
        <v>42.57</v>
      </c>
      <c r="J2367">
        <v>10.99</v>
      </c>
      <c r="K2367" s="9">
        <v>45351</v>
      </c>
      <c r="L2367">
        <f xml:space="preserve"> (交易處理資料__3[[#This Row],[售出工時]] * 60) / 5</f>
        <v>14.279999999999998</v>
      </c>
      <c r="M2367" t="str">
        <f>VLOOKUP(交易處理資料__3[[#This Row],[人員代號]],團隊分組!$B$1:$C$52,2,FALSE)</f>
        <v>查修團隊B</v>
      </c>
      <c r="N2367">
        <f>IF(交易處理資料__3[[#This Row],[上班時間]]=0,0,交易處理資料__3[[#This Row],[售出工時]]/交易處理資料__3[[#This Row],[上班時間]])</f>
        <v>0.10987996306555863</v>
      </c>
      <c r="O2367" s="31" t="str">
        <f>IF(交易處理資料__3[[#This Row],[上班時間]]=0,"否","是")</f>
        <v>是</v>
      </c>
    </row>
    <row r="2368" spans="1:15" hidden="1">
      <c r="A2368" t="s">
        <v>75</v>
      </c>
      <c r="B2368" t="s">
        <v>21</v>
      </c>
      <c r="C2368">
        <v>3.5</v>
      </c>
      <c r="D2368">
        <v>3.49</v>
      </c>
      <c r="E2368" s="27">
        <v>100.28653300000001</v>
      </c>
      <c r="F2368">
        <v>5.17</v>
      </c>
      <c r="G2368">
        <v>4.0199999999999996</v>
      </c>
      <c r="H2368">
        <v>9.19</v>
      </c>
      <c r="I2368">
        <v>56.26</v>
      </c>
      <c r="J2368">
        <v>38.08</v>
      </c>
      <c r="K2368" s="9">
        <v>45351</v>
      </c>
      <c r="L2368">
        <f xml:space="preserve"> (交易處理資料__3[[#This Row],[售出工時]] * 60) / 5</f>
        <v>42</v>
      </c>
      <c r="M2368" t="str">
        <f>VLOOKUP(交易處理資料__3[[#This Row],[人員代號]],團隊分組!$B$1:$C$52,2,FALSE)</f>
        <v>查修團隊B</v>
      </c>
      <c r="N2368">
        <f>IF(交易處理資料__3[[#This Row],[上班時間]]=0,0,交易處理資料__3[[#This Row],[售出工時]]/交易處理資料__3[[#This Row],[上班時間]])</f>
        <v>0.38084874863982593</v>
      </c>
      <c r="O2368" s="31" t="str">
        <f>IF(交易處理資料__3[[#This Row],[上班時間]]=0,"否","是")</f>
        <v>是</v>
      </c>
    </row>
    <row r="2369" spans="1:15" hidden="1">
      <c r="A2369" t="s">
        <v>75</v>
      </c>
      <c r="B2369" t="s">
        <v>22</v>
      </c>
      <c r="C2369">
        <v>8.056666667</v>
      </c>
      <c r="D2369">
        <v>5.58</v>
      </c>
      <c r="E2369" s="27">
        <v>144.3847073</v>
      </c>
      <c r="F2369">
        <v>9.25</v>
      </c>
      <c r="G2369">
        <v>0.87</v>
      </c>
      <c r="H2369">
        <v>10.119999999999999</v>
      </c>
      <c r="I2369">
        <v>91.4</v>
      </c>
      <c r="J2369">
        <v>79.61</v>
      </c>
      <c r="K2369" s="9">
        <v>45351</v>
      </c>
      <c r="L2369">
        <f xml:space="preserve"> (交易處理資料__3[[#This Row],[售出工時]] * 60) / 5</f>
        <v>96.680000003999993</v>
      </c>
      <c r="M2369" t="str">
        <f>VLOOKUP(交易處理資料__3[[#This Row],[人員代號]],團隊分組!$B$1:$C$52,2,FALSE)</f>
        <v>快速保養團隊A</v>
      </c>
      <c r="N2369">
        <f>IF(交易處理資料__3[[#This Row],[上班時間]]=0,0,交易處理資料__3[[#This Row],[售出工時]]/交易處理資料__3[[#This Row],[上班時間]])</f>
        <v>0.79611330701581029</v>
      </c>
      <c r="O2369" s="31" t="str">
        <f>IF(交易處理資料__3[[#This Row],[上班時間]]=0,"否","是")</f>
        <v>是</v>
      </c>
    </row>
    <row r="2370" spans="1:15" hidden="1">
      <c r="A2370" t="s">
        <v>75</v>
      </c>
      <c r="B2370" t="s">
        <v>24</v>
      </c>
      <c r="C2370">
        <v>8.2100000000000009</v>
      </c>
      <c r="D2370">
        <v>7.12</v>
      </c>
      <c r="E2370" s="27">
        <v>115.30898879999999</v>
      </c>
      <c r="F2370">
        <v>7.11</v>
      </c>
      <c r="G2370">
        <v>0.89</v>
      </c>
      <c r="H2370">
        <v>8</v>
      </c>
      <c r="I2370">
        <v>88.88</v>
      </c>
      <c r="J2370">
        <v>102.63</v>
      </c>
      <c r="K2370" s="9">
        <v>45351</v>
      </c>
      <c r="L2370">
        <f xml:space="preserve"> (交易處理資料__3[[#This Row],[售出工時]] * 60) / 5</f>
        <v>98.52000000000001</v>
      </c>
      <c r="M2370" t="str">
        <f>VLOOKUP(交易處理資料__3[[#This Row],[人員代號]],團隊分組!$B$1:$C$52,2,FALSE)</f>
        <v>快速保養團隊A</v>
      </c>
      <c r="N2370">
        <f>IF(交易處理資料__3[[#This Row],[上班時間]]=0,0,交易處理資料__3[[#This Row],[售出工時]]/交易處理資料__3[[#This Row],[上班時間]])</f>
        <v>1.0262500000000001</v>
      </c>
      <c r="O2370" s="31" t="str">
        <f>IF(交易處理資料__3[[#This Row],[上班時間]]=0,"否","是")</f>
        <v>是</v>
      </c>
    </row>
    <row r="2371" spans="1:15" hidden="1">
      <c r="A2371" t="s">
        <v>75</v>
      </c>
      <c r="B2371" t="s">
        <v>26</v>
      </c>
      <c r="C2371">
        <v>1.423333333</v>
      </c>
      <c r="D2371">
        <v>7.58</v>
      </c>
      <c r="E2371" s="27">
        <v>18.777484609999998</v>
      </c>
      <c r="F2371">
        <v>0</v>
      </c>
      <c r="G2371">
        <v>9.58</v>
      </c>
      <c r="H2371">
        <v>9.58</v>
      </c>
      <c r="I2371">
        <v>0</v>
      </c>
      <c r="J2371">
        <v>14.86</v>
      </c>
      <c r="K2371" s="9">
        <v>45351</v>
      </c>
      <c r="L2371">
        <f xml:space="preserve"> (交易處理資料__3[[#This Row],[售出工時]] * 60) / 5</f>
        <v>17.079999996000002</v>
      </c>
      <c r="M2371" t="str">
        <f>VLOOKUP(交易處理資料__3[[#This Row],[人員代號]],團隊分組!$B$1:$C$52,2,FALSE)</f>
        <v>查修團隊B</v>
      </c>
      <c r="N2371">
        <f>IF(交易處理資料__3[[#This Row],[上班時間]]=0,0,交易處理資料__3[[#This Row],[售出工時]]/交易處理資料__3[[#This Row],[上班時間]])</f>
        <v>0.14857341680584552</v>
      </c>
      <c r="O2371" s="31" t="str">
        <f>IF(交易處理資料__3[[#This Row],[上班時間]]=0,"否","是")</f>
        <v>是</v>
      </c>
    </row>
    <row r="2372" spans="1:15">
      <c r="A2372" t="s">
        <v>75</v>
      </c>
      <c r="B2372" t="s">
        <v>33</v>
      </c>
      <c r="C2372">
        <v>7.66</v>
      </c>
      <c r="D2372">
        <v>5.4</v>
      </c>
      <c r="E2372" s="27">
        <v>141.85185190000001</v>
      </c>
      <c r="F2372">
        <v>7.92</v>
      </c>
      <c r="G2372">
        <v>0.23</v>
      </c>
      <c r="H2372">
        <v>8.15</v>
      </c>
      <c r="I2372">
        <v>97.18</v>
      </c>
      <c r="J2372">
        <v>93.99</v>
      </c>
      <c r="K2372" s="9">
        <v>45351</v>
      </c>
      <c r="L2372">
        <f xml:space="preserve"> (交易處理資料__3[[#This Row],[售出工時]] * 60) / 5</f>
        <v>91.92</v>
      </c>
      <c r="M2372" t="str">
        <f>VLOOKUP(交易處理資料__3[[#This Row],[人員代號]],團隊分組!$B$1:$C$52,2,FALSE)</f>
        <v>快速保養團隊B</v>
      </c>
      <c r="N2372">
        <f>IF(交易處理資料__3[[#This Row],[上班時間]]=0,0,交易處理資料__3[[#This Row],[售出工時]]/交易處理資料__3[[#This Row],[上班時間]])</f>
        <v>0.93987730061349695</v>
      </c>
      <c r="O2372" s="31" t="str">
        <f>IF(交易處理資料__3[[#This Row],[上班時間]]=0,"否","是")</f>
        <v>是</v>
      </c>
    </row>
    <row r="2373" spans="1:15" hidden="1">
      <c r="A2373" t="s">
        <v>75</v>
      </c>
      <c r="B2373" t="s">
        <v>38</v>
      </c>
      <c r="C2373">
        <v>10.81</v>
      </c>
      <c r="D2373">
        <v>7.15</v>
      </c>
      <c r="E2373" s="27">
        <v>151.1888112</v>
      </c>
      <c r="F2373">
        <v>7.33</v>
      </c>
      <c r="G2373">
        <v>0.82</v>
      </c>
      <c r="H2373">
        <v>8.15</v>
      </c>
      <c r="I2373">
        <v>89.94</v>
      </c>
      <c r="J2373">
        <v>132.63999999999999</v>
      </c>
      <c r="K2373" s="9">
        <v>45351</v>
      </c>
      <c r="L2373">
        <f xml:space="preserve"> (交易處理資料__3[[#This Row],[售出工時]] * 60) / 5</f>
        <v>129.72</v>
      </c>
      <c r="M2373" t="str">
        <f>VLOOKUP(交易處理資料__3[[#This Row],[人員代號]],團隊分組!$B$1:$C$52,2,FALSE)</f>
        <v>快速保養團隊A</v>
      </c>
      <c r="N2373">
        <f>IF(交易處理資料__3[[#This Row],[上班時間]]=0,0,交易處理資料__3[[#This Row],[售出工時]]/交易處理資料__3[[#This Row],[上班時間]])</f>
        <v>1.3263803680981596</v>
      </c>
      <c r="O2373" s="31" t="str">
        <f>IF(交易處理資料__3[[#This Row],[上班時間]]=0,"否","是")</f>
        <v>是</v>
      </c>
    </row>
    <row r="2374" spans="1:15" hidden="1">
      <c r="A2374" t="s">
        <v>75</v>
      </c>
      <c r="B2374" t="s">
        <v>40</v>
      </c>
      <c r="C2374">
        <v>2.5299999999999998</v>
      </c>
      <c r="D2374">
        <v>1.65</v>
      </c>
      <c r="E2374" s="27">
        <v>153.33333329999999</v>
      </c>
      <c r="F2374">
        <v>10.7</v>
      </c>
      <c r="G2374">
        <v>0.4</v>
      </c>
      <c r="H2374">
        <v>11.1</v>
      </c>
      <c r="I2374">
        <v>96.4</v>
      </c>
      <c r="J2374">
        <v>22.79</v>
      </c>
      <c r="K2374" s="9">
        <v>45351</v>
      </c>
      <c r="L2374">
        <f xml:space="preserve"> (交易處理資料__3[[#This Row],[售出工時]] * 60) / 5</f>
        <v>30.359999999999996</v>
      </c>
      <c r="M2374" t="str">
        <f>VLOOKUP(交易處理資料__3[[#This Row],[人員代號]],團隊分組!$B$1:$C$52,2,FALSE)</f>
        <v>查修團隊A</v>
      </c>
      <c r="N2374">
        <f>IF(交易處理資料__3[[#This Row],[上班時間]]=0,0,交易處理資料__3[[#This Row],[售出工時]]/交易處理資料__3[[#This Row],[上班時間]])</f>
        <v>0.22792792792792793</v>
      </c>
      <c r="O2374" s="31" t="str">
        <f>IF(交易處理資料__3[[#This Row],[上班時間]]=0,"否","是")</f>
        <v>是</v>
      </c>
    </row>
    <row r="2375" spans="1:15" hidden="1">
      <c r="A2375" t="s">
        <v>75</v>
      </c>
      <c r="B2375" t="s">
        <v>41</v>
      </c>
      <c r="C2375">
        <v>7.0833333329999997</v>
      </c>
      <c r="D2375">
        <v>6.31</v>
      </c>
      <c r="E2375" s="27">
        <v>112.2556788</v>
      </c>
      <c r="F2375">
        <v>8.4499999999999993</v>
      </c>
      <c r="G2375">
        <v>1.56</v>
      </c>
      <c r="H2375">
        <v>10.01</v>
      </c>
      <c r="I2375">
        <v>84.42</v>
      </c>
      <c r="J2375">
        <v>70.760000000000005</v>
      </c>
      <c r="K2375" s="9">
        <v>45351</v>
      </c>
      <c r="L2375">
        <f xml:space="preserve"> (交易處理資料__3[[#This Row],[售出工時]] * 60) / 5</f>
        <v>84.999999996</v>
      </c>
      <c r="M2375" t="str">
        <f>VLOOKUP(交易處理資料__3[[#This Row],[人員代號]],團隊分組!$B$1:$C$52,2,FALSE)</f>
        <v>快速保養團隊A</v>
      </c>
      <c r="N2375">
        <f>IF(交易處理資料__3[[#This Row],[上班時間]]=0,0,交易處理資料__3[[#This Row],[售出工時]]/交易處理資料__3[[#This Row],[上班時間]])</f>
        <v>0.70762570759240762</v>
      </c>
      <c r="O2375" s="31" t="str">
        <f>IF(交易處理資料__3[[#This Row],[上班時間]]=0,"否","是")</f>
        <v>是</v>
      </c>
    </row>
    <row r="2376" spans="1:15" hidden="1">
      <c r="A2376" t="s">
        <v>75</v>
      </c>
      <c r="B2376" t="s">
        <v>42</v>
      </c>
      <c r="C2376">
        <v>8</v>
      </c>
      <c r="D2376">
        <v>6.28</v>
      </c>
      <c r="E2376" s="27">
        <v>127.388535</v>
      </c>
      <c r="F2376">
        <v>6.28</v>
      </c>
      <c r="G2376">
        <v>1.69</v>
      </c>
      <c r="H2376">
        <v>7.97</v>
      </c>
      <c r="I2376">
        <v>78.8</v>
      </c>
      <c r="J2376">
        <v>100.38</v>
      </c>
      <c r="K2376" s="9">
        <v>45351</v>
      </c>
      <c r="L2376">
        <f xml:space="preserve"> (交易處理資料__3[[#This Row],[售出工時]] * 60) / 5</f>
        <v>96</v>
      </c>
      <c r="M2376" t="str">
        <f>VLOOKUP(交易處理資料__3[[#This Row],[人員代號]],團隊分組!$B$1:$C$52,2,FALSE)</f>
        <v>快速保養團隊A</v>
      </c>
      <c r="N2376">
        <f>IF(交易處理資料__3[[#This Row],[上班時間]]=0,0,交易處理資料__3[[#This Row],[售出工時]]/交易處理資料__3[[#This Row],[上班時間]])</f>
        <v>1.0037641154328734</v>
      </c>
      <c r="O2376" s="31" t="str">
        <f>IF(交易處理資料__3[[#This Row],[上班時間]]=0,"否","是")</f>
        <v>是</v>
      </c>
    </row>
    <row r="2377" spans="1:15" hidden="1">
      <c r="A2377" t="s">
        <v>75</v>
      </c>
      <c r="B2377" t="s">
        <v>44</v>
      </c>
      <c r="C2377">
        <v>0</v>
      </c>
      <c r="D2377">
        <v>0</v>
      </c>
      <c r="E2377" s="2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 s="9">
        <v>45351</v>
      </c>
      <c r="L2377">
        <f xml:space="preserve"> (交易處理資料__3[[#This Row],[售出工時]] * 60) / 5</f>
        <v>0</v>
      </c>
      <c r="M2377" t="str">
        <f>VLOOKUP(交易處理資料__3[[#This Row],[人員代號]],團隊分組!$B$1:$C$52,2,FALSE)</f>
        <v>快速保養團隊B</v>
      </c>
      <c r="N2377">
        <f>IF(交易處理資料__3[[#This Row],[上班時間]]=0,0,交易處理資料__3[[#This Row],[售出工時]]/交易處理資料__3[[#This Row],[上班時間]])</f>
        <v>0</v>
      </c>
      <c r="O2377" s="31" t="str">
        <f>IF(交易處理資料__3[[#This Row],[上班時間]]=0,"否","是")</f>
        <v>否</v>
      </c>
    </row>
    <row r="2378" spans="1:15" hidden="1">
      <c r="A2378" t="s">
        <v>75</v>
      </c>
      <c r="B2378" t="s">
        <v>45</v>
      </c>
      <c r="C2378">
        <v>8.2133333329999996</v>
      </c>
      <c r="D2378">
        <v>5.16</v>
      </c>
      <c r="E2378" s="27">
        <v>159.17312659999999</v>
      </c>
      <c r="F2378">
        <v>7.45</v>
      </c>
      <c r="G2378">
        <v>0.56999999999999995</v>
      </c>
      <c r="H2378">
        <v>8.02</v>
      </c>
      <c r="I2378">
        <v>92.89</v>
      </c>
      <c r="J2378">
        <v>102.41</v>
      </c>
      <c r="K2378" s="9">
        <v>45351</v>
      </c>
      <c r="L2378">
        <f xml:space="preserve"> (交易處理資料__3[[#This Row],[售出工時]] * 60) / 5</f>
        <v>98.559999996000002</v>
      </c>
      <c r="M2378" t="str">
        <f>VLOOKUP(交易處理資料__3[[#This Row],[人員代號]],團隊分組!$B$1:$C$52,2,FALSE)</f>
        <v>快速保養團隊A</v>
      </c>
      <c r="N2378">
        <f>IF(交易處理資料__3[[#This Row],[上班時間]]=0,0,交易處理資料__3[[#This Row],[售出工時]]/交易處理資料__3[[#This Row],[上班時間]])</f>
        <v>1.0241064006234415</v>
      </c>
      <c r="O2378" s="31" t="str">
        <f>IF(交易處理資料__3[[#This Row],[上班時間]]=0,"否","是")</f>
        <v>是</v>
      </c>
    </row>
    <row r="2379" spans="1:15" hidden="1">
      <c r="A2379" t="s">
        <v>75</v>
      </c>
      <c r="B2379" t="s">
        <v>46</v>
      </c>
      <c r="C2379">
        <v>1.75</v>
      </c>
      <c r="D2379">
        <v>2.8</v>
      </c>
      <c r="E2379" s="27">
        <v>62.5</v>
      </c>
      <c r="F2379">
        <v>7.85</v>
      </c>
      <c r="G2379">
        <v>1.46</v>
      </c>
      <c r="H2379">
        <v>9.31</v>
      </c>
      <c r="I2379">
        <v>84.32</v>
      </c>
      <c r="J2379">
        <v>18.8</v>
      </c>
      <c r="K2379" s="9">
        <v>45351</v>
      </c>
      <c r="L2379">
        <f xml:space="preserve"> (交易處理資料__3[[#This Row],[售出工時]] * 60) / 5</f>
        <v>21</v>
      </c>
      <c r="M2379" t="str">
        <f>VLOOKUP(交易處理資料__3[[#This Row],[人員代號]],團隊分組!$B$1:$C$52,2,FALSE)</f>
        <v>查修團隊B</v>
      </c>
      <c r="N2379">
        <f>IF(交易處理資料__3[[#This Row],[上班時間]]=0,0,交易處理資料__3[[#This Row],[售出工時]]/交易處理資料__3[[#This Row],[上班時間]])</f>
        <v>0.18796992481203006</v>
      </c>
      <c r="O2379" s="31" t="str">
        <f>IF(交易處理資料__3[[#This Row],[上班時間]]=0,"否","是")</f>
        <v>是</v>
      </c>
    </row>
    <row r="2380" spans="1:15" hidden="1">
      <c r="A2380" t="s">
        <v>75</v>
      </c>
      <c r="B2380" t="s">
        <v>47</v>
      </c>
      <c r="C2380">
        <v>1.6666666670000001</v>
      </c>
      <c r="D2380">
        <v>1.62</v>
      </c>
      <c r="E2380" s="27">
        <v>102.8806584</v>
      </c>
      <c r="F2380">
        <v>4.96</v>
      </c>
      <c r="G2380">
        <v>4.05</v>
      </c>
      <c r="H2380">
        <v>9.01</v>
      </c>
      <c r="I2380">
        <v>55.05</v>
      </c>
      <c r="J2380">
        <v>18.5</v>
      </c>
      <c r="K2380" s="9">
        <v>45351</v>
      </c>
      <c r="L2380">
        <f xml:space="preserve"> (交易處理資料__3[[#This Row],[售出工時]] * 60) / 5</f>
        <v>20.000000004</v>
      </c>
      <c r="M2380" t="str">
        <f>VLOOKUP(交易處理資料__3[[#This Row],[人員代號]],團隊分組!$B$1:$C$52,2,FALSE)</f>
        <v>查修團隊B</v>
      </c>
      <c r="N2380">
        <f>IF(交易處理資料__3[[#This Row],[上班時間]]=0,0,交易處理資料__3[[#This Row],[售出工時]]/交易處理資料__3[[#This Row],[上班時間]])</f>
        <v>0.18497965227524973</v>
      </c>
      <c r="O2380" s="31" t="str">
        <f>IF(交易處理資料__3[[#This Row],[上班時間]]=0,"否","是")</f>
        <v>是</v>
      </c>
    </row>
    <row r="2381" spans="1:15" hidden="1">
      <c r="A2381" t="s">
        <v>75</v>
      </c>
      <c r="B2381" t="s">
        <v>48</v>
      </c>
      <c r="C2381">
        <v>0</v>
      </c>
      <c r="D2381">
        <v>0</v>
      </c>
      <c r="E2381" s="27">
        <v>0</v>
      </c>
      <c r="F2381">
        <v>7.25</v>
      </c>
      <c r="G2381">
        <v>0.88</v>
      </c>
      <c r="H2381">
        <v>8.1300000000000008</v>
      </c>
      <c r="I2381">
        <v>89.18</v>
      </c>
      <c r="J2381">
        <v>0</v>
      </c>
      <c r="K2381" s="9">
        <v>45351</v>
      </c>
      <c r="L2381">
        <f xml:space="preserve"> (交易處理資料__3[[#This Row],[售出工時]] * 60) / 5</f>
        <v>0</v>
      </c>
      <c r="M2381" t="str">
        <f>VLOOKUP(交易處理資料__3[[#This Row],[人員代號]],團隊分組!$B$1:$C$52,2,FALSE)</f>
        <v>查修團隊A</v>
      </c>
      <c r="N2381">
        <f>IF(交易處理資料__3[[#This Row],[上班時間]]=0,0,交易處理資料__3[[#This Row],[售出工時]]/交易處理資料__3[[#This Row],[上班時間]])</f>
        <v>0</v>
      </c>
      <c r="O2381" s="31" t="str">
        <f>IF(交易處理資料__3[[#This Row],[上班時間]]=0,"否","是")</f>
        <v>是</v>
      </c>
    </row>
    <row r="2382" spans="1:15" hidden="1">
      <c r="A2382" t="s">
        <v>75</v>
      </c>
      <c r="B2382" t="s">
        <v>49</v>
      </c>
      <c r="C2382">
        <v>2.14</v>
      </c>
      <c r="D2382">
        <v>5.48</v>
      </c>
      <c r="E2382" s="27">
        <v>39.051094890000002</v>
      </c>
      <c r="F2382">
        <v>9.66</v>
      </c>
      <c r="G2382">
        <v>0.34</v>
      </c>
      <c r="H2382">
        <v>10</v>
      </c>
      <c r="I2382">
        <v>96.6</v>
      </c>
      <c r="J2382">
        <v>21.4</v>
      </c>
      <c r="K2382" s="9">
        <v>45351</v>
      </c>
      <c r="L2382">
        <f xml:space="preserve"> (交易處理資料__3[[#This Row],[售出工時]] * 60) / 5</f>
        <v>25.68</v>
      </c>
      <c r="M2382" t="str">
        <f>VLOOKUP(交易處理資料__3[[#This Row],[人員代號]],團隊分組!$B$1:$C$52,2,FALSE)</f>
        <v>查修團隊A</v>
      </c>
      <c r="N2382">
        <f>IF(交易處理資料__3[[#This Row],[上班時間]]=0,0,交易處理資料__3[[#This Row],[售出工時]]/交易處理資料__3[[#This Row],[上班時間]])</f>
        <v>0.21400000000000002</v>
      </c>
      <c r="O2382" s="31" t="str">
        <f>IF(交易處理資料__3[[#This Row],[上班時間]]=0,"否","是")</f>
        <v>是</v>
      </c>
    </row>
    <row r="2383" spans="1:15" hidden="1">
      <c r="A2383" t="s">
        <v>75</v>
      </c>
      <c r="B2383" t="s">
        <v>50</v>
      </c>
      <c r="C2383">
        <v>11.91666667</v>
      </c>
      <c r="D2383">
        <v>4.72</v>
      </c>
      <c r="E2383" s="27">
        <v>252.47175139999999</v>
      </c>
      <c r="F2383">
        <v>7.25</v>
      </c>
      <c r="G2383">
        <v>0.8</v>
      </c>
      <c r="H2383">
        <v>8.0500000000000007</v>
      </c>
      <c r="I2383">
        <v>90.06</v>
      </c>
      <c r="J2383">
        <v>148.03</v>
      </c>
      <c r="K2383" s="9">
        <v>45351</v>
      </c>
      <c r="L2383">
        <f xml:space="preserve"> (交易處理資料__3[[#This Row],[售出工時]] * 60) / 5</f>
        <v>143.00000003999997</v>
      </c>
      <c r="M2383" t="str">
        <f>VLOOKUP(交易處理資料__3[[#This Row],[人員代號]],團隊分組!$B$1:$C$52,2,FALSE)</f>
        <v>快速保養團隊B</v>
      </c>
      <c r="N2383">
        <f>IF(交易處理資料__3[[#This Row],[上班時間]]=0,0,交易處理資料__3[[#This Row],[售出工時]]/交易處理資料__3[[#This Row],[上班時間]])</f>
        <v>1.4803312633540371</v>
      </c>
      <c r="O2383" s="31" t="str">
        <f>IF(交易處理資料__3[[#This Row],[上班時間]]=0,"否","是")</f>
        <v>是</v>
      </c>
    </row>
    <row r="2384" spans="1:15" hidden="1">
      <c r="A2384" t="s">
        <v>75</v>
      </c>
      <c r="B2384" t="s">
        <v>52</v>
      </c>
      <c r="C2384">
        <v>1.4166666670000001</v>
      </c>
      <c r="D2384">
        <v>4.83</v>
      </c>
      <c r="E2384" s="27">
        <v>29.33057281</v>
      </c>
      <c r="F2384">
        <v>7.34</v>
      </c>
      <c r="G2384">
        <v>1.83</v>
      </c>
      <c r="H2384">
        <v>9.17</v>
      </c>
      <c r="I2384">
        <v>80.040000000000006</v>
      </c>
      <c r="J2384">
        <v>15.45</v>
      </c>
      <c r="K2384" s="9">
        <v>45351</v>
      </c>
      <c r="L2384">
        <f xml:space="preserve"> (交易處理資料__3[[#This Row],[售出工時]] * 60) / 5</f>
        <v>17.000000004</v>
      </c>
      <c r="M2384" t="str">
        <f>VLOOKUP(交易處理資料__3[[#This Row],[人員代號]],團隊分組!$B$1:$C$52,2,FALSE)</f>
        <v>查修團隊B</v>
      </c>
      <c r="N2384">
        <f>IF(交易處理資料__3[[#This Row],[上班時間]]=0,0,交易處理資料__3[[#This Row],[售出工時]]/交易處理資料__3[[#This Row],[上班時間]])</f>
        <v>0.15448927666303164</v>
      </c>
      <c r="O2384" s="31" t="str">
        <f>IF(交易處理資料__3[[#This Row],[上班時間]]=0,"否","是")</f>
        <v>是</v>
      </c>
    </row>
    <row r="2385" spans="1:15" hidden="1">
      <c r="A2385" t="s">
        <v>75</v>
      </c>
      <c r="B2385" t="s">
        <v>53</v>
      </c>
      <c r="C2385">
        <v>10.83333333</v>
      </c>
      <c r="D2385">
        <v>8.6999999999999993</v>
      </c>
      <c r="E2385" s="27">
        <v>124.5210728</v>
      </c>
      <c r="F2385">
        <v>9.23</v>
      </c>
      <c r="G2385">
        <v>0.77</v>
      </c>
      <c r="H2385">
        <v>10</v>
      </c>
      <c r="I2385">
        <v>92.3</v>
      </c>
      <c r="J2385">
        <v>108.33</v>
      </c>
      <c r="K2385" s="9">
        <v>45351</v>
      </c>
      <c r="L2385">
        <f xml:space="preserve"> (交易處理資料__3[[#This Row],[售出工時]] * 60) / 5</f>
        <v>129.99999996000003</v>
      </c>
      <c r="M2385" t="str">
        <f>VLOOKUP(交易處理資料__3[[#This Row],[人員代號]],團隊分組!$B$1:$C$52,2,FALSE)</f>
        <v>查修團隊A</v>
      </c>
      <c r="N2385">
        <f>IF(交易處理資料__3[[#This Row],[上班時間]]=0,0,交易處理資料__3[[#This Row],[售出工時]]/交易處理資料__3[[#This Row],[上班時間]])</f>
        <v>1.0833333330000001</v>
      </c>
      <c r="O2385" s="31" t="str">
        <f>IF(交易處理資料__3[[#This Row],[上班時間]]=0,"否","是")</f>
        <v>是</v>
      </c>
    </row>
    <row r="2386" spans="1:15" hidden="1">
      <c r="A2386" s="10" t="s">
        <v>73</v>
      </c>
      <c r="B2386" t="s">
        <v>1</v>
      </c>
      <c r="C2386">
        <v>0</v>
      </c>
      <c r="D2386">
        <v>0</v>
      </c>
      <c r="E2386" s="27">
        <v>0</v>
      </c>
      <c r="F2386">
        <v>7.39</v>
      </c>
      <c r="G2386">
        <v>0.65</v>
      </c>
      <c r="H2386">
        <v>8.0399999999999991</v>
      </c>
      <c r="I2386">
        <v>91.92</v>
      </c>
      <c r="J2386">
        <v>0</v>
      </c>
      <c r="K2386" s="9">
        <v>45352</v>
      </c>
      <c r="L2386">
        <f xml:space="preserve"> (交易處理資料__3[[#This Row],[售出工時]] * 60) / 5</f>
        <v>0</v>
      </c>
      <c r="M2386" t="str">
        <f>VLOOKUP(交易處理資料__3[[#This Row],[人員代號]],團隊分組!$B$1:$C$52,2,FALSE)</f>
        <v>噴漆維修組</v>
      </c>
      <c r="N2386">
        <f>IF(交易處理資料__3[[#This Row],[上班時間]]=0,0,交易處理資料__3[[#This Row],[售出工時]]/交易處理資料__3[[#This Row],[上班時間]])</f>
        <v>0</v>
      </c>
      <c r="O2386" s="31" t="str">
        <f>IF(交易處理資料__3[[#This Row],[上班時間]]=0,"否","是")</f>
        <v>是</v>
      </c>
    </row>
    <row r="2387" spans="1:15" hidden="1">
      <c r="A2387" s="10" t="s">
        <v>73</v>
      </c>
      <c r="B2387" t="s">
        <v>2</v>
      </c>
      <c r="C2387">
        <v>0</v>
      </c>
      <c r="D2387">
        <v>0</v>
      </c>
      <c r="E2387" s="27">
        <v>0</v>
      </c>
      <c r="F2387">
        <v>5.4</v>
      </c>
      <c r="G2387">
        <v>2.65</v>
      </c>
      <c r="H2387">
        <v>8.0500000000000007</v>
      </c>
      <c r="I2387">
        <v>67.08</v>
      </c>
      <c r="J2387">
        <v>0</v>
      </c>
      <c r="K2387" s="9">
        <v>45352</v>
      </c>
      <c r="L2387">
        <f xml:space="preserve"> (交易處理資料__3[[#This Row],[售出工時]] * 60) / 5</f>
        <v>0</v>
      </c>
      <c r="M2387" t="str">
        <f>VLOOKUP(交易處理資料__3[[#This Row],[人員代號]],團隊分組!$B$1:$C$52,2,FALSE)</f>
        <v>噴漆維修組</v>
      </c>
      <c r="N2387">
        <f>IF(交易處理資料__3[[#This Row],[上班時間]]=0,0,交易處理資料__3[[#This Row],[售出工時]]/交易處理資料__3[[#This Row],[上班時間]])</f>
        <v>0</v>
      </c>
      <c r="O2387" s="31" t="str">
        <f>IF(交易處理資料__3[[#This Row],[上班時間]]=0,"否","是")</f>
        <v>是</v>
      </c>
    </row>
    <row r="2388" spans="1:15" hidden="1">
      <c r="A2388" s="10" t="s">
        <v>73</v>
      </c>
      <c r="B2388" t="s">
        <v>3</v>
      </c>
      <c r="C2388">
        <v>0</v>
      </c>
      <c r="D2388">
        <v>0</v>
      </c>
      <c r="E2388" s="27">
        <v>0</v>
      </c>
      <c r="F2388">
        <v>5.4</v>
      </c>
      <c r="G2388">
        <v>2.65</v>
      </c>
      <c r="H2388">
        <v>8.0500000000000007</v>
      </c>
      <c r="I2388">
        <v>67.08</v>
      </c>
      <c r="J2388">
        <v>0</v>
      </c>
      <c r="K2388" s="9">
        <v>45352</v>
      </c>
      <c r="L2388">
        <f xml:space="preserve"> (交易處理資料__3[[#This Row],[售出工時]] * 60) / 5</f>
        <v>0</v>
      </c>
      <c r="M2388" t="str">
        <f>VLOOKUP(交易處理資料__3[[#This Row],[人員代號]],團隊分組!$B$1:$C$52,2,FALSE)</f>
        <v>噴漆維修組</v>
      </c>
      <c r="N2388">
        <f>IF(交易處理資料__3[[#This Row],[上班時間]]=0,0,交易處理資料__3[[#This Row],[售出工時]]/交易處理資料__3[[#This Row],[上班時間]])</f>
        <v>0</v>
      </c>
      <c r="O2388" s="31" t="str">
        <f>IF(交易處理資料__3[[#This Row],[上班時間]]=0,"否","是")</f>
        <v>是</v>
      </c>
    </row>
    <row r="2389" spans="1:15" hidden="1">
      <c r="A2389" s="10" t="s">
        <v>73</v>
      </c>
      <c r="B2389" t="s">
        <v>4</v>
      </c>
      <c r="C2389">
        <v>0</v>
      </c>
      <c r="D2389">
        <v>0</v>
      </c>
      <c r="E2389" s="27">
        <v>0</v>
      </c>
      <c r="F2389">
        <v>7.54</v>
      </c>
      <c r="G2389">
        <v>0.55000000000000004</v>
      </c>
      <c r="H2389">
        <v>8.09</v>
      </c>
      <c r="I2389">
        <v>93.2</v>
      </c>
      <c r="J2389">
        <v>0</v>
      </c>
      <c r="K2389" s="9">
        <v>45352</v>
      </c>
      <c r="L2389">
        <f xml:space="preserve"> (交易處理資料__3[[#This Row],[售出工時]] * 60) / 5</f>
        <v>0</v>
      </c>
      <c r="M2389" t="str">
        <f>VLOOKUP(交易處理資料__3[[#This Row],[人員代號]],團隊分組!$B$1:$C$52,2,FALSE)</f>
        <v>噴漆維修組</v>
      </c>
      <c r="N2389">
        <f>IF(交易處理資料__3[[#This Row],[上班時間]]=0,0,交易處理資料__3[[#This Row],[售出工時]]/交易處理資料__3[[#This Row],[上班時間]])</f>
        <v>0</v>
      </c>
      <c r="O2389" s="31" t="str">
        <f>IF(交易處理資料__3[[#This Row],[上班時間]]=0,"否","是")</f>
        <v>是</v>
      </c>
    </row>
    <row r="2390" spans="1:15" hidden="1">
      <c r="A2390" s="10" t="s">
        <v>73</v>
      </c>
      <c r="B2390" t="s">
        <v>5</v>
      </c>
      <c r="C2390">
        <v>0</v>
      </c>
      <c r="D2390">
        <v>0</v>
      </c>
      <c r="E2390" s="27">
        <v>0</v>
      </c>
      <c r="F2390">
        <v>7.76</v>
      </c>
      <c r="G2390">
        <v>0.25</v>
      </c>
      <c r="H2390">
        <v>8.01</v>
      </c>
      <c r="I2390">
        <v>96.88</v>
      </c>
      <c r="J2390">
        <v>0</v>
      </c>
      <c r="K2390" s="9">
        <v>45352</v>
      </c>
      <c r="L2390">
        <f xml:space="preserve"> (交易處理資料__3[[#This Row],[售出工時]] * 60) / 5</f>
        <v>0</v>
      </c>
      <c r="M2390" t="str">
        <f>VLOOKUP(交易處理資料__3[[#This Row],[人員代號]],團隊分組!$B$1:$C$52,2,FALSE)</f>
        <v>噴漆維修組</v>
      </c>
      <c r="N2390">
        <f>IF(交易處理資料__3[[#This Row],[上班時間]]=0,0,交易處理資料__3[[#This Row],[售出工時]]/交易處理資料__3[[#This Row],[上班時間]])</f>
        <v>0</v>
      </c>
      <c r="O2390" s="31" t="str">
        <f>IF(交易處理資料__3[[#This Row],[上班時間]]=0,"否","是")</f>
        <v>是</v>
      </c>
    </row>
    <row r="2391" spans="1:15" hidden="1">
      <c r="A2391" s="10" t="s">
        <v>73</v>
      </c>
      <c r="B2391" t="s">
        <v>6</v>
      </c>
      <c r="C2391">
        <v>0</v>
      </c>
      <c r="D2391">
        <v>0</v>
      </c>
      <c r="E2391" s="27">
        <v>0</v>
      </c>
      <c r="F2391">
        <v>5.4</v>
      </c>
      <c r="G2391">
        <v>2.65</v>
      </c>
      <c r="H2391">
        <v>8.0500000000000007</v>
      </c>
      <c r="I2391">
        <v>67.08</v>
      </c>
      <c r="J2391">
        <v>0</v>
      </c>
      <c r="K2391" s="9">
        <v>45352</v>
      </c>
      <c r="L2391">
        <f xml:space="preserve"> (交易處理資料__3[[#This Row],[售出工時]] * 60) / 5</f>
        <v>0</v>
      </c>
      <c r="M2391" t="str">
        <f>VLOOKUP(交易處理資料__3[[#This Row],[人員代號]],團隊分組!$B$1:$C$52,2,FALSE)</f>
        <v>噴漆維修組</v>
      </c>
      <c r="N2391">
        <f>IF(交易處理資料__3[[#This Row],[上班時間]]=0,0,交易處理資料__3[[#This Row],[售出工時]]/交易處理資料__3[[#This Row],[上班時間]])</f>
        <v>0</v>
      </c>
      <c r="O2391" s="31" t="str">
        <f>IF(交易處理資料__3[[#This Row],[上班時間]]=0,"否","是")</f>
        <v>是</v>
      </c>
    </row>
    <row r="2392" spans="1:15" hidden="1">
      <c r="A2392" s="10" t="s">
        <v>73</v>
      </c>
      <c r="B2392" t="s">
        <v>7</v>
      </c>
      <c r="C2392">
        <v>0</v>
      </c>
      <c r="D2392">
        <v>0</v>
      </c>
      <c r="E2392" s="27">
        <v>0</v>
      </c>
      <c r="F2392">
        <v>7.78</v>
      </c>
      <c r="G2392">
        <v>0.23</v>
      </c>
      <c r="H2392">
        <v>8.01</v>
      </c>
      <c r="I2392">
        <v>97.13</v>
      </c>
      <c r="J2392">
        <v>0</v>
      </c>
      <c r="K2392" s="9">
        <v>45352</v>
      </c>
      <c r="L2392">
        <f xml:space="preserve"> (交易處理資料__3[[#This Row],[售出工時]] * 60) / 5</f>
        <v>0</v>
      </c>
      <c r="M2392" t="str">
        <f>VLOOKUP(交易處理資料__3[[#This Row],[人員代號]],團隊分組!$B$1:$C$52,2,FALSE)</f>
        <v>噴漆維修組</v>
      </c>
      <c r="N2392">
        <f>IF(交易處理資料__3[[#This Row],[上班時間]]=0,0,交易處理資料__3[[#This Row],[售出工時]]/交易處理資料__3[[#This Row],[上班時間]])</f>
        <v>0</v>
      </c>
      <c r="O2392" s="31" t="str">
        <f>IF(交易處理資料__3[[#This Row],[上班時間]]=0,"否","是")</f>
        <v>是</v>
      </c>
    </row>
    <row r="2393" spans="1:15" hidden="1">
      <c r="A2393" s="10" t="s">
        <v>73</v>
      </c>
      <c r="B2393" t="s">
        <v>8</v>
      </c>
      <c r="C2393">
        <v>0</v>
      </c>
      <c r="D2393">
        <v>0</v>
      </c>
      <c r="E2393" s="27">
        <v>0</v>
      </c>
      <c r="F2393">
        <v>7.52</v>
      </c>
      <c r="G2393">
        <v>0.55000000000000004</v>
      </c>
      <c r="H2393">
        <v>8.07</v>
      </c>
      <c r="I2393">
        <v>93.18</v>
      </c>
      <c r="J2393">
        <v>0</v>
      </c>
      <c r="K2393" s="9">
        <v>45352</v>
      </c>
      <c r="L2393">
        <f xml:space="preserve"> (交易處理資料__3[[#This Row],[售出工時]] * 60) / 5</f>
        <v>0</v>
      </c>
      <c r="M2393" t="str">
        <f>VLOOKUP(交易處理資料__3[[#This Row],[人員代號]],團隊分組!$B$1:$C$52,2,FALSE)</f>
        <v>噴漆維修組</v>
      </c>
      <c r="N2393">
        <f>IF(交易處理資料__3[[#This Row],[上班時間]]=0,0,交易處理資料__3[[#This Row],[售出工時]]/交易處理資料__3[[#This Row],[上班時間]])</f>
        <v>0</v>
      </c>
      <c r="O2393" s="31" t="str">
        <f>IF(交易處理資料__3[[#This Row],[上班時間]]=0,"否","是")</f>
        <v>是</v>
      </c>
    </row>
    <row r="2394" spans="1:15" hidden="1">
      <c r="A2394" s="10" t="s">
        <v>73</v>
      </c>
      <c r="B2394" t="s">
        <v>9</v>
      </c>
      <c r="C2394">
        <v>0</v>
      </c>
      <c r="D2394">
        <v>0</v>
      </c>
      <c r="E2394" s="27">
        <v>0</v>
      </c>
      <c r="F2394">
        <v>9.73</v>
      </c>
      <c r="G2394">
        <v>0.45</v>
      </c>
      <c r="H2394">
        <v>10.18</v>
      </c>
      <c r="I2394">
        <v>95.58</v>
      </c>
      <c r="J2394">
        <v>0</v>
      </c>
      <c r="K2394" s="9">
        <v>45352</v>
      </c>
      <c r="L2394">
        <f xml:space="preserve"> (交易處理資料__3[[#This Row],[售出工時]] * 60) / 5</f>
        <v>0</v>
      </c>
      <c r="M2394" t="str">
        <f>VLOOKUP(交易處理資料__3[[#This Row],[人員代號]],團隊分組!$B$1:$C$52,2,FALSE)</f>
        <v>噴漆維修組</v>
      </c>
      <c r="N2394">
        <f>IF(交易處理資料__3[[#This Row],[上班時間]]=0,0,交易處理資料__3[[#This Row],[售出工時]]/交易處理資料__3[[#This Row],[上班時間]])</f>
        <v>0</v>
      </c>
      <c r="O2394" s="31" t="str">
        <f>IF(交易處理資料__3[[#This Row],[上班時間]]=0,"否","是")</f>
        <v>是</v>
      </c>
    </row>
    <row r="2395" spans="1:15" hidden="1">
      <c r="A2395" t="s">
        <v>74</v>
      </c>
      <c r="B2395" t="s">
        <v>11</v>
      </c>
      <c r="C2395">
        <v>0</v>
      </c>
      <c r="D2395">
        <v>0</v>
      </c>
      <c r="E2395" s="27">
        <v>0</v>
      </c>
      <c r="F2395">
        <v>3.83</v>
      </c>
      <c r="G2395">
        <v>4.2300000000000004</v>
      </c>
      <c r="H2395">
        <v>8.06</v>
      </c>
      <c r="I2395">
        <v>47.52</v>
      </c>
      <c r="J2395">
        <v>0</v>
      </c>
      <c r="K2395" s="9">
        <v>45352</v>
      </c>
      <c r="L2395">
        <f xml:space="preserve"> (交易處理資料__3[[#This Row],[售出工時]] * 60) / 5</f>
        <v>0</v>
      </c>
      <c r="M2395" t="str">
        <f>VLOOKUP(交易處理資料__3[[#This Row],[人員代號]],團隊分組!$B$1:$C$52,2,FALSE)</f>
        <v>鈑金維修組</v>
      </c>
      <c r="N2395">
        <f>IF(交易處理資料__3[[#This Row],[上班時間]]=0,0,交易處理資料__3[[#This Row],[售出工時]]/交易處理資料__3[[#This Row],[上班時間]])</f>
        <v>0</v>
      </c>
      <c r="O2395" s="31" t="str">
        <f>IF(交易處理資料__3[[#This Row],[上班時間]]=0,"否","是")</f>
        <v>是</v>
      </c>
    </row>
    <row r="2396" spans="1:15" hidden="1">
      <c r="A2396" t="s">
        <v>74</v>
      </c>
      <c r="B2396" t="s">
        <v>12</v>
      </c>
      <c r="C2396">
        <v>0</v>
      </c>
      <c r="D2396">
        <v>0</v>
      </c>
      <c r="E2396" s="27">
        <v>0</v>
      </c>
      <c r="F2396">
        <v>3.03</v>
      </c>
      <c r="G2396">
        <v>5.03</v>
      </c>
      <c r="H2396">
        <v>8.06</v>
      </c>
      <c r="I2396">
        <v>37.590000000000003</v>
      </c>
      <c r="J2396">
        <v>0</v>
      </c>
      <c r="K2396" s="9">
        <v>45352</v>
      </c>
      <c r="L2396">
        <f xml:space="preserve"> (交易處理資料__3[[#This Row],[售出工時]] * 60) / 5</f>
        <v>0</v>
      </c>
      <c r="M2396" t="str">
        <f>VLOOKUP(交易處理資料__3[[#This Row],[人員代號]],團隊分組!$B$1:$C$52,2,FALSE)</f>
        <v>鈑金維修組</v>
      </c>
      <c r="N2396">
        <f>IF(交易處理資料__3[[#This Row],[上班時間]]=0,0,交易處理資料__3[[#This Row],[售出工時]]/交易處理資料__3[[#This Row],[上班時間]])</f>
        <v>0</v>
      </c>
      <c r="O2396" s="31" t="str">
        <f>IF(交易處理資料__3[[#This Row],[上班時間]]=0,"否","是")</f>
        <v>是</v>
      </c>
    </row>
    <row r="2397" spans="1:15" hidden="1">
      <c r="A2397" t="s">
        <v>74</v>
      </c>
      <c r="B2397" t="s">
        <v>13</v>
      </c>
      <c r="C2397">
        <v>0</v>
      </c>
      <c r="D2397">
        <v>0</v>
      </c>
      <c r="E2397" s="27">
        <v>0</v>
      </c>
      <c r="F2397">
        <v>5.0599999999999996</v>
      </c>
      <c r="G2397">
        <v>3.09</v>
      </c>
      <c r="H2397">
        <v>8.15</v>
      </c>
      <c r="I2397">
        <v>62.09</v>
      </c>
      <c r="J2397">
        <v>0</v>
      </c>
      <c r="K2397" s="9">
        <v>45352</v>
      </c>
      <c r="L2397">
        <f xml:space="preserve"> (交易處理資料__3[[#This Row],[售出工時]] * 60) / 5</f>
        <v>0</v>
      </c>
      <c r="M2397" t="str">
        <f>VLOOKUP(交易處理資料__3[[#This Row],[人員代號]],團隊分組!$B$1:$C$52,2,FALSE)</f>
        <v>鈑金維修組</v>
      </c>
      <c r="N2397">
        <f>IF(交易處理資料__3[[#This Row],[上班時間]]=0,0,交易處理資料__3[[#This Row],[售出工時]]/交易處理資料__3[[#This Row],[上班時間]])</f>
        <v>0</v>
      </c>
      <c r="O2397" s="31" t="str">
        <f>IF(交易處理資料__3[[#This Row],[上班時間]]=0,"否","是")</f>
        <v>是</v>
      </c>
    </row>
    <row r="2398" spans="1:15" hidden="1">
      <c r="A2398" t="s">
        <v>74</v>
      </c>
      <c r="B2398" t="s">
        <v>14</v>
      </c>
      <c r="C2398">
        <v>0</v>
      </c>
      <c r="D2398">
        <v>0</v>
      </c>
      <c r="E2398" s="27">
        <v>0</v>
      </c>
      <c r="F2398">
        <v>5.42</v>
      </c>
      <c r="G2398">
        <v>2.73</v>
      </c>
      <c r="H2398">
        <v>8.15</v>
      </c>
      <c r="I2398">
        <v>66.5</v>
      </c>
      <c r="J2398">
        <v>0</v>
      </c>
      <c r="K2398" s="9">
        <v>45352</v>
      </c>
      <c r="L2398">
        <f xml:space="preserve"> (交易處理資料__3[[#This Row],[售出工時]] * 60) / 5</f>
        <v>0</v>
      </c>
      <c r="M2398" t="str">
        <f>VLOOKUP(交易處理資料__3[[#This Row],[人員代號]],團隊分組!$B$1:$C$52,2,FALSE)</f>
        <v>鈑金維修組</v>
      </c>
      <c r="N2398">
        <f>IF(交易處理資料__3[[#This Row],[上班時間]]=0,0,交易處理資料__3[[#This Row],[售出工時]]/交易處理資料__3[[#This Row],[上班時間]])</f>
        <v>0</v>
      </c>
      <c r="O2398" s="31" t="str">
        <f>IF(交易處理資料__3[[#This Row],[上班時間]]=0,"否","是")</f>
        <v>是</v>
      </c>
    </row>
    <row r="2399" spans="1:15" hidden="1">
      <c r="A2399" t="s">
        <v>74</v>
      </c>
      <c r="B2399" t="s">
        <v>15</v>
      </c>
      <c r="C2399">
        <v>0</v>
      </c>
      <c r="D2399">
        <v>0</v>
      </c>
      <c r="E2399" s="27">
        <v>0</v>
      </c>
      <c r="F2399">
        <v>0</v>
      </c>
      <c r="G2399">
        <v>0.02</v>
      </c>
      <c r="H2399">
        <v>0.02</v>
      </c>
      <c r="I2399">
        <v>0</v>
      </c>
      <c r="J2399">
        <v>0</v>
      </c>
      <c r="K2399" s="9">
        <v>45352</v>
      </c>
      <c r="L2399">
        <f xml:space="preserve"> (交易處理資料__3[[#This Row],[售出工時]] * 60) / 5</f>
        <v>0</v>
      </c>
      <c r="M2399" t="str">
        <f>VLOOKUP(交易處理資料__3[[#This Row],[人員代號]],團隊分組!$B$1:$C$52,2,FALSE)</f>
        <v>鈑金維修組</v>
      </c>
      <c r="N2399">
        <f>IF(交易處理資料__3[[#This Row],[上班時間]]=0,0,交易處理資料__3[[#This Row],[售出工時]]/交易處理資料__3[[#This Row],[上班時間]])</f>
        <v>0</v>
      </c>
      <c r="O2399" s="31" t="str">
        <f>IF(交易處理資料__3[[#This Row],[上班時間]]=0,"否","是")</f>
        <v>是</v>
      </c>
    </row>
    <row r="2400" spans="1:15" hidden="1">
      <c r="A2400" t="s">
        <v>75</v>
      </c>
      <c r="B2400" t="s">
        <v>17</v>
      </c>
      <c r="C2400">
        <v>0</v>
      </c>
      <c r="D2400">
        <v>0</v>
      </c>
      <c r="E2400" s="27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 s="9">
        <v>45352</v>
      </c>
      <c r="L2400">
        <f xml:space="preserve"> (交易處理資料__3[[#This Row],[售出工時]] * 60) / 5</f>
        <v>0</v>
      </c>
      <c r="M2400" t="str">
        <f>VLOOKUP(交易處理資料__3[[#This Row],[人員代號]],團隊分組!$B$1:$C$52,2,FALSE)</f>
        <v>快速保養團隊A</v>
      </c>
      <c r="N2400">
        <f>IF(交易處理資料__3[[#This Row],[上班時間]]=0,0,交易處理資料__3[[#This Row],[售出工時]]/交易處理資料__3[[#This Row],[上班時間]])</f>
        <v>0</v>
      </c>
      <c r="O2400" s="31" t="str">
        <f>IF(交易處理資料__3[[#This Row],[上班時間]]=0,"否","是")</f>
        <v>否</v>
      </c>
    </row>
    <row r="2401" spans="1:15" hidden="1">
      <c r="A2401" t="s">
        <v>75</v>
      </c>
      <c r="B2401" t="s">
        <v>18</v>
      </c>
      <c r="C2401">
        <v>1.8333333329999999</v>
      </c>
      <c r="D2401">
        <v>0.68</v>
      </c>
      <c r="E2401" s="27">
        <v>269.60784310000003</v>
      </c>
      <c r="F2401">
        <v>7.92</v>
      </c>
      <c r="G2401">
        <v>0.49</v>
      </c>
      <c r="H2401">
        <v>8.41</v>
      </c>
      <c r="I2401">
        <v>94.17</v>
      </c>
      <c r="J2401">
        <v>21.8</v>
      </c>
      <c r="K2401" s="9">
        <v>45352</v>
      </c>
      <c r="L2401">
        <f xml:space="preserve"> (交易處理資料__3[[#This Row],[售出工時]] * 60) / 5</f>
        <v>21.999999996</v>
      </c>
      <c r="M2401" t="str">
        <f>VLOOKUP(交易處理資料__3[[#This Row],[人員代號]],團隊分組!$B$1:$C$52,2,FALSE)</f>
        <v>查修團隊B</v>
      </c>
      <c r="N2401">
        <f>IF(交易處理資料__3[[#This Row],[上班時間]]=0,0,交易處理資料__3[[#This Row],[售出工時]]/交易處理資料__3[[#This Row],[上班時間]])</f>
        <v>0.21799445101070153</v>
      </c>
      <c r="O2401" s="31" t="str">
        <f>IF(交易處理資料__3[[#This Row],[上班時間]]=0,"否","是")</f>
        <v>是</v>
      </c>
    </row>
    <row r="2402" spans="1:15" hidden="1">
      <c r="A2402" t="s">
        <v>75</v>
      </c>
      <c r="B2402" t="s">
        <v>22</v>
      </c>
      <c r="C2402">
        <v>10.66666667</v>
      </c>
      <c r="D2402">
        <v>7.32</v>
      </c>
      <c r="E2402" s="27">
        <v>145.71949000000001</v>
      </c>
      <c r="F2402">
        <v>10.17</v>
      </c>
      <c r="G2402">
        <v>0.72</v>
      </c>
      <c r="H2402">
        <v>10.89</v>
      </c>
      <c r="I2402">
        <v>93.39</v>
      </c>
      <c r="J2402">
        <v>97.95</v>
      </c>
      <c r="K2402" s="9">
        <v>45352</v>
      </c>
      <c r="L2402">
        <f xml:space="preserve"> (交易處理資料__3[[#This Row],[售出工時]] * 60) / 5</f>
        <v>128.00000003999997</v>
      </c>
      <c r="M2402" t="str">
        <f>VLOOKUP(交易處理資料__3[[#This Row],[人員代號]],團隊分組!$B$1:$C$52,2,FALSE)</f>
        <v>快速保養團隊A</v>
      </c>
      <c r="N2402">
        <f>IF(交易處理資料__3[[#This Row],[上班時間]]=0,0,交易處理資料__3[[#This Row],[售出工時]]/交易處理資料__3[[#This Row],[上班時間]])</f>
        <v>0.97949188888888883</v>
      </c>
      <c r="O2402" s="31" t="str">
        <f>IF(交易處理資料__3[[#This Row],[上班時間]]=0,"否","是")</f>
        <v>是</v>
      </c>
    </row>
    <row r="2403" spans="1:15" hidden="1">
      <c r="A2403" t="s">
        <v>75</v>
      </c>
      <c r="B2403" t="s">
        <v>24</v>
      </c>
      <c r="C2403">
        <v>3.74</v>
      </c>
      <c r="D2403">
        <v>5.39</v>
      </c>
      <c r="E2403" s="27">
        <v>69.387755100000007</v>
      </c>
      <c r="F2403">
        <v>7.1</v>
      </c>
      <c r="G2403">
        <v>0.64</v>
      </c>
      <c r="H2403">
        <v>7.74</v>
      </c>
      <c r="I2403">
        <v>91.73</v>
      </c>
      <c r="J2403">
        <v>48.32</v>
      </c>
      <c r="K2403" s="9">
        <v>45352</v>
      </c>
      <c r="L2403">
        <f xml:space="preserve"> (交易處理資料__3[[#This Row],[售出工時]] * 60) / 5</f>
        <v>44.88</v>
      </c>
      <c r="M2403" t="str">
        <f>VLOOKUP(交易處理資料__3[[#This Row],[人員代號]],團隊分組!$B$1:$C$52,2,FALSE)</f>
        <v>快速保養團隊A</v>
      </c>
      <c r="N2403">
        <f>IF(交易處理資料__3[[#This Row],[上班時間]]=0,0,交易處理資料__3[[#This Row],[售出工時]]/交易處理資料__3[[#This Row],[上班時間]])</f>
        <v>0.48320413436692505</v>
      </c>
      <c r="O2403" s="31" t="str">
        <f>IF(交易處理資料__3[[#This Row],[上班時間]]=0,"否","是")</f>
        <v>是</v>
      </c>
    </row>
    <row r="2404" spans="1:15" hidden="1">
      <c r="A2404" t="s">
        <v>75</v>
      </c>
      <c r="B2404" t="s">
        <v>25</v>
      </c>
      <c r="C2404">
        <v>1</v>
      </c>
      <c r="D2404">
        <v>3.02</v>
      </c>
      <c r="E2404" s="27">
        <v>33.112582779999997</v>
      </c>
      <c r="F2404">
        <v>8.25</v>
      </c>
      <c r="G2404">
        <v>1.7</v>
      </c>
      <c r="H2404">
        <v>9.9499999999999993</v>
      </c>
      <c r="I2404">
        <v>82.91</v>
      </c>
      <c r="J2404">
        <v>10.050000000000001</v>
      </c>
      <c r="K2404" s="9">
        <v>45352</v>
      </c>
      <c r="L2404">
        <f xml:space="preserve"> (交易處理資料__3[[#This Row],[售出工時]] * 60) / 5</f>
        <v>12</v>
      </c>
      <c r="M2404" t="str">
        <f>VLOOKUP(交易處理資料__3[[#This Row],[人員代號]],團隊分組!$B$1:$C$52,2,FALSE)</f>
        <v>查修團隊A</v>
      </c>
      <c r="N2404">
        <f>IF(交易處理資料__3[[#This Row],[上班時間]]=0,0,交易處理資料__3[[#This Row],[售出工時]]/交易處理資料__3[[#This Row],[上班時間]])</f>
        <v>0.10050251256281408</v>
      </c>
      <c r="O2404" s="31" t="str">
        <f>IF(交易處理資料__3[[#This Row],[上班時間]]=0,"否","是")</f>
        <v>是</v>
      </c>
    </row>
    <row r="2405" spans="1:15" hidden="1">
      <c r="A2405" t="s">
        <v>75</v>
      </c>
      <c r="B2405" t="s">
        <v>26</v>
      </c>
      <c r="C2405">
        <v>0.22</v>
      </c>
      <c r="D2405">
        <v>0.67</v>
      </c>
      <c r="E2405" s="27">
        <v>32.835820900000002</v>
      </c>
      <c r="F2405">
        <v>1.32</v>
      </c>
      <c r="G2405">
        <v>7.08</v>
      </c>
      <c r="H2405">
        <v>8.4</v>
      </c>
      <c r="I2405">
        <v>15.71</v>
      </c>
      <c r="J2405">
        <v>2.62</v>
      </c>
      <c r="K2405" s="9">
        <v>45352</v>
      </c>
      <c r="L2405">
        <f xml:space="preserve"> (交易處理資料__3[[#This Row],[售出工時]] * 60) / 5</f>
        <v>2.6399999999999997</v>
      </c>
      <c r="M2405" t="str">
        <f>VLOOKUP(交易處理資料__3[[#This Row],[人員代號]],團隊分組!$B$1:$C$52,2,FALSE)</f>
        <v>查修團隊B</v>
      </c>
      <c r="N2405">
        <f>IF(交易處理資料__3[[#This Row],[上班時間]]=0,0,交易處理資料__3[[#This Row],[售出工時]]/交易處理資料__3[[#This Row],[上班時間]])</f>
        <v>2.6190476190476191E-2</v>
      </c>
      <c r="O2405" s="31" t="str">
        <f>IF(交易處理資料__3[[#This Row],[上班時間]]=0,"否","是")</f>
        <v>是</v>
      </c>
    </row>
    <row r="2406" spans="1:15" hidden="1">
      <c r="A2406" t="s">
        <v>75</v>
      </c>
      <c r="B2406" t="s">
        <v>27</v>
      </c>
      <c r="C2406">
        <v>5.4366666669999999</v>
      </c>
      <c r="D2406">
        <v>6.75</v>
      </c>
      <c r="E2406" s="27">
        <v>80.543209880000006</v>
      </c>
      <c r="F2406">
        <v>7.7</v>
      </c>
      <c r="G2406">
        <v>0.31</v>
      </c>
      <c r="H2406">
        <v>8.01</v>
      </c>
      <c r="I2406">
        <v>96.13</v>
      </c>
      <c r="J2406">
        <v>67.87</v>
      </c>
      <c r="K2406" s="9">
        <v>45352</v>
      </c>
      <c r="L2406">
        <f xml:space="preserve"> (交易處理資料__3[[#This Row],[售出工時]] * 60) / 5</f>
        <v>65.240000003999995</v>
      </c>
      <c r="M2406" t="str">
        <f>VLOOKUP(交易處理資料__3[[#This Row],[人員代號]],團隊分組!$B$1:$C$52,2,FALSE)</f>
        <v>快速保養團隊B</v>
      </c>
      <c r="N2406">
        <f>IF(交易處理資料__3[[#This Row],[上班時間]]=0,0,交易處理資料__3[[#This Row],[售出工時]]/交易處理資料__3[[#This Row],[上班時間]])</f>
        <v>0.67873491473158554</v>
      </c>
      <c r="O2406" s="31" t="str">
        <f>IF(交易處理資料__3[[#This Row],[上班時間]]=0,"否","是")</f>
        <v>是</v>
      </c>
    </row>
    <row r="2407" spans="1:15" hidden="1">
      <c r="A2407" t="s">
        <v>75</v>
      </c>
      <c r="B2407" t="s">
        <v>28</v>
      </c>
      <c r="C2407">
        <v>4.59</v>
      </c>
      <c r="D2407">
        <v>5.42</v>
      </c>
      <c r="E2407" s="27">
        <v>84.68634686</v>
      </c>
      <c r="F2407">
        <v>7.13</v>
      </c>
      <c r="G2407">
        <v>0.63</v>
      </c>
      <c r="H2407">
        <v>7.76</v>
      </c>
      <c r="I2407">
        <v>91.88</v>
      </c>
      <c r="J2407">
        <v>59.15</v>
      </c>
      <c r="K2407" s="9">
        <v>45352</v>
      </c>
      <c r="L2407">
        <f xml:space="preserve"> (交易處理資料__3[[#This Row],[售出工時]] * 60) / 5</f>
        <v>55.08</v>
      </c>
      <c r="M2407" t="str">
        <f>VLOOKUP(交易處理資料__3[[#This Row],[人員代號]],團隊分組!$B$1:$C$52,2,FALSE)</f>
        <v>快速保養團隊A</v>
      </c>
      <c r="N2407">
        <f>IF(交易處理資料__3[[#This Row],[上班時間]]=0,0,交易處理資料__3[[#This Row],[售出工時]]/交易處理資料__3[[#This Row],[上班時間]])</f>
        <v>0.59149484536082475</v>
      </c>
      <c r="O2407" s="31" t="str">
        <f>IF(交易處理資料__3[[#This Row],[上班時間]]=0,"否","是")</f>
        <v>是</v>
      </c>
    </row>
    <row r="2408" spans="1:15" hidden="1">
      <c r="A2408" t="s">
        <v>75</v>
      </c>
      <c r="B2408" t="s">
        <v>30</v>
      </c>
      <c r="C2408">
        <v>3.03</v>
      </c>
      <c r="D2408">
        <v>2.08</v>
      </c>
      <c r="E2408" s="27">
        <v>145.67307690000001</v>
      </c>
      <c r="F2408">
        <v>7.69</v>
      </c>
      <c r="G2408">
        <v>0.32</v>
      </c>
      <c r="H2408">
        <v>8.01</v>
      </c>
      <c r="I2408">
        <v>96</v>
      </c>
      <c r="J2408">
        <v>37.83</v>
      </c>
      <c r="K2408" s="9">
        <v>45352</v>
      </c>
      <c r="L2408">
        <f xml:space="preserve"> (交易處理資料__3[[#This Row],[售出工時]] * 60) / 5</f>
        <v>36.36</v>
      </c>
      <c r="M2408" t="str">
        <f>VLOOKUP(交易處理資料__3[[#This Row],[人員代號]],團隊分組!$B$1:$C$52,2,FALSE)</f>
        <v>快速保養團隊B</v>
      </c>
      <c r="N2408">
        <f>IF(交易處理資料__3[[#This Row],[上班時間]]=0,0,交易處理資料__3[[#This Row],[售出工時]]/交易處理資料__3[[#This Row],[上班時間]])</f>
        <v>0.37827715355805241</v>
      </c>
      <c r="O2408" s="31" t="str">
        <f>IF(交易處理資料__3[[#This Row],[上班時間]]=0,"否","是")</f>
        <v>是</v>
      </c>
    </row>
    <row r="2409" spans="1:15">
      <c r="A2409" t="s">
        <v>75</v>
      </c>
      <c r="B2409" t="s">
        <v>33</v>
      </c>
      <c r="C2409">
        <v>9.1666666669999994</v>
      </c>
      <c r="D2409">
        <v>5.62</v>
      </c>
      <c r="E2409" s="27">
        <v>163.10794780000001</v>
      </c>
      <c r="F2409">
        <v>7.23</v>
      </c>
      <c r="G2409">
        <v>0.76</v>
      </c>
      <c r="H2409">
        <v>7.99</v>
      </c>
      <c r="I2409">
        <v>90.49</v>
      </c>
      <c r="J2409">
        <v>114.73</v>
      </c>
      <c r="K2409" s="9">
        <v>45352</v>
      </c>
      <c r="L2409">
        <f xml:space="preserve"> (交易處理資料__3[[#This Row],[售出工時]] * 60) / 5</f>
        <v>110.000000004</v>
      </c>
      <c r="M2409" t="str">
        <f>VLOOKUP(交易處理資料__3[[#This Row],[人員代號]],團隊分組!$B$1:$C$52,2,FALSE)</f>
        <v>快速保養團隊B</v>
      </c>
      <c r="N2409">
        <f>IF(交易處理資料__3[[#This Row],[上班時間]]=0,0,交易處理資料__3[[#This Row],[售出工時]]/交易處理資料__3[[#This Row],[上班時間]])</f>
        <v>1.1472674176470588</v>
      </c>
      <c r="O2409" s="31" t="str">
        <f>IF(交易處理資料__3[[#This Row],[上班時間]]=0,"否","是")</f>
        <v>是</v>
      </c>
    </row>
    <row r="2410" spans="1:15" hidden="1">
      <c r="A2410" t="s">
        <v>75</v>
      </c>
      <c r="B2410" t="s">
        <v>36</v>
      </c>
      <c r="C2410">
        <v>1.05</v>
      </c>
      <c r="D2410">
        <v>6.05</v>
      </c>
      <c r="E2410" s="27">
        <v>17.355371900000002</v>
      </c>
      <c r="F2410">
        <v>4.09</v>
      </c>
      <c r="G2410">
        <v>2.48</v>
      </c>
      <c r="H2410">
        <v>6.57</v>
      </c>
      <c r="I2410">
        <v>62.25</v>
      </c>
      <c r="J2410">
        <v>15.98</v>
      </c>
      <c r="K2410" s="9">
        <v>45352</v>
      </c>
      <c r="L2410">
        <f xml:space="preserve"> (交易處理資料__3[[#This Row],[售出工時]] * 60) / 5</f>
        <v>12.6</v>
      </c>
      <c r="M2410" t="str">
        <f>VLOOKUP(交易處理資料__3[[#This Row],[人員代號]],團隊分組!$B$1:$C$52,2,FALSE)</f>
        <v>查修團隊B</v>
      </c>
      <c r="N2410">
        <f>IF(交易處理資料__3[[#This Row],[上班時間]]=0,0,交易處理資料__3[[#This Row],[售出工時]]/交易處理資料__3[[#This Row],[上班時間]])</f>
        <v>0.15981735159817351</v>
      </c>
      <c r="O2410" s="31" t="str">
        <f>IF(交易處理資料__3[[#This Row],[上班時間]]=0,"否","是")</f>
        <v>是</v>
      </c>
    </row>
    <row r="2411" spans="1:15" hidden="1">
      <c r="A2411" t="s">
        <v>75</v>
      </c>
      <c r="B2411" t="s">
        <v>39</v>
      </c>
      <c r="C2411">
        <v>7.6666666670000003</v>
      </c>
      <c r="D2411">
        <v>10.220000000000001</v>
      </c>
      <c r="E2411" s="27">
        <v>75.016307889999993</v>
      </c>
      <c r="F2411">
        <v>8.1300000000000008</v>
      </c>
      <c r="G2411">
        <v>2.16</v>
      </c>
      <c r="H2411">
        <v>10.29</v>
      </c>
      <c r="I2411">
        <v>79.010000000000005</v>
      </c>
      <c r="J2411">
        <v>74.510000000000005</v>
      </c>
      <c r="K2411" s="9">
        <v>45352</v>
      </c>
      <c r="L2411">
        <f xml:space="preserve"> (交易處理資料__3[[#This Row],[售出工時]] * 60) / 5</f>
        <v>92.000000004</v>
      </c>
      <c r="M2411" t="str">
        <f>VLOOKUP(交易處理資料__3[[#This Row],[人員代號]],團隊分組!$B$1:$C$52,2,FALSE)</f>
        <v>查修團隊A</v>
      </c>
      <c r="N2411">
        <f>IF(交易處理資料__3[[#This Row],[上班時間]]=0,0,交易處理資料__3[[#This Row],[售出工時]]/交易處理資料__3[[#This Row],[上班時間]])</f>
        <v>0.74505992876579208</v>
      </c>
      <c r="O2411" s="31" t="str">
        <f>IF(交易處理資料__3[[#This Row],[上班時間]]=0,"否","是")</f>
        <v>是</v>
      </c>
    </row>
    <row r="2412" spans="1:15" hidden="1">
      <c r="A2412" t="s">
        <v>75</v>
      </c>
      <c r="B2412" t="s">
        <v>40</v>
      </c>
      <c r="C2412">
        <v>0.15</v>
      </c>
      <c r="D2412">
        <v>0.52</v>
      </c>
      <c r="E2412" s="27">
        <v>28.84615385</v>
      </c>
      <c r="F2412">
        <v>8.49</v>
      </c>
      <c r="G2412">
        <v>1.47</v>
      </c>
      <c r="H2412">
        <v>9.9600000000000009</v>
      </c>
      <c r="I2412">
        <v>85.24</v>
      </c>
      <c r="J2412">
        <v>1.51</v>
      </c>
      <c r="K2412" s="9">
        <v>45352</v>
      </c>
      <c r="L2412">
        <f xml:space="preserve"> (交易處理資料__3[[#This Row],[售出工時]] * 60) / 5</f>
        <v>1.8</v>
      </c>
      <c r="M2412" t="str">
        <f>VLOOKUP(交易處理資料__3[[#This Row],[人員代號]],團隊分組!$B$1:$C$52,2,FALSE)</f>
        <v>查修團隊A</v>
      </c>
      <c r="N2412">
        <f>IF(交易處理資料__3[[#This Row],[上班時間]]=0,0,交易處理資料__3[[#This Row],[售出工時]]/交易處理資料__3[[#This Row],[上班時間]])</f>
        <v>1.506024096385542E-2</v>
      </c>
      <c r="O2412" s="31" t="str">
        <f>IF(交易處理資料__3[[#This Row],[上班時間]]=0,"否","是")</f>
        <v>是</v>
      </c>
    </row>
    <row r="2413" spans="1:15" hidden="1">
      <c r="A2413" t="s">
        <v>75</v>
      </c>
      <c r="B2413" t="s">
        <v>42</v>
      </c>
      <c r="C2413">
        <v>9.5</v>
      </c>
      <c r="D2413">
        <v>5.32</v>
      </c>
      <c r="E2413" s="27">
        <v>178.57142859999999</v>
      </c>
      <c r="F2413">
        <v>7.27</v>
      </c>
      <c r="G2413">
        <v>0.56999999999999995</v>
      </c>
      <c r="H2413">
        <v>7.84</v>
      </c>
      <c r="I2413">
        <v>92.73</v>
      </c>
      <c r="J2413">
        <v>121.17</v>
      </c>
      <c r="K2413" s="9">
        <v>45352</v>
      </c>
      <c r="L2413">
        <f xml:space="preserve"> (交易處理資料__3[[#This Row],[售出工時]] * 60) / 5</f>
        <v>114</v>
      </c>
      <c r="M2413" t="str">
        <f>VLOOKUP(交易處理資料__3[[#This Row],[人員代號]],團隊分組!$B$1:$C$52,2,FALSE)</f>
        <v>快速保養團隊A</v>
      </c>
      <c r="N2413">
        <f>IF(交易處理資料__3[[#This Row],[上班時間]]=0,0,交易處理資料__3[[#This Row],[售出工時]]/交易處理資料__3[[#This Row],[上班時間]])</f>
        <v>1.2117346938775511</v>
      </c>
      <c r="O2413" s="31" t="str">
        <f>IF(交易處理資料__3[[#This Row],[上班時間]]=0,"否","是")</f>
        <v>是</v>
      </c>
    </row>
    <row r="2414" spans="1:15" hidden="1">
      <c r="A2414" t="s">
        <v>75</v>
      </c>
      <c r="B2414" t="s">
        <v>45</v>
      </c>
      <c r="C2414">
        <v>9.1966666670000006</v>
      </c>
      <c r="D2414">
        <v>6.76</v>
      </c>
      <c r="E2414" s="27">
        <v>136.04536490000001</v>
      </c>
      <c r="F2414">
        <v>7.63</v>
      </c>
      <c r="G2414">
        <v>0.13</v>
      </c>
      <c r="H2414">
        <v>7.76</v>
      </c>
      <c r="I2414">
        <v>98.32</v>
      </c>
      <c r="J2414">
        <v>118.51</v>
      </c>
      <c r="K2414" s="9">
        <v>45352</v>
      </c>
      <c r="L2414">
        <f xml:space="preserve"> (交易處理資料__3[[#This Row],[售出工時]] * 60) / 5</f>
        <v>110.36000000400001</v>
      </c>
      <c r="M2414" t="str">
        <f>VLOOKUP(交易處理資料__3[[#This Row],[人員代號]],團隊分組!$B$1:$C$52,2,FALSE)</f>
        <v>快速保養團隊A</v>
      </c>
      <c r="N2414">
        <f>IF(交易處理資料__3[[#This Row],[上班時間]]=0,0,交易處理資料__3[[#This Row],[售出工時]]/交易處理資料__3[[#This Row],[上班時間]])</f>
        <v>1.185137457087629</v>
      </c>
      <c r="O2414" s="31" t="str">
        <f>IF(交易處理資料__3[[#This Row],[上班時間]]=0,"否","是")</f>
        <v>是</v>
      </c>
    </row>
    <row r="2415" spans="1:15" hidden="1">
      <c r="A2415" t="s">
        <v>75</v>
      </c>
      <c r="B2415" t="s">
        <v>47</v>
      </c>
      <c r="C2415">
        <v>0</v>
      </c>
      <c r="D2415">
        <v>0</v>
      </c>
      <c r="E2415" s="27">
        <v>0</v>
      </c>
      <c r="F2415">
        <v>6.47</v>
      </c>
      <c r="G2415">
        <v>1.8</v>
      </c>
      <c r="H2415">
        <v>8.27</v>
      </c>
      <c r="I2415">
        <v>78.23</v>
      </c>
      <c r="J2415">
        <v>0</v>
      </c>
      <c r="K2415" s="9">
        <v>45352</v>
      </c>
      <c r="L2415">
        <f xml:space="preserve"> (交易處理資料__3[[#This Row],[售出工時]] * 60) / 5</f>
        <v>0</v>
      </c>
      <c r="M2415" t="str">
        <f>VLOOKUP(交易處理資料__3[[#This Row],[人員代號]],團隊分組!$B$1:$C$52,2,FALSE)</f>
        <v>查修團隊B</v>
      </c>
      <c r="N2415">
        <f>IF(交易處理資料__3[[#This Row],[上班時間]]=0,0,交易處理資料__3[[#This Row],[售出工時]]/交易處理資料__3[[#This Row],[上班時間]])</f>
        <v>0</v>
      </c>
      <c r="O2415" s="31" t="str">
        <f>IF(交易處理資料__3[[#This Row],[上班時間]]=0,"否","是")</f>
        <v>是</v>
      </c>
    </row>
    <row r="2416" spans="1:15" hidden="1">
      <c r="A2416" t="s">
        <v>75</v>
      </c>
      <c r="B2416" t="s">
        <v>48</v>
      </c>
      <c r="C2416">
        <v>0</v>
      </c>
      <c r="D2416">
        <v>0</v>
      </c>
      <c r="E2416" s="27">
        <v>0</v>
      </c>
      <c r="F2416">
        <v>5.6</v>
      </c>
      <c r="G2416">
        <v>2.5099999999999998</v>
      </c>
      <c r="H2416">
        <v>8.11</v>
      </c>
      <c r="I2416">
        <v>69.05</v>
      </c>
      <c r="J2416">
        <v>0</v>
      </c>
      <c r="K2416" s="9">
        <v>45352</v>
      </c>
      <c r="L2416">
        <f xml:space="preserve"> (交易處理資料__3[[#This Row],[售出工時]] * 60) / 5</f>
        <v>0</v>
      </c>
      <c r="M2416" t="str">
        <f>VLOOKUP(交易處理資料__3[[#This Row],[人員代號]],團隊分組!$B$1:$C$52,2,FALSE)</f>
        <v>查修團隊A</v>
      </c>
      <c r="N2416">
        <f>IF(交易處理資料__3[[#This Row],[上班時間]]=0,0,交易處理資料__3[[#This Row],[售出工時]]/交易處理資料__3[[#This Row],[上班時間]])</f>
        <v>0</v>
      </c>
      <c r="O2416" s="31" t="str">
        <f>IF(交易處理資料__3[[#This Row],[上班時間]]=0,"否","是")</f>
        <v>是</v>
      </c>
    </row>
    <row r="2417" spans="1:15" hidden="1">
      <c r="A2417" t="s">
        <v>75</v>
      </c>
      <c r="B2417" t="s">
        <v>49</v>
      </c>
      <c r="C2417">
        <v>2.44</v>
      </c>
      <c r="D2417">
        <v>6.27</v>
      </c>
      <c r="E2417" s="27">
        <v>38.915470489999997</v>
      </c>
      <c r="F2417">
        <v>8.18</v>
      </c>
      <c r="G2417">
        <v>0.35</v>
      </c>
      <c r="H2417">
        <v>8.5299999999999994</v>
      </c>
      <c r="I2417">
        <v>95.9</v>
      </c>
      <c r="J2417">
        <v>28.6</v>
      </c>
      <c r="K2417" s="9">
        <v>45352</v>
      </c>
      <c r="L2417">
        <f xml:space="preserve"> (交易處理資料__3[[#This Row],[售出工時]] * 60) / 5</f>
        <v>29.28</v>
      </c>
      <c r="M2417" t="str">
        <f>VLOOKUP(交易處理資料__3[[#This Row],[人員代號]],團隊分組!$B$1:$C$52,2,FALSE)</f>
        <v>查修團隊A</v>
      </c>
      <c r="N2417">
        <f>IF(交易處理資料__3[[#This Row],[上班時間]]=0,0,交易處理資料__3[[#This Row],[售出工時]]/交易處理資料__3[[#This Row],[上班時間]])</f>
        <v>0.28604923798358733</v>
      </c>
      <c r="O2417" s="31" t="str">
        <f>IF(交易處理資料__3[[#This Row],[上班時間]]=0,"否","是")</f>
        <v>是</v>
      </c>
    </row>
    <row r="2418" spans="1:15" hidden="1">
      <c r="A2418" t="s">
        <v>75</v>
      </c>
      <c r="B2418" t="s">
        <v>50</v>
      </c>
      <c r="C2418">
        <v>16.873333330000001</v>
      </c>
      <c r="D2418">
        <v>7.15</v>
      </c>
      <c r="E2418" s="27">
        <v>235.99067600000001</v>
      </c>
      <c r="F2418">
        <v>7.93</v>
      </c>
      <c r="G2418">
        <v>0.08</v>
      </c>
      <c r="H2418">
        <v>8.01</v>
      </c>
      <c r="I2418">
        <v>99</v>
      </c>
      <c r="J2418">
        <v>210.65</v>
      </c>
      <c r="K2418" s="9">
        <v>45352</v>
      </c>
      <c r="L2418">
        <f xml:space="preserve"> (交易處理資料__3[[#This Row],[售出工時]] * 60) / 5</f>
        <v>202.47999996000001</v>
      </c>
      <c r="M2418" t="str">
        <f>VLOOKUP(交易處理資料__3[[#This Row],[人員代號]],團隊分組!$B$1:$C$52,2,FALSE)</f>
        <v>快速保養團隊B</v>
      </c>
      <c r="N2418">
        <f>IF(交易處理資料__3[[#This Row],[上班時間]]=0,0,交易處理資料__3[[#This Row],[售出工時]]/交易處理資料__3[[#This Row],[上班時間]])</f>
        <v>2.1065334993757805</v>
      </c>
      <c r="O2418" s="31" t="str">
        <f>IF(交易處理資料__3[[#This Row],[上班時間]]=0,"否","是")</f>
        <v>是</v>
      </c>
    </row>
    <row r="2419" spans="1:15" hidden="1">
      <c r="A2419" t="s">
        <v>75</v>
      </c>
      <c r="B2419" t="s">
        <v>51</v>
      </c>
      <c r="C2419">
        <v>0</v>
      </c>
      <c r="D2419">
        <v>0</v>
      </c>
      <c r="E2419" s="27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 s="9">
        <v>45352</v>
      </c>
      <c r="L2419">
        <f xml:space="preserve"> (交易處理資料__3[[#This Row],[售出工時]] * 60) / 5</f>
        <v>0</v>
      </c>
      <c r="M2419" t="str">
        <f>VLOOKUP(交易處理資料__3[[#This Row],[人員代號]],團隊分組!$B$1:$C$52,2,FALSE)</f>
        <v>無效數據</v>
      </c>
      <c r="N2419">
        <f>IF(交易處理資料__3[[#This Row],[上班時間]]=0,0,交易處理資料__3[[#This Row],[售出工時]]/交易處理資料__3[[#This Row],[上班時間]])</f>
        <v>0</v>
      </c>
      <c r="O2419" s="31" t="str">
        <f>IF(交易處理資料__3[[#This Row],[上班時間]]=0,"否","是")</f>
        <v>否</v>
      </c>
    </row>
    <row r="2420" spans="1:15" hidden="1">
      <c r="A2420" t="s">
        <v>75</v>
      </c>
      <c r="B2420" t="s">
        <v>53</v>
      </c>
      <c r="C2420">
        <v>17.256666670000001</v>
      </c>
      <c r="D2420">
        <v>9.9600000000000009</v>
      </c>
      <c r="E2420" s="27">
        <v>173.2597055</v>
      </c>
      <c r="F2420">
        <v>9.7100000000000009</v>
      </c>
      <c r="G2420">
        <v>0.28999999999999998</v>
      </c>
      <c r="H2420">
        <v>10</v>
      </c>
      <c r="I2420">
        <v>97.1</v>
      </c>
      <c r="J2420">
        <v>172.57</v>
      </c>
      <c r="K2420" s="9">
        <v>45352</v>
      </c>
      <c r="L2420">
        <f xml:space="preserve"> (交易處理資料__3[[#This Row],[售出工時]] * 60) / 5</f>
        <v>207.08000004000002</v>
      </c>
      <c r="M2420" t="str">
        <f>VLOOKUP(交易處理資料__3[[#This Row],[人員代號]],團隊分組!$B$1:$C$52,2,FALSE)</f>
        <v>查修團隊A</v>
      </c>
      <c r="N2420">
        <f>IF(交易處理資料__3[[#This Row],[上班時間]]=0,0,交易處理資料__3[[#This Row],[售出工時]]/交易處理資料__3[[#This Row],[上班時間]])</f>
        <v>1.725666667</v>
      </c>
      <c r="O2420" s="31" t="str">
        <f>IF(交易處理資料__3[[#This Row],[上班時間]]=0,"否","是")</f>
        <v>是</v>
      </c>
    </row>
    <row r="2421" spans="1:15" hidden="1">
      <c r="A2421" s="10" t="s">
        <v>73</v>
      </c>
      <c r="B2421" t="s">
        <v>1</v>
      </c>
      <c r="C2421">
        <v>0</v>
      </c>
      <c r="D2421">
        <v>0</v>
      </c>
      <c r="E2421" s="27">
        <v>0</v>
      </c>
      <c r="F2421">
        <v>7.42</v>
      </c>
      <c r="G2421">
        <v>0.57999999999999996</v>
      </c>
      <c r="H2421">
        <v>8</v>
      </c>
      <c r="I2421">
        <v>92.75</v>
      </c>
      <c r="J2421">
        <v>0</v>
      </c>
      <c r="K2421" s="9">
        <v>45353</v>
      </c>
      <c r="L2421">
        <f xml:space="preserve"> (交易處理資料__3[[#This Row],[售出工時]] * 60) / 5</f>
        <v>0</v>
      </c>
      <c r="M2421" t="str">
        <f>VLOOKUP(交易處理資料__3[[#This Row],[人員代號]],團隊分組!$B$1:$C$52,2,FALSE)</f>
        <v>噴漆維修組</v>
      </c>
      <c r="N2421">
        <f>IF(交易處理資料__3[[#This Row],[上班時間]]=0,0,交易處理資料__3[[#This Row],[售出工時]]/交易處理資料__3[[#This Row],[上班時間]])</f>
        <v>0</v>
      </c>
      <c r="O2421" s="31" t="str">
        <f>IF(交易處理資料__3[[#This Row],[上班時間]]=0,"否","是")</f>
        <v>是</v>
      </c>
    </row>
    <row r="2422" spans="1:15" hidden="1">
      <c r="A2422" s="10" t="s">
        <v>73</v>
      </c>
      <c r="B2422" t="s">
        <v>2</v>
      </c>
      <c r="C2422">
        <v>0</v>
      </c>
      <c r="D2422">
        <v>0</v>
      </c>
      <c r="E2422" s="27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 s="9">
        <v>45353</v>
      </c>
      <c r="L2422">
        <f xml:space="preserve"> (交易處理資料__3[[#This Row],[售出工時]] * 60) / 5</f>
        <v>0</v>
      </c>
      <c r="M2422" t="str">
        <f>VLOOKUP(交易處理資料__3[[#This Row],[人員代號]],團隊分組!$B$1:$C$52,2,FALSE)</f>
        <v>噴漆維修組</v>
      </c>
      <c r="N2422">
        <f>IF(交易處理資料__3[[#This Row],[上班時間]]=0,0,交易處理資料__3[[#This Row],[售出工時]]/交易處理資料__3[[#This Row],[上班時間]])</f>
        <v>0</v>
      </c>
      <c r="O2422" s="31" t="str">
        <f>IF(交易處理資料__3[[#This Row],[上班時間]]=0,"否","是")</f>
        <v>否</v>
      </c>
    </row>
    <row r="2423" spans="1:15" hidden="1">
      <c r="A2423" s="10" t="s">
        <v>73</v>
      </c>
      <c r="B2423" t="s">
        <v>3</v>
      </c>
      <c r="C2423">
        <v>0</v>
      </c>
      <c r="D2423">
        <v>0</v>
      </c>
      <c r="E2423" s="27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 s="9">
        <v>45353</v>
      </c>
      <c r="L2423">
        <f xml:space="preserve"> (交易處理資料__3[[#This Row],[售出工時]] * 60) / 5</f>
        <v>0</v>
      </c>
      <c r="M2423" t="str">
        <f>VLOOKUP(交易處理資料__3[[#This Row],[人員代號]],團隊分組!$B$1:$C$52,2,FALSE)</f>
        <v>噴漆維修組</v>
      </c>
      <c r="N2423">
        <f>IF(交易處理資料__3[[#This Row],[上班時間]]=0,0,交易處理資料__3[[#This Row],[售出工時]]/交易處理資料__3[[#This Row],[上班時間]])</f>
        <v>0</v>
      </c>
      <c r="O2423" s="31" t="str">
        <f>IF(交易處理資料__3[[#This Row],[上班時間]]=0,"否","是")</f>
        <v>否</v>
      </c>
    </row>
    <row r="2424" spans="1:15" hidden="1">
      <c r="A2424" s="10" t="s">
        <v>73</v>
      </c>
      <c r="B2424" t="s">
        <v>4</v>
      </c>
      <c r="C2424">
        <v>0</v>
      </c>
      <c r="D2424">
        <v>0</v>
      </c>
      <c r="E2424" s="27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 s="9">
        <v>45353</v>
      </c>
      <c r="L2424">
        <f xml:space="preserve"> (交易處理資料__3[[#This Row],[售出工時]] * 60) / 5</f>
        <v>0</v>
      </c>
      <c r="M2424" t="str">
        <f>VLOOKUP(交易處理資料__3[[#This Row],[人員代號]],團隊分組!$B$1:$C$52,2,FALSE)</f>
        <v>噴漆維修組</v>
      </c>
      <c r="N2424">
        <f>IF(交易處理資料__3[[#This Row],[上班時間]]=0,0,交易處理資料__3[[#This Row],[售出工時]]/交易處理資料__3[[#This Row],[上班時間]])</f>
        <v>0</v>
      </c>
      <c r="O2424" s="31" t="str">
        <f>IF(交易處理資料__3[[#This Row],[上班時間]]=0,"否","是")</f>
        <v>否</v>
      </c>
    </row>
    <row r="2425" spans="1:15" hidden="1">
      <c r="A2425" s="10" t="s">
        <v>73</v>
      </c>
      <c r="B2425" t="s">
        <v>5</v>
      </c>
      <c r="C2425">
        <v>0</v>
      </c>
      <c r="D2425">
        <v>0</v>
      </c>
      <c r="E2425" s="27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 s="9">
        <v>45353</v>
      </c>
      <c r="L2425">
        <f xml:space="preserve"> (交易處理資料__3[[#This Row],[售出工時]] * 60) / 5</f>
        <v>0</v>
      </c>
      <c r="M2425" t="str">
        <f>VLOOKUP(交易處理資料__3[[#This Row],[人員代號]],團隊分組!$B$1:$C$52,2,FALSE)</f>
        <v>噴漆維修組</v>
      </c>
      <c r="N2425">
        <f>IF(交易處理資料__3[[#This Row],[上班時間]]=0,0,交易處理資料__3[[#This Row],[售出工時]]/交易處理資料__3[[#This Row],[上班時間]])</f>
        <v>0</v>
      </c>
      <c r="O2425" s="31" t="str">
        <f>IF(交易處理資料__3[[#This Row],[上班時間]]=0,"否","是")</f>
        <v>否</v>
      </c>
    </row>
    <row r="2426" spans="1:15" hidden="1">
      <c r="A2426" s="10" t="s">
        <v>73</v>
      </c>
      <c r="B2426" t="s">
        <v>6</v>
      </c>
      <c r="C2426">
        <v>0</v>
      </c>
      <c r="D2426">
        <v>0</v>
      </c>
      <c r="E2426" s="27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 s="9">
        <v>45353</v>
      </c>
      <c r="L2426">
        <f xml:space="preserve"> (交易處理資料__3[[#This Row],[售出工時]] * 60) / 5</f>
        <v>0</v>
      </c>
      <c r="M2426" t="str">
        <f>VLOOKUP(交易處理資料__3[[#This Row],[人員代號]],團隊分組!$B$1:$C$52,2,FALSE)</f>
        <v>噴漆維修組</v>
      </c>
      <c r="N2426">
        <f>IF(交易處理資料__3[[#This Row],[上班時間]]=0,0,交易處理資料__3[[#This Row],[售出工時]]/交易處理資料__3[[#This Row],[上班時間]])</f>
        <v>0</v>
      </c>
      <c r="O2426" s="31" t="str">
        <f>IF(交易處理資料__3[[#This Row],[上班時間]]=0,"否","是")</f>
        <v>否</v>
      </c>
    </row>
    <row r="2427" spans="1:15" hidden="1">
      <c r="A2427" s="10" t="s">
        <v>73</v>
      </c>
      <c r="B2427" t="s">
        <v>7</v>
      </c>
      <c r="C2427">
        <v>0</v>
      </c>
      <c r="D2427">
        <v>0</v>
      </c>
      <c r="E2427" s="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 s="9">
        <v>45353</v>
      </c>
      <c r="L2427">
        <f xml:space="preserve"> (交易處理資料__3[[#This Row],[售出工時]] * 60) / 5</f>
        <v>0</v>
      </c>
      <c r="M2427" t="str">
        <f>VLOOKUP(交易處理資料__3[[#This Row],[人員代號]],團隊分組!$B$1:$C$52,2,FALSE)</f>
        <v>噴漆維修組</v>
      </c>
      <c r="N2427">
        <f>IF(交易處理資料__3[[#This Row],[上班時間]]=0,0,交易處理資料__3[[#This Row],[售出工時]]/交易處理資料__3[[#This Row],[上班時間]])</f>
        <v>0</v>
      </c>
      <c r="O2427" s="31" t="str">
        <f>IF(交易處理資料__3[[#This Row],[上班時間]]=0,"否","是")</f>
        <v>否</v>
      </c>
    </row>
    <row r="2428" spans="1:15" hidden="1">
      <c r="A2428" s="10" t="s">
        <v>73</v>
      </c>
      <c r="B2428" t="s">
        <v>8</v>
      </c>
      <c r="C2428">
        <v>0</v>
      </c>
      <c r="D2428">
        <v>0</v>
      </c>
      <c r="E2428" s="27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 s="9">
        <v>45353</v>
      </c>
      <c r="L2428">
        <f xml:space="preserve"> (交易處理資料__3[[#This Row],[售出工時]] * 60) / 5</f>
        <v>0</v>
      </c>
      <c r="M2428" t="str">
        <f>VLOOKUP(交易處理資料__3[[#This Row],[人員代號]],團隊分組!$B$1:$C$52,2,FALSE)</f>
        <v>噴漆維修組</v>
      </c>
      <c r="N2428">
        <f>IF(交易處理資料__3[[#This Row],[上班時間]]=0,0,交易處理資料__3[[#This Row],[售出工時]]/交易處理資料__3[[#This Row],[上班時間]])</f>
        <v>0</v>
      </c>
      <c r="O2428" s="31" t="str">
        <f>IF(交易處理資料__3[[#This Row],[上班時間]]=0,"否","是")</f>
        <v>否</v>
      </c>
    </row>
    <row r="2429" spans="1:15" hidden="1">
      <c r="A2429" s="10" t="s">
        <v>73</v>
      </c>
      <c r="B2429" t="s">
        <v>9</v>
      </c>
      <c r="C2429">
        <v>0</v>
      </c>
      <c r="D2429">
        <v>0</v>
      </c>
      <c r="E2429" s="27">
        <v>0</v>
      </c>
      <c r="F2429">
        <v>7.48</v>
      </c>
      <c r="G2429">
        <v>0.6</v>
      </c>
      <c r="H2429">
        <v>8.08</v>
      </c>
      <c r="I2429">
        <v>92.57</v>
      </c>
      <c r="J2429">
        <v>0</v>
      </c>
      <c r="K2429" s="9">
        <v>45353</v>
      </c>
      <c r="L2429">
        <f xml:space="preserve"> (交易處理資料__3[[#This Row],[售出工時]] * 60) / 5</f>
        <v>0</v>
      </c>
      <c r="M2429" t="str">
        <f>VLOOKUP(交易處理資料__3[[#This Row],[人員代號]],團隊分組!$B$1:$C$52,2,FALSE)</f>
        <v>噴漆維修組</v>
      </c>
      <c r="N2429">
        <f>IF(交易處理資料__3[[#This Row],[上班時間]]=0,0,交易處理資料__3[[#This Row],[售出工時]]/交易處理資料__3[[#This Row],[上班時間]])</f>
        <v>0</v>
      </c>
      <c r="O2429" s="31" t="str">
        <f>IF(交易處理資料__3[[#This Row],[上班時間]]=0,"否","是")</f>
        <v>是</v>
      </c>
    </row>
    <row r="2430" spans="1:15" hidden="1">
      <c r="A2430" t="s">
        <v>74</v>
      </c>
      <c r="B2430" t="s">
        <v>11</v>
      </c>
      <c r="C2430">
        <v>0</v>
      </c>
      <c r="D2430">
        <v>0</v>
      </c>
      <c r="E2430" s="27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 s="9">
        <v>45353</v>
      </c>
      <c r="L2430">
        <f xml:space="preserve"> (交易處理資料__3[[#This Row],[售出工時]] * 60) / 5</f>
        <v>0</v>
      </c>
      <c r="M2430" t="str">
        <f>VLOOKUP(交易處理資料__3[[#This Row],[人員代號]],團隊分組!$B$1:$C$52,2,FALSE)</f>
        <v>鈑金維修組</v>
      </c>
      <c r="N2430">
        <f>IF(交易處理資料__3[[#This Row],[上班時間]]=0,0,交易處理資料__3[[#This Row],[售出工時]]/交易處理資料__3[[#This Row],[上班時間]])</f>
        <v>0</v>
      </c>
      <c r="O2430" s="31" t="str">
        <f>IF(交易處理資料__3[[#This Row],[上班時間]]=0,"否","是")</f>
        <v>否</v>
      </c>
    </row>
    <row r="2431" spans="1:15" hidden="1">
      <c r="A2431" t="s">
        <v>74</v>
      </c>
      <c r="B2431" t="s">
        <v>12</v>
      </c>
      <c r="C2431">
        <v>0</v>
      </c>
      <c r="D2431">
        <v>0</v>
      </c>
      <c r="E2431" s="27">
        <v>0</v>
      </c>
      <c r="F2431">
        <v>8.0299999999999994</v>
      </c>
      <c r="G2431">
        <v>0.04</v>
      </c>
      <c r="H2431">
        <v>8.07</v>
      </c>
      <c r="I2431">
        <v>99.5</v>
      </c>
      <c r="J2431">
        <v>0</v>
      </c>
      <c r="K2431" s="9">
        <v>45353</v>
      </c>
      <c r="L2431">
        <f xml:space="preserve"> (交易處理資料__3[[#This Row],[售出工時]] * 60) / 5</f>
        <v>0</v>
      </c>
      <c r="M2431" t="str">
        <f>VLOOKUP(交易處理資料__3[[#This Row],[人員代號]],團隊分組!$B$1:$C$52,2,FALSE)</f>
        <v>鈑金維修組</v>
      </c>
      <c r="N2431">
        <f>IF(交易處理資料__3[[#This Row],[上班時間]]=0,0,交易處理資料__3[[#This Row],[售出工時]]/交易處理資料__3[[#This Row],[上班時間]])</f>
        <v>0</v>
      </c>
      <c r="O2431" s="31" t="str">
        <f>IF(交易處理資料__3[[#This Row],[上班時間]]=0,"否","是")</f>
        <v>是</v>
      </c>
    </row>
    <row r="2432" spans="1:15" hidden="1">
      <c r="A2432" t="s">
        <v>74</v>
      </c>
      <c r="B2432" t="s">
        <v>13</v>
      </c>
      <c r="C2432">
        <v>0.33333333300000001</v>
      </c>
      <c r="D2432">
        <v>0.04</v>
      </c>
      <c r="E2432" s="27">
        <v>833.33333330000005</v>
      </c>
      <c r="F2432">
        <v>5.32</v>
      </c>
      <c r="G2432">
        <v>2.76</v>
      </c>
      <c r="H2432">
        <v>8.08</v>
      </c>
      <c r="I2432">
        <v>65.84</v>
      </c>
      <c r="J2432">
        <v>4.13</v>
      </c>
      <c r="K2432" s="9">
        <v>45353</v>
      </c>
      <c r="L2432">
        <f xml:space="preserve"> (交易處理資料__3[[#This Row],[售出工時]] * 60) / 5</f>
        <v>3.9999999960000006</v>
      </c>
      <c r="M2432" t="str">
        <f>VLOOKUP(交易處理資料__3[[#This Row],[人員代號]],團隊分組!$B$1:$C$52,2,FALSE)</f>
        <v>鈑金維修組</v>
      </c>
      <c r="N2432">
        <f>IF(交易處理資料__3[[#This Row],[上班時間]]=0,0,交易處理資料__3[[#This Row],[售出工時]]/交易處理資料__3[[#This Row],[上班時間]])</f>
        <v>4.1254125371287129E-2</v>
      </c>
      <c r="O2432" s="31" t="str">
        <f>IF(交易處理資料__3[[#This Row],[上班時間]]=0,"否","是")</f>
        <v>是</v>
      </c>
    </row>
    <row r="2433" spans="1:15" hidden="1">
      <c r="A2433" t="s">
        <v>74</v>
      </c>
      <c r="B2433" t="s">
        <v>14</v>
      </c>
      <c r="C2433">
        <v>0</v>
      </c>
      <c r="D2433">
        <v>0</v>
      </c>
      <c r="E2433" s="27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 s="9">
        <v>45353</v>
      </c>
      <c r="L2433">
        <f xml:space="preserve"> (交易處理資料__3[[#This Row],[售出工時]] * 60) / 5</f>
        <v>0</v>
      </c>
      <c r="M2433" t="str">
        <f>VLOOKUP(交易處理資料__3[[#This Row],[人員代號]],團隊分組!$B$1:$C$52,2,FALSE)</f>
        <v>鈑金維修組</v>
      </c>
      <c r="N2433">
        <f>IF(交易處理資料__3[[#This Row],[上班時間]]=0,0,交易處理資料__3[[#This Row],[售出工時]]/交易處理資料__3[[#This Row],[上班時間]])</f>
        <v>0</v>
      </c>
      <c r="O2433" s="31" t="str">
        <f>IF(交易處理資料__3[[#This Row],[上班時間]]=0,"否","是")</f>
        <v>否</v>
      </c>
    </row>
    <row r="2434" spans="1:15" hidden="1">
      <c r="A2434" t="s">
        <v>74</v>
      </c>
      <c r="B2434" t="s">
        <v>15</v>
      </c>
      <c r="C2434">
        <v>0</v>
      </c>
      <c r="D2434">
        <v>0</v>
      </c>
      <c r="E2434" s="27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 s="9">
        <v>45353</v>
      </c>
      <c r="L2434">
        <f xml:space="preserve"> (交易處理資料__3[[#This Row],[售出工時]] * 60) / 5</f>
        <v>0</v>
      </c>
      <c r="M2434" t="str">
        <f>VLOOKUP(交易處理資料__3[[#This Row],[人員代號]],團隊分組!$B$1:$C$52,2,FALSE)</f>
        <v>鈑金維修組</v>
      </c>
      <c r="N2434">
        <f>IF(交易處理資料__3[[#This Row],[上班時間]]=0,0,交易處理資料__3[[#This Row],[售出工時]]/交易處理資料__3[[#This Row],[上班時間]])</f>
        <v>0</v>
      </c>
      <c r="O2434" s="31" t="str">
        <f>IF(交易處理資料__3[[#This Row],[上班時間]]=0,"否","是")</f>
        <v>否</v>
      </c>
    </row>
    <row r="2435" spans="1:15" hidden="1">
      <c r="A2435" t="s">
        <v>75</v>
      </c>
      <c r="B2435" t="s">
        <v>17</v>
      </c>
      <c r="C2435">
        <v>0</v>
      </c>
      <c r="D2435">
        <v>0</v>
      </c>
      <c r="E2435" s="27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 s="9">
        <v>45353</v>
      </c>
      <c r="L2435">
        <f xml:space="preserve"> (交易處理資料__3[[#This Row],[售出工時]] * 60) / 5</f>
        <v>0</v>
      </c>
      <c r="M2435" t="str">
        <f>VLOOKUP(交易處理資料__3[[#This Row],[人員代號]],團隊分組!$B$1:$C$52,2,FALSE)</f>
        <v>快速保養團隊A</v>
      </c>
      <c r="N2435">
        <f>IF(交易處理資料__3[[#This Row],[上班時間]]=0,0,交易處理資料__3[[#This Row],[售出工時]]/交易處理資料__3[[#This Row],[上班時間]])</f>
        <v>0</v>
      </c>
      <c r="O2435" s="31" t="str">
        <f>IF(交易處理資料__3[[#This Row],[上班時間]]=0,"否","是")</f>
        <v>否</v>
      </c>
    </row>
    <row r="2436" spans="1:15" hidden="1">
      <c r="A2436" t="s">
        <v>75</v>
      </c>
      <c r="B2436" t="s">
        <v>18</v>
      </c>
      <c r="C2436">
        <v>0</v>
      </c>
      <c r="D2436">
        <v>0</v>
      </c>
      <c r="E2436" s="27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 s="9">
        <v>45353</v>
      </c>
      <c r="L2436">
        <f xml:space="preserve"> (交易處理資料__3[[#This Row],[售出工時]] * 60) / 5</f>
        <v>0</v>
      </c>
      <c r="M2436" t="str">
        <f>VLOOKUP(交易處理資料__3[[#This Row],[人員代號]],團隊分組!$B$1:$C$52,2,FALSE)</f>
        <v>查修團隊B</v>
      </c>
      <c r="N2436">
        <f>IF(交易處理資料__3[[#This Row],[上班時間]]=0,0,交易處理資料__3[[#This Row],[售出工時]]/交易處理資料__3[[#This Row],[上班時間]])</f>
        <v>0</v>
      </c>
      <c r="O2436" s="31" t="str">
        <f>IF(交易處理資料__3[[#This Row],[上班時間]]=0,"否","是")</f>
        <v>否</v>
      </c>
    </row>
    <row r="2437" spans="1:15" hidden="1">
      <c r="A2437" t="s">
        <v>75</v>
      </c>
      <c r="B2437" t="s">
        <v>22</v>
      </c>
      <c r="C2437">
        <v>10.83333333</v>
      </c>
      <c r="D2437">
        <v>4.59</v>
      </c>
      <c r="E2437" s="27">
        <v>236.02033410000001</v>
      </c>
      <c r="F2437">
        <v>6.26</v>
      </c>
      <c r="G2437">
        <v>1.83</v>
      </c>
      <c r="H2437">
        <v>8.09</v>
      </c>
      <c r="I2437">
        <v>77.38</v>
      </c>
      <c r="J2437">
        <v>133.91</v>
      </c>
      <c r="K2437" s="9">
        <v>45353</v>
      </c>
      <c r="L2437">
        <f xml:space="preserve"> (交易處理資料__3[[#This Row],[售出工時]] * 60) / 5</f>
        <v>129.99999996000003</v>
      </c>
      <c r="M2437" t="str">
        <f>VLOOKUP(交易處理資料__3[[#This Row],[人員代號]],團隊分組!$B$1:$C$52,2,FALSE)</f>
        <v>快速保養團隊A</v>
      </c>
      <c r="N2437">
        <f>IF(交易處理資料__3[[#This Row],[上班時間]]=0,0,交易處理資料__3[[#This Row],[售出工時]]/交易處理資料__3[[#This Row],[上班時間]])</f>
        <v>1.3391017713226205</v>
      </c>
      <c r="O2437" s="31" t="str">
        <f>IF(交易處理資料__3[[#This Row],[上班時間]]=0,"否","是")</f>
        <v>是</v>
      </c>
    </row>
    <row r="2438" spans="1:15" hidden="1">
      <c r="A2438" t="s">
        <v>75</v>
      </c>
      <c r="B2438" t="s">
        <v>24</v>
      </c>
      <c r="C2438">
        <v>0</v>
      </c>
      <c r="D2438">
        <v>0</v>
      </c>
      <c r="E2438" s="27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 s="9">
        <v>45353</v>
      </c>
      <c r="L2438">
        <f xml:space="preserve"> (交易處理資料__3[[#This Row],[售出工時]] * 60) / 5</f>
        <v>0</v>
      </c>
      <c r="M2438" t="str">
        <f>VLOOKUP(交易處理資料__3[[#This Row],[人員代號]],團隊分組!$B$1:$C$52,2,FALSE)</f>
        <v>快速保養團隊A</v>
      </c>
      <c r="N2438">
        <f>IF(交易處理資料__3[[#This Row],[上班時間]]=0,0,交易處理資料__3[[#This Row],[售出工時]]/交易處理資料__3[[#This Row],[上班時間]])</f>
        <v>0</v>
      </c>
      <c r="O2438" s="31" t="str">
        <f>IF(交易處理資料__3[[#This Row],[上班時間]]=0,"否","是")</f>
        <v>否</v>
      </c>
    </row>
    <row r="2439" spans="1:15" hidden="1">
      <c r="A2439" t="s">
        <v>75</v>
      </c>
      <c r="B2439" t="s">
        <v>25</v>
      </c>
      <c r="C2439">
        <v>0</v>
      </c>
      <c r="D2439">
        <v>0</v>
      </c>
      <c r="E2439" s="27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 s="9">
        <v>45353</v>
      </c>
      <c r="L2439">
        <f xml:space="preserve"> (交易處理資料__3[[#This Row],[售出工時]] * 60) / 5</f>
        <v>0</v>
      </c>
      <c r="M2439" t="str">
        <f>VLOOKUP(交易處理資料__3[[#This Row],[人員代號]],團隊分組!$B$1:$C$52,2,FALSE)</f>
        <v>查修團隊A</v>
      </c>
      <c r="N2439">
        <f>IF(交易處理資料__3[[#This Row],[上班時間]]=0,0,交易處理資料__3[[#This Row],[售出工時]]/交易處理資料__3[[#This Row],[上班時間]])</f>
        <v>0</v>
      </c>
      <c r="O2439" s="31" t="str">
        <f>IF(交易處理資料__3[[#This Row],[上班時間]]=0,"否","是")</f>
        <v>否</v>
      </c>
    </row>
    <row r="2440" spans="1:15" hidden="1">
      <c r="A2440" t="s">
        <v>75</v>
      </c>
      <c r="B2440" t="s">
        <v>26</v>
      </c>
      <c r="C2440">
        <v>2.5099999999999998</v>
      </c>
      <c r="D2440">
        <v>5.65</v>
      </c>
      <c r="E2440" s="27">
        <v>44.424778760000002</v>
      </c>
      <c r="F2440">
        <v>3.05</v>
      </c>
      <c r="G2440">
        <v>5.0199999999999996</v>
      </c>
      <c r="H2440">
        <v>8.07</v>
      </c>
      <c r="I2440">
        <v>37.79</v>
      </c>
      <c r="J2440">
        <v>31.1</v>
      </c>
      <c r="K2440" s="9">
        <v>45353</v>
      </c>
      <c r="L2440">
        <f xml:space="preserve"> (交易處理資料__3[[#This Row],[售出工時]] * 60) / 5</f>
        <v>30.119999999999997</v>
      </c>
      <c r="M2440" t="str">
        <f>VLOOKUP(交易處理資料__3[[#This Row],[人員代號]],團隊分組!$B$1:$C$52,2,FALSE)</f>
        <v>查修團隊B</v>
      </c>
      <c r="N2440">
        <f>IF(交易處理資料__3[[#This Row],[上班時間]]=0,0,交易處理資料__3[[#This Row],[售出工時]]/交易處理資料__3[[#This Row],[上班時間]])</f>
        <v>0.31102850061957865</v>
      </c>
      <c r="O2440" s="31" t="str">
        <f>IF(交易處理資料__3[[#This Row],[上班時間]]=0,"否","是")</f>
        <v>是</v>
      </c>
    </row>
    <row r="2441" spans="1:15" hidden="1">
      <c r="A2441" t="s">
        <v>75</v>
      </c>
      <c r="B2441" t="s">
        <v>27</v>
      </c>
      <c r="C2441">
        <v>7.7533333329999996</v>
      </c>
      <c r="D2441">
        <v>7.4</v>
      </c>
      <c r="E2441" s="27">
        <v>104.7747748</v>
      </c>
      <c r="F2441">
        <v>4.59</v>
      </c>
      <c r="G2441">
        <v>3.46</v>
      </c>
      <c r="H2441">
        <v>8.0500000000000007</v>
      </c>
      <c r="I2441">
        <v>57.02</v>
      </c>
      <c r="J2441">
        <v>96.31</v>
      </c>
      <c r="K2441" s="9">
        <v>45353</v>
      </c>
      <c r="L2441">
        <f xml:space="preserve"> (交易處理資料__3[[#This Row],[售出工時]] * 60) / 5</f>
        <v>93.039999995999992</v>
      </c>
      <c r="M2441" t="str">
        <f>VLOOKUP(交易處理資料__3[[#This Row],[人員代號]],團隊分組!$B$1:$C$52,2,FALSE)</f>
        <v>快速保養團隊B</v>
      </c>
      <c r="N2441">
        <f>IF(交易處理資料__3[[#This Row],[上班時間]]=0,0,交易處理資料__3[[#This Row],[售出工時]]/交易處理資料__3[[#This Row],[上班時間]])</f>
        <v>0.96314699788819857</v>
      </c>
      <c r="O2441" s="31" t="str">
        <f>IF(交易處理資料__3[[#This Row],[上班時間]]=0,"否","是")</f>
        <v>是</v>
      </c>
    </row>
    <row r="2442" spans="1:15" hidden="1">
      <c r="A2442" t="s">
        <v>75</v>
      </c>
      <c r="B2442" t="s">
        <v>28</v>
      </c>
      <c r="C2442">
        <v>6.6666666670000003</v>
      </c>
      <c r="D2442">
        <v>4.3899999999999997</v>
      </c>
      <c r="E2442" s="27">
        <v>151.8602885</v>
      </c>
      <c r="F2442">
        <v>5.81</v>
      </c>
      <c r="G2442">
        <v>2.29</v>
      </c>
      <c r="H2442">
        <v>8.1</v>
      </c>
      <c r="I2442">
        <v>71.73</v>
      </c>
      <c r="J2442">
        <v>82.3</v>
      </c>
      <c r="K2442" s="9">
        <v>45353</v>
      </c>
      <c r="L2442">
        <f xml:space="preserve"> (交易處理資料__3[[#This Row],[售出工時]] * 60) / 5</f>
        <v>80.000000004</v>
      </c>
      <c r="M2442" t="str">
        <f>VLOOKUP(交易處理資料__3[[#This Row],[人員代號]],團隊分組!$B$1:$C$52,2,FALSE)</f>
        <v>快速保養團隊A</v>
      </c>
      <c r="N2442">
        <f>IF(交易處理資料__3[[#This Row],[上班時間]]=0,0,交易處理資料__3[[#This Row],[售出工時]]/交易處理資料__3[[#This Row],[上班時間]])</f>
        <v>0.82304526753086427</v>
      </c>
      <c r="O2442" s="31" t="str">
        <f>IF(交易處理資料__3[[#This Row],[上班時間]]=0,"否","是")</f>
        <v>是</v>
      </c>
    </row>
    <row r="2443" spans="1:15" hidden="1">
      <c r="A2443" t="s">
        <v>75</v>
      </c>
      <c r="B2443" t="s">
        <v>29</v>
      </c>
      <c r="C2443">
        <v>2.41</v>
      </c>
      <c r="D2443">
        <v>2.98</v>
      </c>
      <c r="E2443" s="27">
        <v>80.872483220000007</v>
      </c>
      <c r="F2443">
        <v>2.98</v>
      </c>
      <c r="G2443">
        <v>5.08</v>
      </c>
      <c r="H2443">
        <v>8.06</v>
      </c>
      <c r="I2443">
        <v>36.97</v>
      </c>
      <c r="J2443">
        <v>29.9</v>
      </c>
      <c r="K2443" s="9">
        <v>45353</v>
      </c>
      <c r="L2443">
        <f xml:space="preserve"> (交易處理資料__3[[#This Row],[售出工時]] * 60) / 5</f>
        <v>28.920000000000005</v>
      </c>
      <c r="M2443" t="str">
        <f>VLOOKUP(交易處理資料__3[[#This Row],[人員代號]],團隊分組!$B$1:$C$52,2,FALSE)</f>
        <v>查修團隊B</v>
      </c>
      <c r="N2443">
        <f>IF(交易處理資料__3[[#This Row],[上班時間]]=0,0,交易處理資料__3[[#This Row],[售出工時]]/交易處理資料__3[[#This Row],[上班時間]])</f>
        <v>0.29900744416873448</v>
      </c>
      <c r="O2443" s="31" t="str">
        <f>IF(交易處理資料__3[[#This Row],[上班時間]]=0,"否","是")</f>
        <v>是</v>
      </c>
    </row>
    <row r="2444" spans="1:15" hidden="1">
      <c r="A2444" t="s">
        <v>75</v>
      </c>
      <c r="B2444" t="s">
        <v>30</v>
      </c>
      <c r="C2444">
        <v>12.463333329999999</v>
      </c>
      <c r="D2444">
        <v>7.96</v>
      </c>
      <c r="E2444" s="27">
        <v>156.57453939999999</v>
      </c>
      <c r="F2444">
        <v>4.5999999999999996</v>
      </c>
      <c r="G2444">
        <v>3.46</v>
      </c>
      <c r="H2444">
        <v>8.06</v>
      </c>
      <c r="I2444">
        <v>57.07</v>
      </c>
      <c r="J2444">
        <v>154.63</v>
      </c>
      <c r="K2444" s="9">
        <v>45353</v>
      </c>
      <c r="L2444">
        <f xml:space="preserve"> (交易處理資料__3[[#This Row],[售出工時]] * 60) / 5</f>
        <v>149.55999995999997</v>
      </c>
      <c r="M2444" t="str">
        <f>VLOOKUP(交易處理資料__3[[#This Row],[人員代號]],團隊分組!$B$1:$C$52,2,FALSE)</f>
        <v>快速保養團隊B</v>
      </c>
      <c r="N2444">
        <f>IF(交易處理資料__3[[#This Row],[上班時間]]=0,0,交易處理資料__3[[#This Row],[售出工時]]/交易處理資料__3[[#This Row],[上班時間]])</f>
        <v>1.5463192717121585</v>
      </c>
      <c r="O2444" s="31" t="str">
        <f>IF(交易處理資料__3[[#This Row],[上班時間]]=0,"否","是")</f>
        <v>是</v>
      </c>
    </row>
    <row r="2445" spans="1:15" hidden="1">
      <c r="A2445" t="s">
        <v>75</v>
      </c>
      <c r="B2445" t="s">
        <v>32</v>
      </c>
      <c r="C2445">
        <v>6.2433333329999998</v>
      </c>
      <c r="D2445">
        <v>5.88</v>
      </c>
      <c r="E2445" s="27">
        <v>106.17913830000001</v>
      </c>
      <c r="F2445">
        <v>4.38</v>
      </c>
      <c r="G2445">
        <v>3.68</v>
      </c>
      <c r="H2445">
        <v>8.06</v>
      </c>
      <c r="I2445">
        <v>54.34</v>
      </c>
      <c r="J2445">
        <v>77.459999999999994</v>
      </c>
      <c r="K2445" s="9">
        <v>45353</v>
      </c>
      <c r="L2445">
        <f xml:space="preserve"> (交易處理資料__3[[#This Row],[售出工時]] * 60) / 5</f>
        <v>74.919999996000001</v>
      </c>
      <c r="M2445" t="str">
        <f>VLOOKUP(交易處理資料__3[[#This Row],[人員代號]],團隊分組!$B$1:$C$52,2,FALSE)</f>
        <v>快速保養團隊B</v>
      </c>
      <c r="N2445">
        <f>IF(交易處理資料__3[[#This Row],[上班時間]]=0,0,交易處理資料__3[[#This Row],[售出工時]]/交易處理資料__3[[#This Row],[上班時間]])</f>
        <v>0.77460711327543419</v>
      </c>
      <c r="O2445" s="31" t="str">
        <f>IF(交易處理資料__3[[#This Row],[上班時間]]=0,"否","是")</f>
        <v>是</v>
      </c>
    </row>
    <row r="2446" spans="1:15">
      <c r="A2446" t="s">
        <v>75</v>
      </c>
      <c r="B2446" t="s">
        <v>33</v>
      </c>
      <c r="C2446">
        <v>7.6666666670000003</v>
      </c>
      <c r="D2446">
        <v>5.4</v>
      </c>
      <c r="E2446" s="27">
        <v>141.97530860000001</v>
      </c>
      <c r="F2446">
        <v>5.75</v>
      </c>
      <c r="G2446">
        <v>2.3199999999999998</v>
      </c>
      <c r="H2446">
        <v>8.07</v>
      </c>
      <c r="I2446">
        <v>71.25</v>
      </c>
      <c r="J2446">
        <v>95</v>
      </c>
      <c r="K2446" s="9">
        <v>45353</v>
      </c>
      <c r="L2446">
        <f xml:space="preserve"> (交易處理資料__3[[#This Row],[售出工時]] * 60) / 5</f>
        <v>92.000000004</v>
      </c>
      <c r="M2446" t="str">
        <f>VLOOKUP(交易處理資料__3[[#This Row],[人員代號]],團隊分組!$B$1:$C$52,2,FALSE)</f>
        <v>快速保養團隊B</v>
      </c>
      <c r="N2446">
        <f>IF(交易處理資料__3[[#This Row],[上班時間]]=0,0,交易處理資料__3[[#This Row],[售出工時]]/交易處理資料__3[[#This Row],[上班時間]])</f>
        <v>0.95002065266418834</v>
      </c>
      <c r="O2446" s="31" t="str">
        <f>IF(交易處理資料__3[[#This Row],[上班時間]]=0,"否","是")</f>
        <v>是</v>
      </c>
    </row>
    <row r="2447" spans="1:15" hidden="1">
      <c r="A2447" t="s">
        <v>75</v>
      </c>
      <c r="B2447" t="s">
        <v>34</v>
      </c>
      <c r="C2447">
        <v>6.5266666669999998</v>
      </c>
      <c r="D2447">
        <v>4.99</v>
      </c>
      <c r="E2447" s="27">
        <v>130.7949232</v>
      </c>
      <c r="F2447">
        <v>3.88</v>
      </c>
      <c r="G2447">
        <v>4.18</v>
      </c>
      <c r="H2447">
        <v>8.06</v>
      </c>
      <c r="I2447">
        <v>48.14</v>
      </c>
      <c r="J2447">
        <v>80.98</v>
      </c>
      <c r="K2447" s="9">
        <v>45353</v>
      </c>
      <c r="L2447">
        <f xml:space="preserve"> (交易處理資料__3[[#This Row],[售出工時]] * 60) / 5</f>
        <v>78.320000003999994</v>
      </c>
      <c r="M2447" t="str">
        <f>VLOOKUP(交易處理資料__3[[#This Row],[人員代號]],團隊分組!$B$1:$C$52,2,FALSE)</f>
        <v>快速保養團隊A</v>
      </c>
      <c r="N2447">
        <f>IF(交易處理資料__3[[#This Row],[上班時間]]=0,0,交易處理資料__3[[#This Row],[售出工時]]/交易處理資料__3[[#This Row],[上班時間]])</f>
        <v>0.80976013238213396</v>
      </c>
      <c r="O2447" s="31" t="str">
        <f>IF(交易處理資料__3[[#This Row],[上班時間]]=0,"否","是")</f>
        <v>是</v>
      </c>
    </row>
    <row r="2448" spans="1:15" hidden="1">
      <c r="A2448" t="s">
        <v>75</v>
      </c>
      <c r="B2448" t="s">
        <v>35</v>
      </c>
      <c r="C2448">
        <v>0</v>
      </c>
      <c r="D2448">
        <v>0</v>
      </c>
      <c r="E2448" s="27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 s="9">
        <v>45353</v>
      </c>
      <c r="L2448">
        <f xml:space="preserve"> (交易處理資料__3[[#This Row],[售出工時]] * 60) / 5</f>
        <v>0</v>
      </c>
      <c r="M2448" t="str">
        <f>VLOOKUP(交易處理資料__3[[#This Row],[人員代號]],團隊分組!$B$1:$C$52,2,FALSE)</f>
        <v>查修團隊B</v>
      </c>
      <c r="N2448">
        <f>IF(交易處理資料__3[[#This Row],[上班時間]]=0,0,交易處理資料__3[[#This Row],[售出工時]]/交易處理資料__3[[#This Row],[上班時間]])</f>
        <v>0</v>
      </c>
      <c r="O2448" s="31" t="str">
        <f>IF(交易處理資料__3[[#This Row],[上班時間]]=0,"否","是")</f>
        <v>否</v>
      </c>
    </row>
    <row r="2449" spans="1:15" hidden="1">
      <c r="A2449" t="s">
        <v>75</v>
      </c>
      <c r="B2449" t="s">
        <v>36</v>
      </c>
      <c r="C2449">
        <v>0</v>
      </c>
      <c r="D2449">
        <v>0</v>
      </c>
      <c r="E2449" s="27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 s="9">
        <v>45353</v>
      </c>
      <c r="L2449">
        <f xml:space="preserve"> (交易處理資料__3[[#This Row],[售出工時]] * 60) / 5</f>
        <v>0</v>
      </c>
      <c r="M2449" t="str">
        <f>VLOOKUP(交易處理資料__3[[#This Row],[人員代號]],團隊分組!$B$1:$C$52,2,FALSE)</f>
        <v>查修團隊B</v>
      </c>
      <c r="N2449">
        <f>IF(交易處理資料__3[[#This Row],[上班時間]]=0,0,交易處理資料__3[[#This Row],[售出工時]]/交易處理資料__3[[#This Row],[上班時間]])</f>
        <v>0</v>
      </c>
      <c r="O2449" s="31" t="str">
        <f>IF(交易處理資料__3[[#This Row],[上班時間]]=0,"否","是")</f>
        <v>否</v>
      </c>
    </row>
    <row r="2450" spans="1:15" hidden="1">
      <c r="A2450" t="s">
        <v>75</v>
      </c>
      <c r="B2450" t="s">
        <v>38</v>
      </c>
      <c r="C2450">
        <v>0</v>
      </c>
      <c r="D2450">
        <v>0</v>
      </c>
      <c r="E2450" s="27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 s="9">
        <v>45353</v>
      </c>
      <c r="L2450">
        <f xml:space="preserve"> (交易處理資料__3[[#This Row],[售出工時]] * 60) / 5</f>
        <v>0</v>
      </c>
      <c r="M2450" t="str">
        <f>VLOOKUP(交易處理資料__3[[#This Row],[人員代號]],團隊分組!$B$1:$C$52,2,FALSE)</f>
        <v>快速保養團隊A</v>
      </c>
      <c r="N2450">
        <f>IF(交易處理資料__3[[#This Row],[上班時間]]=0,0,交易處理資料__3[[#This Row],[售出工時]]/交易處理資料__3[[#This Row],[上班時間]])</f>
        <v>0</v>
      </c>
      <c r="O2450" s="31" t="str">
        <f>IF(交易處理資料__3[[#This Row],[上班時間]]=0,"否","是")</f>
        <v>否</v>
      </c>
    </row>
    <row r="2451" spans="1:15" hidden="1">
      <c r="A2451" t="s">
        <v>75</v>
      </c>
      <c r="B2451" t="s">
        <v>40</v>
      </c>
      <c r="C2451">
        <v>0</v>
      </c>
      <c r="D2451">
        <v>0</v>
      </c>
      <c r="E2451" s="27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 s="9">
        <v>45353</v>
      </c>
      <c r="L2451">
        <f xml:space="preserve"> (交易處理資料__3[[#This Row],[售出工時]] * 60) / 5</f>
        <v>0</v>
      </c>
      <c r="M2451" t="str">
        <f>VLOOKUP(交易處理資料__3[[#This Row],[人員代號]],團隊分組!$B$1:$C$52,2,FALSE)</f>
        <v>查修團隊A</v>
      </c>
      <c r="N2451">
        <f>IF(交易處理資料__3[[#This Row],[上班時間]]=0,0,交易處理資料__3[[#This Row],[售出工時]]/交易處理資料__3[[#This Row],[上班時間]])</f>
        <v>0</v>
      </c>
      <c r="O2451" s="31" t="str">
        <f>IF(交易處理資料__3[[#This Row],[上班時間]]=0,"否","是")</f>
        <v>否</v>
      </c>
    </row>
    <row r="2452" spans="1:15" hidden="1">
      <c r="A2452" t="s">
        <v>75</v>
      </c>
      <c r="B2452" t="s">
        <v>42</v>
      </c>
      <c r="C2452">
        <v>4.1666666670000003</v>
      </c>
      <c r="D2452">
        <v>1.95</v>
      </c>
      <c r="E2452" s="27">
        <v>213.6752137</v>
      </c>
      <c r="F2452">
        <v>5.01</v>
      </c>
      <c r="G2452">
        <v>3.05</v>
      </c>
      <c r="H2452">
        <v>8.06</v>
      </c>
      <c r="I2452">
        <v>62.16</v>
      </c>
      <c r="J2452">
        <v>51.7</v>
      </c>
      <c r="K2452" s="9">
        <v>45353</v>
      </c>
      <c r="L2452">
        <f xml:space="preserve"> (交易處理資料__3[[#This Row],[售出工時]] * 60) / 5</f>
        <v>50.000000004</v>
      </c>
      <c r="M2452" t="str">
        <f>VLOOKUP(交易處理資料__3[[#This Row],[人員代號]],團隊分組!$B$1:$C$52,2,FALSE)</f>
        <v>快速保養團隊A</v>
      </c>
      <c r="N2452">
        <f>IF(交易處理資料__3[[#This Row],[上班時間]]=0,0,交易處理資料__3[[#This Row],[售出工時]]/交易處理資料__3[[#This Row],[上班時間]])</f>
        <v>0.51695616215880891</v>
      </c>
      <c r="O2452" s="31" t="str">
        <f>IF(交易處理資料__3[[#This Row],[上班時間]]=0,"否","是")</f>
        <v>是</v>
      </c>
    </row>
    <row r="2453" spans="1:15" hidden="1">
      <c r="A2453" t="s">
        <v>75</v>
      </c>
      <c r="B2453" t="s">
        <v>44</v>
      </c>
      <c r="C2453">
        <v>0</v>
      </c>
      <c r="D2453">
        <v>0</v>
      </c>
      <c r="E2453" s="27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 s="9">
        <v>45353</v>
      </c>
      <c r="L2453">
        <f xml:space="preserve"> (交易處理資料__3[[#This Row],[售出工時]] * 60) / 5</f>
        <v>0</v>
      </c>
      <c r="M2453" t="str">
        <f>VLOOKUP(交易處理資料__3[[#This Row],[人員代號]],團隊分組!$B$1:$C$52,2,FALSE)</f>
        <v>快速保養團隊B</v>
      </c>
      <c r="N2453">
        <f>IF(交易處理資料__3[[#This Row],[上班時間]]=0,0,交易處理資料__3[[#This Row],[售出工時]]/交易處理資料__3[[#This Row],[上班時間]])</f>
        <v>0</v>
      </c>
      <c r="O2453" s="31" t="str">
        <f>IF(交易處理資料__3[[#This Row],[上班時間]]=0,"否","是")</f>
        <v>否</v>
      </c>
    </row>
    <row r="2454" spans="1:15" hidden="1">
      <c r="A2454" t="s">
        <v>75</v>
      </c>
      <c r="B2454" t="s">
        <v>45</v>
      </c>
      <c r="C2454">
        <v>5.9766666669999999</v>
      </c>
      <c r="D2454">
        <v>5.6</v>
      </c>
      <c r="E2454" s="27">
        <v>106.7261905</v>
      </c>
      <c r="F2454">
        <v>5.32</v>
      </c>
      <c r="G2454">
        <v>2.76</v>
      </c>
      <c r="H2454">
        <v>8.08</v>
      </c>
      <c r="I2454">
        <v>65.84</v>
      </c>
      <c r="J2454">
        <v>73.97</v>
      </c>
      <c r="K2454" s="9">
        <v>45353</v>
      </c>
      <c r="L2454">
        <f xml:space="preserve"> (交易處理資料__3[[#This Row],[售出工時]] * 60) / 5</f>
        <v>71.720000003999999</v>
      </c>
      <c r="M2454" t="str">
        <f>VLOOKUP(交易處理資料__3[[#This Row],[人員代號]],團隊分組!$B$1:$C$52,2,FALSE)</f>
        <v>快速保養團隊A</v>
      </c>
      <c r="N2454">
        <f>IF(交易處理資料__3[[#This Row],[上班時間]]=0,0,交易處理資料__3[[#This Row],[售出工時]]/交易處理資料__3[[#This Row],[上班時間]])</f>
        <v>0.73968646868811883</v>
      </c>
      <c r="O2454" s="31" t="str">
        <f>IF(交易處理資料__3[[#This Row],[上班時間]]=0,"否","是")</f>
        <v>是</v>
      </c>
    </row>
    <row r="2455" spans="1:15" hidden="1">
      <c r="A2455" t="s">
        <v>75</v>
      </c>
      <c r="B2455" t="s">
        <v>46</v>
      </c>
      <c r="C2455">
        <v>2.1</v>
      </c>
      <c r="D2455">
        <v>3.12</v>
      </c>
      <c r="E2455" s="27">
        <v>67.307692309999993</v>
      </c>
      <c r="F2455">
        <v>3.12</v>
      </c>
      <c r="G2455">
        <v>4.95</v>
      </c>
      <c r="H2455">
        <v>8.07</v>
      </c>
      <c r="I2455">
        <v>38.659999999999997</v>
      </c>
      <c r="J2455">
        <v>26.02</v>
      </c>
      <c r="K2455" s="9">
        <v>45353</v>
      </c>
      <c r="L2455">
        <f xml:space="preserve"> (交易處理資料__3[[#This Row],[售出工時]] * 60) / 5</f>
        <v>25.2</v>
      </c>
      <c r="M2455" t="str">
        <f>VLOOKUP(交易處理資料__3[[#This Row],[人員代號]],團隊分組!$B$1:$C$52,2,FALSE)</f>
        <v>查修團隊B</v>
      </c>
      <c r="N2455">
        <f>IF(交易處理資料__3[[#This Row],[上班時間]]=0,0,交易處理資料__3[[#This Row],[售出工時]]/交易處理資料__3[[#This Row],[上班時間]])</f>
        <v>0.26022304832713755</v>
      </c>
      <c r="O2455" s="31" t="str">
        <f>IF(交易處理資料__3[[#This Row],[上班時間]]=0,"否","是")</f>
        <v>是</v>
      </c>
    </row>
    <row r="2456" spans="1:15" hidden="1">
      <c r="A2456" t="s">
        <v>75</v>
      </c>
      <c r="B2456" t="s">
        <v>48</v>
      </c>
      <c r="C2456">
        <v>2.3199999999999998</v>
      </c>
      <c r="D2456">
        <v>3.21</v>
      </c>
      <c r="E2456" s="27">
        <v>72.274143300000006</v>
      </c>
      <c r="F2456">
        <v>3.21</v>
      </c>
      <c r="G2456">
        <v>4.8600000000000003</v>
      </c>
      <c r="H2456">
        <v>8.07</v>
      </c>
      <c r="I2456">
        <v>39.78</v>
      </c>
      <c r="J2456">
        <v>28.75</v>
      </c>
      <c r="K2456" s="9">
        <v>45353</v>
      </c>
      <c r="L2456">
        <f xml:space="preserve"> (交易處理資料__3[[#This Row],[售出工時]] * 60) / 5</f>
        <v>27.839999999999996</v>
      </c>
      <c r="M2456" t="str">
        <f>VLOOKUP(交易處理資料__3[[#This Row],[人員代號]],團隊分組!$B$1:$C$52,2,FALSE)</f>
        <v>查修團隊A</v>
      </c>
      <c r="N2456">
        <f>IF(交易處理資料__3[[#This Row],[上班時間]]=0,0,交易處理資料__3[[#This Row],[售出工時]]/交易處理資料__3[[#This Row],[上班時間]])</f>
        <v>0.28748451053283763</v>
      </c>
      <c r="O2456" s="31" t="str">
        <f>IF(交易處理資料__3[[#This Row],[上班時間]]=0,"否","是")</f>
        <v>是</v>
      </c>
    </row>
    <row r="2457" spans="1:15" hidden="1">
      <c r="A2457" t="s">
        <v>75</v>
      </c>
      <c r="B2457" t="s">
        <v>49</v>
      </c>
      <c r="C2457">
        <v>0</v>
      </c>
      <c r="D2457">
        <v>0</v>
      </c>
      <c r="E2457" s="2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 s="9">
        <v>45353</v>
      </c>
      <c r="L2457">
        <f xml:space="preserve"> (交易處理資料__3[[#This Row],[售出工時]] * 60) / 5</f>
        <v>0</v>
      </c>
      <c r="M2457" t="str">
        <f>VLOOKUP(交易處理資料__3[[#This Row],[人員代號]],團隊分組!$B$1:$C$52,2,FALSE)</f>
        <v>查修團隊A</v>
      </c>
      <c r="N2457">
        <f>IF(交易處理資料__3[[#This Row],[上班時間]]=0,0,交易處理資料__3[[#This Row],[售出工時]]/交易處理資料__3[[#This Row],[上班時間]])</f>
        <v>0</v>
      </c>
      <c r="O2457" s="31" t="str">
        <f>IF(交易處理資料__3[[#This Row],[上班時間]]=0,"否","是")</f>
        <v>否</v>
      </c>
    </row>
    <row r="2458" spans="1:15" hidden="1">
      <c r="A2458" t="s">
        <v>75</v>
      </c>
      <c r="B2458" t="s">
        <v>50</v>
      </c>
      <c r="C2458">
        <v>10.91666667</v>
      </c>
      <c r="D2458">
        <v>6.65</v>
      </c>
      <c r="E2458" s="27">
        <v>164.16040100000001</v>
      </c>
      <c r="F2458">
        <v>5.28</v>
      </c>
      <c r="G2458">
        <v>2.79</v>
      </c>
      <c r="H2458">
        <v>8.07</v>
      </c>
      <c r="I2458">
        <v>65.430000000000007</v>
      </c>
      <c r="J2458">
        <v>135.27000000000001</v>
      </c>
      <c r="K2458" s="9">
        <v>45353</v>
      </c>
      <c r="L2458">
        <f xml:space="preserve"> (交易處理資料__3[[#This Row],[售出工時]] * 60) / 5</f>
        <v>131.00000003999997</v>
      </c>
      <c r="M2458" t="str">
        <f>VLOOKUP(交易處理資料__3[[#This Row],[人員代號]],團隊分組!$B$1:$C$52,2,FALSE)</f>
        <v>快速保養團隊B</v>
      </c>
      <c r="N2458">
        <f>IF(交易處理資料__3[[#This Row],[上班時間]]=0,0,交易處理資料__3[[#This Row],[售出工時]]/交易處理資料__3[[#This Row],[上班時間]])</f>
        <v>1.3527467992565054</v>
      </c>
      <c r="O2458" s="31" t="str">
        <f>IF(交易處理資料__3[[#This Row],[上班時間]]=0,"否","是")</f>
        <v>是</v>
      </c>
    </row>
    <row r="2459" spans="1:15" hidden="1">
      <c r="A2459" t="s">
        <v>75</v>
      </c>
      <c r="B2459" t="s">
        <v>51</v>
      </c>
      <c r="C2459">
        <v>0</v>
      </c>
      <c r="D2459">
        <v>0</v>
      </c>
      <c r="E2459" s="27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 s="9">
        <v>45353</v>
      </c>
      <c r="L2459">
        <f xml:space="preserve"> (交易處理資料__3[[#This Row],[售出工時]] * 60) / 5</f>
        <v>0</v>
      </c>
      <c r="M2459" t="str">
        <f>VLOOKUP(交易處理資料__3[[#This Row],[人員代號]],團隊分組!$B$1:$C$52,2,FALSE)</f>
        <v>無效數據</v>
      </c>
      <c r="N2459">
        <f>IF(交易處理資料__3[[#This Row],[上班時間]]=0,0,交易處理資料__3[[#This Row],[售出工時]]/交易處理資料__3[[#This Row],[上班時間]])</f>
        <v>0</v>
      </c>
      <c r="O2459" s="31" t="str">
        <f>IF(交易處理資料__3[[#This Row],[上班時間]]=0,"否","是")</f>
        <v>否</v>
      </c>
    </row>
    <row r="2460" spans="1:15" hidden="1">
      <c r="A2460" t="s">
        <v>75</v>
      </c>
      <c r="B2460" t="s">
        <v>52</v>
      </c>
      <c r="C2460">
        <v>5.93</v>
      </c>
      <c r="D2460">
        <v>5.89</v>
      </c>
      <c r="E2460" s="27">
        <v>100.6791171</v>
      </c>
      <c r="F2460">
        <v>4.2300000000000004</v>
      </c>
      <c r="G2460">
        <v>3.82</v>
      </c>
      <c r="H2460">
        <v>8.0500000000000007</v>
      </c>
      <c r="I2460">
        <v>52.55</v>
      </c>
      <c r="J2460">
        <v>73.66</v>
      </c>
      <c r="K2460" s="9">
        <v>45353</v>
      </c>
      <c r="L2460">
        <f xml:space="preserve"> (交易處理資料__3[[#This Row],[售出工時]] * 60) / 5</f>
        <v>71.16</v>
      </c>
      <c r="M2460" t="str">
        <f>VLOOKUP(交易處理資料__3[[#This Row],[人員代號]],團隊分組!$B$1:$C$52,2,FALSE)</f>
        <v>查修團隊B</v>
      </c>
      <c r="N2460">
        <f>IF(交易處理資料__3[[#This Row],[上班時間]]=0,0,交易處理資料__3[[#This Row],[售出工時]]/交易處理資料__3[[#This Row],[上班時間]])</f>
        <v>0.73664596273291916</v>
      </c>
      <c r="O2460" s="31" t="str">
        <f>IF(交易處理資料__3[[#This Row],[上班時間]]=0,"否","是")</f>
        <v>是</v>
      </c>
    </row>
    <row r="2461" spans="1:15" hidden="1">
      <c r="A2461" t="s">
        <v>75</v>
      </c>
      <c r="B2461" t="s">
        <v>53</v>
      </c>
      <c r="C2461">
        <v>1.9166666670000001</v>
      </c>
      <c r="D2461">
        <v>4.6900000000000004</v>
      </c>
      <c r="E2461" s="27">
        <v>40.867093109999999</v>
      </c>
      <c r="F2461">
        <v>7.48</v>
      </c>
      <c r="G2461">
        <v>0.57999999999999996</v>
      </c>
      <c r="H2461">
        <v>8.06</v>
      </c>
      <c r="I2461">
        <v>92.8</v>
      </c>
      <c r="J2461">
        <v>23.78</v>
      </c>
      <c r="K2461" s="9">
        <v>45353</v>
      </c>
      <c r="L2461">
        <f xml:space="preserve"> (交易處理資料__3[[#This Row],[售出工時]] * 60) / 5</f>
        <v>23.000000004</v>
      </c>
      <c r="M2461" t="str">
        <f>VLOOKUP(交易處理資料__3[[#This Row],[人員代號]],團隊分組!$B$1:$C$52,2,FALSE)</f>
        <v>查修團隊A</v>
      </c>
      <c r="N2461">
        <f>IF(交易處理資料__3[[#This Row],[上班時間]]=0,0,交易處理資料__3[[#This Row],[售出工時]]/交易處理資料__3[[#This Row],[上班時間]])</f>
        <v>0.23779983461538462</v>
      </c>
      <c r="O2461" s="31" t="str">
        <f>IF(交易處理資料__3[[#This Row],[上班時間]]=0,"否","是")</f>
        <v>是</v>
      </c>
    </row>
    <row r="2462" spans="1:15" hidden="1">
      <c r="A2462" s="10" t="s">
        <v>73</v>
      </c>
      <c r="B2462" t="s">
        <v>1</v>
      </c>
      <c r="C2462">
        <v>0</v>
      </c>
      <c r="D2462">
        <v>0</v>
      </c>
      <c r="E2462" s="27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 s="9">
        <v>45354</v>
      </c>
      <c r="L2462">
        <f xml:space="preserve"> (交易處理資料__3[[#This Row],[售出工時]] * 60) / 5</f>
        <v>0</v>
      </c>
      <c r="M2462" t="str">
        <f>VLOOKUP(交易處理資料__3[[#This Row],[人員代號]],團隊分組!$B$1:$C$52,2,FALSE)</f>
        <v>噴漆維修組</v>
      </c>
      <c r="N2462">
        <f>IF(交易處理資料__3[[#This Row],[上班時間]]=0,0,交易處理資料__3[[#This Row],[售出工時]]/交易處理資料__3[[#This Row],[上班時間]])</f>
        <v>0</v>
      </c>
      <c r="O2462" s="31" t="str">
        <f>IF(交易處理資料__3[[#This Row],[上班時間]]=0,"否","是")</f>
        <v>否</v>
      </c>
    </row>
    <row r="2463" spans="1:15" hidden="1">
      <c r="A2463" s="10" t="s">
        <v>73</v>
      </c>
      <c r="B2463" t="s">
        <v>2</v>
      </c>
      <c r="C2463">
        <v>0</v>
      </c>
      <c r="D2463">
        <v>0</v>
      </c>
      <c r="E2463" s="27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 s="9">
        <v>45354</v>
      </c>
      <c r="L2463">
        <f xml:space="preserve"> (交易處理資料__3[[#This Row],[售出工時]] * 60) / 5</f>
        <v>0</v>
      </c>
      <c r="M2463" t="str">
        <f>VLOOKUP(交易處理資料__3[[#This Row],[人員代號]],團隊分組!$B$1:$C$52,2,FALSE)</f>
        <v>噴漆維修組</v>
      </c>
      <c r="N2463">
        <f>IF(交易處理資料__3[[#This Row],[上班時間]]=0,0,交易處理資料__3[[#This Row],[售出工時]]/交易處理資料__3[[#This Row],[上班時間]])</f>
        <v>0</v>
      </c>
      <c r="O2463" s="31" t="str">
        <f>IF(交易處理資料__3[[#This Row],[上班時間]]=0,"否","是")</f>
        <v>否</v>
      </c>
    </row>
    <row r="2464" spans="1:15" hidden="1">
      <c r="A2464" s="10" t="s">
        <v>73</v>
      </c>
      <c r="B2464" t="s">
        <v>3</v>
      </c>
      <c r="C2464">
        <v>0</v>
      </c>
      <c r="D2464">
        <v>0</v>
      </c>
      <c r="E2464" s="27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 s="9">
        <v>45354</v>
      </c>
      <c r="L2464">
        <f xml:space="preserve"> (交易處理資料__3[[#This Row],[售出工時]] * 60) / 5</f>
        <v>0</v>
      </c>
      <c r="M2464" t="str">
        <f>VLOOKUP(交易處理資料__3[[#This Row],[人員代號]],團隊分組!$B$1:$C$52,2,FALSE)</f>
        <v>噴漆維修組</v>
      </c>
      <c r="N2464">
        <f>IF(交易處理資料__3[[#This Row],[上班時間]]=0,0,交易處理資料__3[[#This Row],[售出工時]]/交易處理資料__3[[#This Row],[上班時間]])</f>
        <v>0</v>
      </c>
      <c r="O2464" s="31" t="str">
        <f>IF(交易處理資料__3[[#This Row],[上班時間]]=0,"否","是")</f>
        <v>否</v>
      </c>
    </row>
    <row r="2465" spans="1:15" hidden="1">
      <c r="A2465" s="10" t="s">
        <v>73</v>
      </c>
      <c r="B2465" t="s">
        <v>4</v>
      </c>
      <c r="C2465">
        <v>0</v>
      </c>
      <c r="D2465">
        <v>0</v>
      </c>
      <c r="E2465" s="27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 s="9">
        <v>45354</v>
      </c>
      <c r="L2465">
        <f xml:space="preserve"> (交易處理資料__3[[#This Row],[售出工時]] * 60) / 5</f>
        <v>0</v>
      </c>
      <c r="M2465" t="str">
        <f>VLOOKUP(交易處理資料__3[[#This Row],[人員代號]],團隊分組!$B$1:$C$52,2,FALSE)</f>
        <v>噴漆維修組</v>
      </c>
      <c r="N2465">
        <f>IF(交易處理資料__3[[#This Row],[上班時間]]=0,0,交易處理資料__3[[#This Row],[售出工時]]/交易處理資料__3[[#This Row],[上班時間]])</f>
        <v>0</v>
      </c>
      <c r="O2465" s="31" t="str">
        <f>IF(交易處理資料__3[[#This Row],[上班時間]]=0,"否","是")</f>
        <v>否</v>
      </c>
    </row>
    <row r="2466" spans="1:15" hidden="1">
      <c r="A2466" s="10" t="s">
        <v>73</v>
      </c>
      <c r="B2466" t="s">
        <v>5</v>
      </c>
      <c r="C2466">
        <v>0</v>
      </c>
      <c r="D2466">
        <v>0</v>
      </c>
      <c r="E2466" s="27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 s="9">
        <v>45354</v>
      </c>
      <c r="L2466">
        <f xml:space="preserve"> (交易處理資料__3[[#This Row],[售出工時]] * 60) / 5</f>
        <v>0</v>
      </c>
      <c r="M2466" t="str">
        <f>VLOOKUP(交易處理資料__3[[#This Row],[人員代號]],團隊分組!$B$1:$C$52,2,FALSE)</f>
        <v>噴漆維修組</v>
      </c>
      <c r="N2466">
        <f>IF(交易處理資料__3[[#This Row],[上班時間]]=0,0,交易處理資料__3[[#This Row],[售出工時]]/交易處理資料__3[[#This Row],[上班時間]])</f>
        <v>0</v>
      </c>
      <c r="O2466" s="31" t="str">
        <f>IF(交易處理資料__3[[#This Row],[上班時間]]=0,"否","是")</f>
        <v>否</v>
      </c>
    </row>
    <row r="2467" spans="1:15" hidden="1">
      <c r="A2467" s="10" t="s">
        <v>73</v>
      </c>
      <c r="B2467" t="s">
        <v>6</v>
      </c>
      <c r="C2467">
        <v>0</v>
      </c>
      <c r="D2467">
        <v>0</v>
      </c>
      <c r="E2467" s="2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 s="9">
        <v>45354</v>
      </c>
      <c r="L2467">
        <f xml:space="preserve"> (交易處理資料__3[[#This Row],[售出工時]] * 60) / 5</f>
        <v>0</v>
      </c>
      <c r="M2467" t="str">
        <f>VLOOKUP(交易處理資料__3[[#This Row],[人員代號]],團隊分組!$B$1:$C$52,2,FALSE)</f>
        <v>噴漆維修組</v>
      </c>
      <c r="N2467">
        <f>IF(交易處理資料__3[[#This Row],[上班時間]]=0,0,交易處理資料__3[[#This Row],[售出工時]]/交易處理資料__3[[#This Row],[上班時間]])</f>
        <v>0</v>
      </c>
      <c r="O2467" s="31" t="str">
        <f>IF(交易處理資料__3[[#This Row],[上班時間]]=0,"否","是")</f>
        <v>否</v>
      </c>
    </row>
    <row r="2468" spans="1:15" hidden="1">
      <c r="A2468" s="10" t="s">
        <v>73</v>
      </c>
      <c r="B2468" t="s">
        <v>7</v>
      </c>
      <c r="C2468">
        <v>0</v>
      </c>
      <c r="D2468">
        <v>0</v>
      </c>
      <c r="E2468" s="27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 s="9">
        <v>45354</v>
      </c>
      <c r="L2468">
        <f xml:space="preserve"> (交易處理資料__3[[#This Row],[售出工時]] * 60) / 5</f>
        <v>0</v>
      </c>
      <c r="M2468" t="str">
        <f>VLOOKUP(交易處理資料__3[[#This Row],[人員代號]],團隊分組!$B$1:$C$52,2,FALSE)</f>
        <v>噴漆維修組</v>
      </c>
      <c r="N2468">
        <f>IF(交易處理資料__3[[#This Row],[上班時間]]=0,0,交易處理資料__3[[#This Row],[售出工時]]/交易處理資料__3[[#This Row],[上班時間]])</f>
        <v>0</v>
      </c>
      <c r="O2468" s="31" t="str">
        <f>IF(交易處理資料__3[[#This Row],[上班時間]]=0,"否","是")</f>
        <v>否</v>
      </c>
    </row>
    <row r="2469" spans="1:15" hidden="1">
      <c r="A2469" s="10" t="s">
        <v>73</v>
      </c>
      <c r="B2469" t="s">
        <v>8</v>
      </c>
      <c r="C2469">
        <v>0</v>
      </c>
      <c r="D2469">
        <v>0</v>
      </c>
      <c r="E2469" s="27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 s="9">
        <v>45354</v>
      </c>
      <c r="L2469">
        <f xml:space="preserve"> (交易處理資料__3[[#This Row],[售出工時]] * 60) / 5</f>
        <v>0</v>
      </c>
      <c r="M2469" t="str">
        <f>VLOOKUP(交易處理資料__3[[#This Row],[人員代號]],團隊分組!$B$1:$C$52,2,FALSE)</f>
        <v>噴漆維修組</v>
      </c>
      <c r="N2469">
        <f>IF(交易處理資料__3[[#This Row],[上班時間]]=0,0,交易處理資料__3[[#This Row],[售出工時]]/交易處理資料__3[[#This Row],[上班時間]])</f>
        <v>0</v>
      </c>
      <c r="O2469" s="31" t="str">
        <f>IF(交易處理資料__3[[#This Row],[上班時間]]=0,"否","是")</f>
        <v>否</v>
      </c>
    </row>
    <row r="2470" spans="1:15" hidden="1">
      <c r="A2470" s="10" t="s">
        <v>73</v>
      </c>
      <c r="B2470" t="s">
        <v>9</v>
      </c>
      <c r="C2470">
        <v>0</v>
      </c>
      <c r="D2470">
        <v>0</v>
      </c>
      <c r="E2470" s="27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 s="9">
        <v>45354</v>
      </c>
      <c r="L2470">
        <f xml:space="preserve"> (交易處理資料__3[[#This Row],[售出工時]] * 60) / 5</f>
        <v>0</v>
      </c>
      <c r="M2470" t="str">
        <f>VLOOKUP(交易處理資料__3[[#This Row],[人員代號]],團隊分組!$B$1:$C$52,2,FALSE)</f>
        <v>噴漆維修組</v>
      </c>
      <c r="N2470">
        <f>IF(交易處理資料__3[[#This Row],[上班時間]]=0,0,交易處理資料__3[[#This Row],[售出工時]]/交易處理資料__3[[#This Row],[上班時間]])</f>
        <v>0</v>
      </c>
      <c r="O2470" s="31" t="str">
        <f>IF(交易處理資料__3[[#This Row],[上班時間]]=0,"否","是")</f>
        <v>否</v>
      </c>
    </row>
    <row r="2471" spans="1:15" hidden="1">
      <c r="A2471" t="s">
        <v>74</v>
      </c>
      <c r="B2471" t="s">
        <v>11</v>
      </c>
      <c r="C2471">
        <v>0</v>
      </c>
      <c r="D2471">
        <v>0</v>
      </c>
      <c r="E2471" s="27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 s="9">
        <v>45354</v>
      </c>
      <c r="L2471">
        <f xml:space="preserve"> (交易處理資料__3[[#This Row],[售出工時]] * 60) / 5</f>
        <v>0</v>
      </c>
      <c r="M2471" t="str">
        <f>VLOOKUP(交易處理資料__3[[#This Row],[人員代號]],團隊分組!$B$1:$C$52,2,FALSE)</f>
        <v>鈑金維修組</v>
      </c>
      <c r="N2471">
        <f>IF(交易處理資料__3[[#This Row],[上班時間]]=0,0,交易處理資料__3[[#This Row],[售出工時]]/交易處理資料__3[[#This Row],[上班時間]])</f>
        <v>0</v>
      </c>
      <c r="O2471" s="31" t="str">
        <f>IF(交易處理資料__3[[#This Row],[上班時間]]=0,"否","是")</f>
        <v>否</v>
      </c>
    </row>
    <row r="2472" spans="1:15" hidden="1">
      <c r="A2472" t="s">
        <v>74</v>
      </c>
      <c r="B2472" t="s">
        <v>12</v>
      </c>
      <c r="C2472">
        <v>0</v>
      </c>
      <c r="D2472">
        <v>0</v>
      </c>
      <c r="E2472" s="27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 s="9">
        <v>45354</v>
      </c>
      <c r="L2472">
        <f xml:space="preserve"> (交易處理資料__3[[#This Row],[售出工時]] * 60) / 5</f>
        <v>0</v>
      </c>
      <c r="M2472" t="str">
        <f>VLOOKUP(交易處理資料__3[[#This Row],[人員代號]],團隊分組!$B$1:$C$52,2,FALSE)</f>
        <v>鈑金維修組</v>
      </c>
      <c r="N2472">
        <f>IF(交易處理資料__3[[#This Row],[上班時間]]=0,0,交易處理資料__3[[#This Row],[售出工時]]/交易處理資料__3[[#This Row],[上班時間]])</f>
        <v>0</v>
      </c>
      <c r="O2472" s="31" t="str">
        <f>IF(交易處理資料__3[[#This Row],[上班時間]]=0,"否","是")</f>
        <v>否</v>
      </c>
    </row>
    <row r="2473" spans="1:15" hidden="1">
      <c r="A2473" t="s">
        <v>74</v>
      </c>
      <c r="B2473" t="s">
        <v>13</v>
      </c>
      <c r="C2473">
        <v>0</v>
      </c>
      <c r="D2473">
        <v>0</v>
      </c>
      <c r="E2473" s="27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 s="9">
        <v>45354</v>
      </c>
      <c r="L2473">
        <f xml:space="preserve"> (交易處理資料__3[[#This Row],[售出工時]] * 60) / 5</f>
        <v>0</v>
      </c>
      <c r="M2473" t="str">
        <f>VLOOKUP(交易處理資料__3[[#This Row],[人員代號]],團隊分組!$B$1:$C$52,2,FALSE)</f>
        <v>鈑金維修組</v>
      </c>
      <c r="N2473">
        <f>IF(交易處理資料__3[[#This Row],[上班時間]]=0,0,交易處理資料__3[[#This Row],[售出工時]]/交易處理資料__3[[#This Row],[上班時間]])</f>
        <v>0</v>
      </c>
      <c r="O2473" s="31" t="str">
        <f>IF(交易處理資料__3[[#This Row],[上班時間]]=0,"否","是")</f>
        <v>否</v>
      </c>
    </row>
    <row r="2474" spans="1:15" hidden="1">
      <c r="A2474" t="s">
        <v>74</v>
      </c>
      <c r="B2474" t="s">
        <v>14</v>
      </c>
      <c r="C2474">
        <v>0</v>
      </c>
      <c r="D2474">
        <v>0</v>
      </c>
      <c r="E2474" s="27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 s="9">
        <v>45354</v>
      </c>
      <c r="L2474">
        <f xml:space="preserve"> (交易處理資料__3[[#This Row],[售出工時]] * 60) / 5</f>
        <v>0</v>
      </c>
      <c r="M2474" t="str">
        <f>VLOOKUP(交易處理資料__3[[#This Row],[人員代號]],團隊分組!$B$1:$C$52,2,FALSE)</f>
        <v>鈑金維修組</v>
      </c>
      <c r="N2474">
        <f>IF(交易處理資料__3[[#This Row],[上班時間]]=0,0,交易處理資料__3[[#This Row],[售出工時]]/交易處理資料__3[[#This Row],[上班時間]])</f>
        <v>0</v>
      </c>
      <c r="O2474" s="31" t="str">
        <f>IF(交易處理資料__3[[#This Row],[上班時間]]=0,"否","是")</f>
        <v>否</v>
      </c>
    </row>
    <row r="2475" spans="1:15" hidden="1">
      <c r="A2475" t="s">
        <v>74</v>
      </c>
      <c r="B2475" t="s">
        <v>15</v>
      </c>
      <c r="C2475">
        <v>0</v>
      </c>
      <c r="D2475">
        <v>0</v>
      </c>
      <c r="E2475" s="27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 s="9">
        <v>45354</v>
      </c>
      <c r="L2475">
        <f xml:space="preserve"> (交易處理資料__3[[#This Row],[售出工時]] * 60) / 5</f>
        <v>0</v>
      </c>
      <c r="M2475" t="str">
        <f>VLOOKUP(交易處理資料__3[[#This Row],[人員代號]],團隊分組!$B$1:$C$52,2,FALSE)</f>
        <v>鈑金維修組</v>
      </c>
      <c r="N2475">
        <f>IF(交易處理資料__3[[#This Row],[上班時間]]=0,0,交易處理資料__3[[#This Row],[售出工時]]/交易處理資料__3[[#This Row],[上班時間]])</f>
        <v>0</v>
      </c>
      <c r="O2475" s="31" t="str">
        <f>IF(交易處理資料__3[[#This Row],[上班時間]]=0,"否","是")</f>
        <v>否</v>
      </c>
    </row>
    <row r="2476" spans="1:15" hidden="1">
      <c r="A2476" t="s">
        <v>75</v>
      </c>
      <c r="B2476" t="s">
        <v>17</v>
      </c>
      <c r="C2476">
        <v>0</v>
      </c>
      <c r="D2476">
        <v>0</v>
      </c>
      <c r="E2476" s="27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 s="9">
        <v>45354</v>
      </c>
      <c r="L2476">
        <f xml:space="preserve"> (交易處理資料__3[[#This Row],[售出工時]] * 60) / 5</f>
        <v>0</v>
      </c>
      <c r="M2476" t="str">
        <f>VLOOKUP(交易處理資料__3[[#This Row],[人員代號]],團隊分組!$B$1:$C$52,2,FALSE)</f>
        <v>快速保養團隊A</v>
      </c>
      <c r="N2476">
        <f>IF(交易處理資料__3[[#This Row],[上班時間]]=0,0,交易處理資料__3[[#This Row],[售出工時]]/交易處理資料__3[[#This Row],[上班時間]])</f>
        <v>0</v>
      </c>
      <c r="O2476" s="31" t="str">
        <f>IF(交易處理資料__3[[#This Row],[上班時間]]=0,"否","是")</f>
        <v>否</v>
      </c>
    </row>
    <row r="2477" spans="1:15" hidden="1">
      <c r="A2477" t="s">
        <v>75</v>
      </c>
      <c r="B2477" t="s">
        <v>18</v>
      </c>
      <c r="C2477">
        <v>0</v>
      </c>
      <c r="D2477">
        <v>0</v>
      </c>
      <c r="E2477" s="2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 s="9">
        <v>45354</v>
      </c>
      <c r="L2477">
        <f xml:space="preserve"> (交易處理資料__3[[#This Row],[售出工時]] * 60) / 5</f>
        <v>0</v>
      </c>
      <c r="M2477" t="str">
        <f>VLOOKUP(交易處理資料__3[[#This Row],[人員代號]],團隊分組!$B$1:$C$52,2,FALSE)</f>
        <v>查修團隊B</v>
      </c>
      <c r="N2477">
        <f>IF(交易處理資料__3[[#This Row],[上班時間]]=0,0,交易處理資料__3[[#This Row],[售出工時]]/交易處理資料__3[[#This Row],[上班時間]])</f>
        <v>0</v>
      </c>
      <c r="O2477" s="31" t="str">
        <f>IF(交易處理資料__3[[#This Row],[上班時間]]=0,"否","是")</f>
        <v>否</v>
      </c>
    </row>
    <row r="2478" spans="1:15" hidden="1">
      <c r="A2478" t="s">
        <v>75</v>
      </c>
      <c r="B2478" t="s">
        <v>19</v>
      </c>
      <c r="C2478">
        <v>0</v>
      </c>
      <c r="D2478">
        <v>0</v>
      </c>
      <c r="E2478" s="27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 s="9">
        <v>45354</v>
      </c>
      <c r="L2478">
        <f xml:space="preserve"> (交易處理資料__3[[#This Row],[售出工時]] * 60) / 5</f>
        <v>0</v>
      </c>
      <c r="M2478" t="str">
        <f>VLOOKUP(交易處理資料__3[[#This Row],[人員代號]],團隊分組!$B$1:$C$52,2,FALSE)</f>
        <v>查修團隊A</v>
      </c>
      <c r="N2478">
        <f>IF(交易處理資料__3[[#This Row],[上班時間]]=0,0,交易處理資料__3[[#This Row],[售出工時]]/交易處理資料__3[[#This Row],[上班時間]])</f>
        <v>0</v>
      </c>
      <c r="O2478" s="31" t="str">
        <f>IF(交易處理資料__3[[#This Row],[上班時間]]=0,"否","是")</f>
        <v>否</v>
      </c>
    </row>
    <row r="2479" spans="1:15" hidden="1">
      <c r="A2479" t="s">
        <v>75</v>
      </c>
      <c r="B2479" t="s">
        <v>20</v>
      </c>
      <c r="C2479">
        <v>0</v>
      </c>
      <c r="D2479">
        <v>0</v>
      </c>
      <c r="E2479" s="27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 s="9">
        <v>45354</v>
      </c>
      <c r="L2479">
        <f xml:space="preserve"> (交易處理資料__3[[#This Row],[售出工時]] * 60) / 5</f>
        <v>0</v>
      </c>
      <c r="M2479" t="str">
        <f>VLOOKUP(交易處理資料__3[[#This Row],[人員代號]],團隊分組!$B$1:$C$52,2,FALSE)</f>
        <v>查修團隊B</v>
      </c>
      <c r="N2479">
        <f>IF(交易處理資料__3[[#This Row],[上班時間]]=0,0,交易處理資料__3[[#This Row],[售出工時]]/交易處理資料__3[[#This Row],[上班時間]])</f>
        <v>0</v>
      </c>
      <c r="O2479" s="31" t="str">
        <f>IF(交易處理資料__3[[#This Row],[上班時間]]=0,"否","是")</f>
        <v>否</v>
      </c>
    </row>
    <row r="2480" spans="1:15" hidden="1">
      <c r="A2480" t="s">
        <v>75</v>
      </c>
      <c r="B2480" t="s">
        <v>21</v>
      </c>
      <c r="C2480">
        <v>0</v>
      </c>
      <c r="D2480">
        <v>0</v>
      </c>
      <c r="E2480" s="27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 s="9">
        <v>45354</v>
      </c>
      <c r="L2480">
        <f xml:space="preserve"> (交易處理資料__3[[#This Row],[售出工時]] * 60) / 5</f>
        <v>0</v>
      </c>
      <c r="M2480" t="str">
        <f>VLOOKUP(交易處理資料__3[[#This Row],[人員代號]],團隊分組!$B$1:$C$52,2,FALSE)</f>
        <v>查修團隊B</v>
      </c>
      <c r="N2480">
        <f>IF(交易處理資料__3[[#This Row],[上班時間]]=0,0,交易處理資料__3[[#This Row],[售出工時]]/交易處理資料__3[[#This Row],[上班時間]])</f>
        <v>0</v>
      </c>
      <c r="O2480" s="31" t="str">
        <f>IF(交易處理資料__3[[#This Row],[上班時間]]=0,"否","是")</f>
        <v>否</v>
      </c>
    </row>
    <row r="2481" spans="1:15" hidden="1">
      <c r="A2481" t="s">
        <v>75</v>
      </c>
      <c r="B2481" t="s">
        <v>22</v>
      </c>
      <c r="C2481">
        <v>0</v>
      </c>
      <c r="D2481">
        <v>0</v>
      </c>
      <c r="E2481" s="27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 s="9">
        <v>45354</v>
      </c>
      <c r="L2481">
        <f xml:space="preserve"> (交易處理資料__3[[#This Row],[售出工時]] * 60) / 5</f>
        <v>0</v>
      </c>
      <c r="M2481" t="str">
        <f>VLOOKUP(交易處理資料__3[[#This Row],[人員代號]],團隊分組!$B$1:$C$52,2,FALSE)</f>
        <v>快速保養團隊A</v>
      </c>
      <c r="N2481">
        <f>IF(交易處理資料__3[[#This Row],[上班時間]]=0,0,交易處理資料__3[[#This Row],[售出工時]]/交易處理資料__3[[#This Row],[上班時間]])</f>
        <v>0</v>
      </c>
      <c r="O2481" s="31" t="str">
        <f>IF(交易處理資料__3[[#This Row],[上班時間]]=0,"否","是")</f>
        <v>否</v>
      </c>
    </row>
    <row r="2482" spans="1:15" hidden="1">
      <c r="A2482" t="s">
        <v>75</v>
      </c>
      <c r="B2482" t="s">
        <v>23</v>
      </c>
      <c r="C2482">
        <v>0</v>
      </c>
      <c r="D2482">
        <v>0</v>
      </c>
      <c r="E2482" s="27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 s="9">
        <v>45354</v>
      </c>
      <c r="L2482">
        <f xml:space="preserve"> (交易處理資料__3[[#This Row],[售出工時]] * 60) / 5</f>
        <v>0</v>
      </c>
      <c r="M2482" t="str">
        <f>VLOOKUP(交易處理資料__3[[#This Row],[人員代號]],團隊分組!$B$1:$C$52,2,FALSE)</f>
        <v>快速保養團隊B</v>
      </c>
      <c r="N2482">
        <f>IF(交易處理資料__3[[#This Row],[上班時間]]=0,0,交易處理資料__3[[#This Row],[售出工時]]/交易處理資料__3[[#This Row],[上班時間]])</f>
        <v>0</v>
      </c>
      <c r="O2482" s="31" t="str">
        <f>IF(交易處理資料__3[[#This Row],[上班時間]]=0,"否","是")</f>
        <v>否</v>
      </c>
    </row>
    <row r="2483" spans="1:15" hidden="1">
      <c r="A2483" t="s">
        <v>75</v>
      </c>
      <c r="B2483" t="s">
        <v>24</v>
      </c>
      <c r="C2483">
        <v>0</v>
      </c>
      <c r="D2483">
        <v>0</v>
      </c>
      <c r="E2483" s="27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 s="9">
        <v>45354</v>
      </c>
      <c r="L2483">
        <f xml:space="preserve"> (交易處理資料__3[[#This Row],[售出工時]] * 60) / 5</f>
        <v>0</v>
      </c>
      <c r="M2483" t="str">
        <f>VLOOKUP(交易處理資料__3[[#This Row],[人員代號]],團隊分組!$B$1:$C$52,2,FALSE)</f>
        <v>快速保養團隊A</v>
      </c>
      <c r="N2483">
        <f>IF(交易處理資料__3[[#This Row],[上班時間]]=0,0,交易處理資料__3[[#This Row],[售出工時]]/交易處理資料__3[[#This Row],[上班時間]])</f>
        <v>0</v>
      </c>
      <c r="O2483" s="31" t="str">
        <f>IF(交易處理資料__3[[#This Row],[上班時間]]=0,"否","是")</f>
        <v>否</v>
      </c>
    </row>
    <row r="2484" spans="1:15" hidden="1">
      <c r="A2484" t="s">
        <v>75</v>
      </c>
      <c r="B2484" t="s">
        <v>25</v>
      </c>
      <c r="C2484">
        <v>0</v>
      </c>
      <c r="D2484">
        <v>0</v>
      </c>
      <c r="E2484" s="27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 s="9">
        <v>45354</v>
      </c>
      <c r="L2484">
        <f xml:space="preserve"> (交易處理資料__3[[#This Row],[售出工時]] * 60) / 5</f>
        <v>0</v>
      </c>
      <c r="M2484" t="str">
        <f>VLOOKUP(交易處理資料__3[[#This Row],[人員代號]],團隊分組!$B$1:$C$52,2,FALSE)</f>
        <v>查修團隊A</v>
      </c>
      <c r="N2484">
        <f>IF(交易處理資料__3[[#This Row],[上班時間]]=0,0,交易處理資料__3[[#This Row],[售出工時]]/交易處理資料__3[[#This Row],[上班時間]])</f>
        <v>0</v>
      </c>
      <c r="O2484" s="31" t="str">
        <f>IF(交易處理資料__3[[#This Row],[上班時間]]=0,"否","是")</f>
        <v>否</v>
      </c>
    </row>
    <row r="2485" spans="1:15" hidden="1">
      <c r="A2485" t="s">
        <v>75</v>
      </c>
      <c r="B2485" t="s">
        <v>26</v>
      </c>
      <c r="C2485">
        <v>0</v>
      </c>
      <c r="D2485">
        <v>0</v>
      </c>
      <c r="E2485" s="27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 s="9">
        <v>45354</v>
      </c>
      <c r="L2485">
        <f xml:space="preserve"> (交易處理資料__3[[#This Row],[售出工時]] * 60) / 5</f>
        <v>0</v>
      </c>
      <c r="M2485" t="str">
        <f>VLOOKUP(交易處理資料__3[[#This Row],[人員代號]],團隊分組!$B$1:$C$52,2,FALSE)</f>
        <v>查修團隊B</v>
      </c>
      <c r="N2485">
        <f>IF(交易處理資料__3[[#This Row],[上班時間]]=0,0,交易處理資料__3[[#This Row],[售出工時]]/交易處理資料__3[[#This Row],[上班時間]])</f>
        <v>0</v>
      </c>
      <c r="O2485" s="31" t="str">
        <f>IF(交易處理資料__3[[#This Row],[上班時間]]=0,"否","是")</f>
        <v>否</v>
      </c>
    </row>
    <row r="2486" spans="1:15" hidden="1">
      <c r="A2486" t="s">
        <v>75</v>
      </c>
      <c r="B2486" t="s">
        <v>27</v>
      </c>
      <c r="C2486">
        <v>0</v>
      </c>
      <c r="D2486">
        <v>0</v>
      </c>
      <c r="E2486" s="27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 s="9">
        <v>45354</v>
      </c>
      <c r="L2486">
        <f xml:space="preserve"> (交易處理資料__3[[#This Row],[售出工時]] * 60) / 5</f>
        <v>0</v>
      </c>
      <c r="M2486" t="str">
        <f>VLOOKUP(交易處理資料__3[[#This Row],[人員代號]],團隊分組!$B$1:$C$52,2,FALSE)</f>
        <v>快速保養團隊B</v>
      </c>
      <c r="N2486">
        <f>IF(交易處理資料__3[[#This Row],[上班時間]]=0,0,交易處理資料__3[[#This Row],[售出工時]]/交易處理資料__3[[#This Row],[上班時間]])</f>
        <v>0</v>
      </c>
      <c r="O2486" s="31" t="str">
        <f>IF(交易處理資料__3[[#This Row],[上班時間]]=0,"否","是")</f>
        <v>否</v>
      </c>
    </row>
    <row r="2487" spans="1:15" hidden="1">
      <c r="A2487" t="s">
        <v>75</v>
      </c>
      <c r="B2487" t="s">
        <v>28</v>
      </c>
      <c r="C2487">
        <v>0</v>
      </c>
      <c r="D2487">
        <v>0</v>
      </c>
      <c r="E2487" s="2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 s="9">
        <v>45354</v>
      </c>
      <c r="L2487">
        <f xml:space="preserve"> (交易處理資料__3[[#This Row],[售出工時]] * 60) / 5</f>
        <v>0</v>
      </c>
      <c r="M2487" t="str">
        <f>VLOOKUP(交易處理資料__3[[#This Row],[人員代號]],團隊分組!$B$1:$C$52,2,FALSE)</f>
        <v>快速保養團隊A</v>
      </c>
      <c r="N2487">
        <f>IF(交易處理資料__3[[#This Row],[上班時間]]=0,0,交易處理資料__3[[#This Row],[售出工時]]/交易處理資料__3[[#This Row],[上班時間]])</f>
        <v>0</v>
      </c>
      <c r="O2487" s="31" t="str">
        <f>IF(交易處理資料__3[[#This Row],[上班時間]]=0,"否","是")</f>
        <v>否</v>
      </c>
    </row>
    <row r="2488" spans="1:15" hidden="1">
      <c r="A2488" t="s">
        <v>75</v>
      </c>
      <c r="B2488" t="s">
        <v>29</v>
      </c>
      <c r="C2488">
        <v>0</v>
      </c>
      <c r="D2488">
        <v>0</v>
      </c>
      <c r="E2488" s="27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 s="9">
        <v>45354</v>
      </c>
      <c r="L2488">
        <f xml:space="preserve"> (交易處理資料__3[[#This Row],[售出工時]] * 60) / 5</f>
        <v>0</v>
      </c>
      <c r="M2488" t="str">
        <f>VLOOKUP(交易處理資料__3[[#This Row],[人員代號]],團隊分組!$B$1:$C$52,2,FALSE)</f>
        <v>查修團隊B</v>
      </c>
      <c r="N2488">
        <f>IF(交易處理資料__3[[#This Row],[上班時間]]=0,0,交易處理資料__3[[#This Row],[售出工時]]/交易處理資料__3[[#This Row],[上班時間]])</f>
        <v>0</v>
      </c>
      <c r="O2488" s="31" t="str">
        <f>IF(交易處理資料__3[[#This Row],[上班時間]]=0,"否","是")</f>
        <v>否</v>
      </c>
    </row>
    <row r="2489" spans="1:15" hidden="1">
      <c r="A2489" t="s">
        <v>75</v>
      </c>
      <c r="B2489" t="s">
        <v>30</v>
      </c>
      <c r="C2489">
        <v>0</v>
      </c>
      <c r="D2489">
        <v>0</v>
      </c>
      <c r="E2489" s="27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 s="9">
        <v>45354</v>
      </c>
      <c r="L2489">
        <f xml:space="preserve"> (交易處理資料__3[[#This Row],[售出工時]] * 60) / 5</f>
        <v>0</v>
      </c>
      <c r="M2489" t="str">
        <f>VLOOKUP(交易處理資料__3[[#This Row],[人員代號]],團隊分組!$B$1:$C$52,2,FALSE)</f>
        <v>快速保養團隊B</v>
      </c>
      <c r="N2489">
        <f>IF(交易處理資料__3[[#This Row],[上班時間]]=0,0,交易處理資料__3[[#This Row],[售出工時]]/交易處理資料__3[[#This Row],[上班時間]])</f>
        <v>0</v>
      </c>
      <c r="O2489" s="31" t="str">
        <f>IF(交易處理資料__3[[#This Row],[上班時間]]=0,"否","是")</f>
        <v>否</v>
      </c>
    </row>
    <row r="2490" spans="1:15" hidden="1">
      <c r="A2490" t="s">
        <v>75</v>
      </c>
      <c r="B2490" t="s">
        <v>32</v>
      </c>
      <c r="C2490">
        <v>0</v>
      </c>
      <c r="D2490">
        <v>0</v>
      </c>
      <c r="E2490" s="27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 s="9">
        <v>45354</v>
      </c>
      <c r="L2490">
        <f xml:space="preserve"> (交易處理資料__3[[#This Row],[售出工時]] * 60) / 5</f>
        <v>0</v>
      </c>
      <c r="M2490" t="str">
        <f>VLOOKUP(交易處理資料__3[[#This Row],[人員代號]],團隊分組!$B$1:$C$52,2,FALSE)</f>
        <v>快速保養團隊B</v>
      </c>
      <c r="N2490">
        <f>IF(交易處理資料__3[[#This Row],[上班時間]]=0,0,交易處理資料__3[[#This Row],[售出工時]]/交易處理資料__3[[#This Row],[上班時間]])</f>
        <v>0</v>
      </c>
      <c r="O2490" s="31" t="str">
        <f>IF(交易處理資料__3[[#This Row],[上班時間]]=0,"否","是")</f>
        <v>否</v>
      </c>
    </row>
    <row r="2491" spans="1:15">
      <c r="A2491" t="s">
        <v>75</v>
      </c>
      <c r="B2491" t="s">
        <v>33</v>
      </c>
      <c r="C2491">
        <v>0</v>
      </c>
      <c r="D2491">
        <v>0</v>
      </c>
      <c r="E2491" s="27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 s="9">
        <v>45354</v>
      </c>
      <c r="L2491">
        <f xml:space="preserve"> (交易處理資料__3[[#This Row],[售出工時]] * 60) / 5</f>
        <v>0</v>
      </c>
      <c r="M2491" t="str">
        <f>VLOOKUP(交易處理資料__3[[#This Row],[人員代號]],團隊分組!$B$1:$C$52,2,FALSE)</f>
        <v>快速保養團隊B</v>
      </c>
      <c r="N2491">
        <f>IF(交易處理資料__3[[#This Row],[上班時間]]=0,0,交易處理資料__3[[#This Row],[售出工時]]/交易處理資料__3[[#This Row],[上班時間]])</f>
        <v>0</v>
      </c>
      <c r="O2491" s="31" t="str">
        <f>IF(交易處理資料__3[[#This Row],[上班時間]]=0,"否","是")</f>
        <v>否</v>
      </c>
    </row>
    <row r="2492" spans="1:15" hidden="1">
      <c r="A2492" t="s">
        <v>75</v>
      </c>
      <c r="B2492" t="s">
        <v>34</v>
      </c>
      <c r="C2492">
        <v>0</v>
      </c>
      <c r="D2492">
        <v>0</v>
      </c>
      <c r="E2492" s="27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 s="9">
        <v>45354</v>
      </c>
      <c r="L2492">
        <f xml:space="preserve"> (交易處理資料__3[[#This Row],[售出工時]] * 60) / 5</f>
        <v>0</v>
      </c>
      <c r="M2492" t="str">
        <f>VLOOKUP(交易處理資料__3[[#This Row],[人員代號]],團隊分組!$B$1:$C$52,2,FALSE)</f>
        <v>快速保養團隊A</v>
      </c>
      <c r="N2492">
        <f>IF(交易處理資料__3[[#This Row],[上班時間]]=0,0,交易處理資料__3[[#This Row],[售出工時]]/交易處理資料__3[[#This Row],[上班時間]])</f>
        <v>0</v>
      </c>
      <c r="O2492" s="31" t="str">
        <f>IF(交易處理資料__3[[#This Row],[上班時間]]=0,"否","是")</f>
        <v>否</v>
      </c>
    </row>
    <row r="2493" spans="1:15" hidden="1">
      <c r="A2493" t="s">
        <v>75</v>
      </c>
      <c r="B2493" t="s">
        <v>35</v>
      </c>
      <c r="C2493">
        <v>0</v>
      </c>
      <c r="D2493">
        <v>0</v>
      </c>
      <c r="E2493" s="27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 s="9">
        <v>45354</v>
      </c>
      <c r="L2493">
        <f xml:space="preserve"> (交易處理資料__3[[#This Row],[售出工時]] * 60) / 5</f>
        <v>0</v>
      </c>
      <c r="M2493" t="str">
        <f>VLOOKUP(交易處理資料__3[[#This Row],[人員代號]],團隊分組!$B$1:$C$52,2,FALSE)</f>
        <v>查修團隊B</v>
      </c>
      <c r="N2493">
        <f>IF(交易處理資料__3[[#This Row],[上班時間]]=0,0,交易處理資料__3[[#This Row],[售出工時]]/交易處理資料__3[[#This Row],[上班時間]])</f>
        <v>0</v>
      </c>
      <c r="O2493" s="31" t="str">
        <f>IF(交易處理資料__3[[#This Row],[上班時間]]=0,"否","是")</f>
        <v>否</v>
      </c>
    </row>
    <row r="2494" spans="1:15" hidden="1">
      <c r="A2494" t="s">
        <v>75</v>
      </c>
      <c r="B2494" t="s">
        <v>36</v>
      </c>
      <c r="C2494">
        <v>0</v>
      </c>
      <c r="D2494">
        <v>0</v>
      </c>
      <c r="E2494" s="27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 s="9">
        <v>45354</v>
      </c>
      <c r="L2494">
        <f xml:space="preserve"> (交易處理資料__3[[#This Row],[售出工時]] * 60) / 5</f>
        <v>0</v>
      </c>
      <c r="M2494" t="str">
        <f>VLOOKUP(交易處理資料__3[[#This Row],[人員代號]],團隊分組!$B$1:$C$52,2,FALSE)</f>
        <v>查修團隊B</v>
      </c>
      <c r="N2494">
        <f>IF(交易處理資料__3[[#This Row],[上班時間]]=0,0,交易處理資料__3[[#This Row],[售出工時]]/交易處理資料__3[[#This Row],[上班時間]])</f>
        <v>0</v>
      </c>
      <c r="O2494" s="31" t="str">
        <f>IF(交易處理資料__3[[#This Row],[上班時間]]=0,"否","是")</f>
        <v>否</v>
      </c>
    </row>
    <row r="2495" spans="1:15" hidden="1">
      <c r="A2495" t="s">
        <v>75</v>
      </c>
      <c r="B2495" t="s">
        <v>37</v>
      </c>
      <c r="C2495">
        <v>0</v>
      </c>
      <c r="D2495">
        <v>0</v>
      </c>
      <c r="E2495" s="27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 s="9">
        <v>45354</v>
      </c>
      <c r="L2495">
        <f xml:space="preserve"> (交易處理資料__3[[#This Row],[售出工時]] * 60) / 5</f>
        <v>0</v>
      </c>
      <c r="M2495" t="str">
        <f>VLOOKUP(交易處理資料__3[[#This Row],[人員代號]],團隊分組!$B$1:$C$52,2,FALSE)</f>
        <v>查修團隊A</v>
      </c>
      <c r="N2495">
        <f>IF(交易處理資料__3[[#This Row],[上班時間]]=0,0,交易處理資料__3[[#This Row],[售出工時]]/交易處理資料__3[[#This Row],[上班時間]])</f>
        <v>0</v>
      </c>
      <c r="O2495" s="31" t="str">
        <f>IF(交易處理資料__3[[#This Row],[上班時間]]=0,"否","是")</f>
        <v>否</v>
      </c>
    </row>
    <row r="2496" spans="1:15" hidden="1">
      <c r="A2496" t="s">
        <v>75</v>
      </c>
      <c r="B2496" t="s">
        <v>38</v>
      </c>
      <c r="C2496">
        <v>0</v>
      </c>
      <c r="D2496">
        <v>0</v>
      </c>
      <c r="E2496" s="27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 s="9">
        <v>45354</v>
      </c>
      <c r="L2496">
        <f xml:space="preserve"> (交易處理資料__3[[#This Row],[售出工時]] * 60) / 5</f>
        <v>0</v>
      </c>
      <c r="M2496" t="str">
        <f>VLOOKUP(交易處理資料__3[[#This Row],[人員代號]],團隊分組!$B$1:$C$52,2,FALSE)</f>
        <v>快速保養團隊A</v>
      </c>
      <c r="N2496">
        <f>IF(交易處理資料__3[[#This Row],[上班時間]]=0,0,交易處理資料__3[[#This Row],[售出工時]]/交易處理資料__3[[#This Row],[上班時間]])</f>
        <v>0</v>
      </c>
      <c r="O2496" s="31" t="str">
        <f>IF(交易處理資料__3[[#This Row],[上班時間]]=0,"否","是")</f>
        <v>否</v>
      </c>
    </row>
    <row r="2497" spans="1:15" hidden="1">
      <c r="A2497" t="s">
        <v>75</v>
      </c>
      <c r="B2497" t="s">
        <v>39</v>
      </c>
      <c r="C2497">
        <v>0</v>
      </c>
      <c r="D2497">
        <v>0</v>
      </c>
      <c r="E2497" s="2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 s="9">
        <v>45354</v>
      </c>
      <c r="L2497">
        <f xml:space="preserve"> (交易處理資料__3[[#This Row],[售出工時]] * 60) / 5</f>
        <v>0</v>
      </c>
      <c r="M2497" t="str">
        <f>VLOOKUP(交易處理資料__3[[#This Row],[人員代號]],團隊分組!$B$1:$C$52,2,FALSE)</f>
        <v>查修團隊A</v>
      </c>
      <c r="N2497">
        <f>IF(交易處理資料__3[[#This Row],[上班時間]]=0,0,交易處理資料__3[[#This Row],[售出工時]]/交易處理資料__3[[#This Row],[上班時間]])</f>
        <v>0</v>
      </c>
      <c r="O2497" s="31" t="str">
        <f>IF(交易處理資料__3[[#This Row],[上班時間]]=0,"否","是")</f>
        <v>否</v>
      </c>
    </row>
    <row r="2498" spans="1:15" hidden="1">
      <c r="A2498" t="s">
        <v>75</v>
      </c>
      <c r="B2498" t="s">
        <v>40</v>
      </c>
      <c r="C2498">
        <v>0</v>
      </c>
      <c r="D2498">
        <v>0</v>
      </c>
      <c r="E2498" s="27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 s="9">
        <v>45354</v>
      </c>
      <c r="L2498">
        <f xml:space="preserve"> (交易處理資料__3[[#This Row],[售出工時]] * 60) / 5</f>
        <v>0</v>
      </c>
      <c r="M2498" t="str">
        <f>VLOOKUP(交易處理資料__3[[#This Row],[人員代號]],團隊分組!$B$1:$C$52,2,FALSE)</f>
        <v>查修團隊A</v>
      </c>
      <c r="N2498">
        <f>IF(交易處理資料__3[[#This Row],[上班時間]]=0,0,交易處理資料__3[[#This Row],[售出工時]]/交易處理資料__3[[#This Row],[上班時間]])</f>
        <v>0</v>
      </c>
      <c r="O2498" s="31" t="str">
        <f>IF(交易處理資料__3[[#This Row],[上班時間]]=0,"否","是")</f>
        <v>否</v>
      </c>
    </row>
    <row r="2499" spans="1:15" hidden="1">
      <c r="A2499" t="s">
        <v>75</v>
      </c>
      <c r="B2499" t="s">
        <v>41</v>
      </c>
      <c r="C2499">
        <v>0</v>
      </c>
      <c r="D2499">
        <v>0</v>
      </c>
      <c r="E2499" s="27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 s="9">
        <v>45354</v>
      </c>
      <c r="L2499">
        <f xml:space="preserve"> (交易處理資料__3[[#This Row],[售出工時]] * 60) / 5</f>
        <v>0</v>
      </c>
      <c r="M2499" t="str">
        <f>VLOOKUP(交易處理資料__3[[#This Row],[人員代號]],團隊分組!$B$1:$C$52,2,FALSE)</f>
        <v>快速保養團隊A</v>
      </c>
      <c r="N2499">
        <f>IF(交易處理資料__3[[#This Row],[上班時間]]=0,0,交易處理資料__3[[#This Row],[售出工時]]/交易處理資料__3[[#This Row],[上班時間]])</f>
        <v>0</v>
      </c>
      <c r="O2499" s="31" t="str">
        <f>IF(交易處理資料__3[[#This Row],[上班時間]]=0,"否","是")</f>
        <v>否</v>
      </c>
    </row>
    <row r="2500" spans="1:15" hidden="1">
      <c r="A2500" t="s">
        <v>75</v>
      </c>
      <c r="B2500" t="s">
        <v>42</v>
      </c>
      <c r="C2500">
        <v>0</v>
      </c>
      <c r="D2500">
        <v>0</v>
      </c>
      <c r="E2500" s="27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 s="9">
        <v>45354</v>
      </c>
      <c r="L2500">
        <f xml:space="preserve"> (交易處理資料__3[[#This Row],[售出工時]] * 60) / 5</f>
        <v>0</v>
      </c>
      <c r="M2500" t="str">
        <f>VLOOKUP(交易處理資料__3[[#This Row],[人員代號]],團隊分組!$B$1:$C$52,2,FALSE)</f>
        <v>快速保養團隊A</v>
      </c>
      <c r="N2500">
        <f>IF(交易處理資料__3[[#This Row],[上班時間]]=0,0,交易處理資料__3[[#This Row],[售出工時]]/交易處理資料__3[[#This Row],[上班時間]])</f>
        <v>0</v>
      </c>
      <c r="O2500" s="31" t="str">
        <f>IF(交易處理資料__3[[#This Row],[上班時間]]=0,"否","是")</f>
        <v>否</v>
      </c>
    </row>
    <row r="2501" spans="1:15" hidden="1">
      <c r="A2501" t="s">
        <v>75</v>
      </c>
      <c r="B2501" t="s">
        <v>43</v>
      </c>
      <c r="C2501">
        <v>0</v>
      </c>
      <c r="D2501">
        <v>0</v>
      </c>
      <c r="E2501" s="27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 s="9">
        <v>45354</v>
      </c>
      <c r="L2501">
        <f xml:space="preserve"> (交易處理資料__3[[#This Row],[售出工時]] * 60) / 5</f>
        <v>0</v>
      </c>
      <c r="M2501" t="str">
        <f>VLOOKUP(交易處理資料__3[[#This Row],[人員代號]],團隊分組!$B$1:$C$52,2,FALSE)</f>
        <v>查修團隊B</v>
      </c>
      <c r="N2501">
        <f>IF(交易處理資料__3[[#This Row],[上班時間]]=0,0,交易處理資料__3[[#This Row],[售出工時]]/交易處理資料__3[[#This Row],[上班時間]])</f>
        <v>0</v>
      </c>
      <c r="O2501" s="31" t="str">
        <f>IF(交易處理資料__3[[#This Row],[上班時間]]=0,"否","是")</f>
        <v>否</v>
      </c>
    </row>
    <row r="2502" spans="1:15" hidden="1">
      <c r="A2502" t="s">
        <v>75</v>
      </c>
      <c r="B2502" t="s">
        <v>44</v>
      </c>
      <c r="C2502">
        <v>0</v>
      </c>
      <c r="D2502">
        <v>0</v>
      </c>
      <c r="E2502" s="27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 s="9">
        <v>45354</v>
      </c>
      <c r="L2502">
        <f xml:space="preserve"> (交易處理資料__3[[#This Row],[售出工時]] * 60) / 5</f>
        <v>0</v>
      </c>
      <c r="M2502" t="str">
        <f>VLOOKUP(交易處理資料__3[[#This Row],[人員代號]],團隊分組!$B$1:$C$52,2,FALSE)</f>
        <v>快速保養團隊B</v>
      </c>
      <c r="N2502">
        <f>IF(交易處理資料__3[[#This Row],[上班時間]]=0,0,交易處理資料__3[[#This Row],[售出工時]]/交易處理資料__3[[#This Row],[上班時間]])</f>
        <v>0</v>
      </c>
      <c r="O2502" s="31" t="str">
        <f>IF(交易處理資料__3[[#This Row],[上班時間]]=0,"否","是")</f>
        <v>否</v>
      </c>
    </row>
    <row r="2503" spans="1:15" hidden="1">
      <c r="A2503" t="s">
        <v>75</v>
      </c>
      <c r="B2503" t="s">
        <v>45</v>
      </c>
      <c r="C2503">
        <v>0</v>
      </c>
      <c r="D2503">
        <v>0</v>
      </c>
      <c r="E2503" s="27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 s="9">
        <v>45354</v>
      </c>
      <c r="L2503">
        <f xml:space="preserve"> (交易處理資料__3[[#This Row],[售出工時]] * 60) / 5</f>
        <v>0</v>
      </c>
      <c r="M2503" t="str">
        <f>VLOOKUP(交易處理資料__3[[#This Row],[人員代號]],團隊分組!$B$1:$C$52,2,FALSE)</f>
        <v>快速保養團隊A</v>
      </c>
      <c r="N2503">
        <f>IF(交易處理資料__3[[#This Row],[上班時間]]=0,0,交易處理資料__3[[#This Row],[售出工時]]/交易處理資料__3[[#This Row],[上班時間]])</f>
        <v>0</v>
      </c>
      <c r="O2503" s="31" t="str">
        <f>IF(交易處理資料__3[[#This Row],[上班時間]]=0,"否","是")</f>
        <v>否</v>
      </c>
    </row>
    <row r="2504" spans="1:15" hidden="1">
      <c r="A2504" t="s">
        <v>75</v>
      </c>
      <c r="B2504" t="s">
        <v>46</v>
      </c>
      <c r="C2504">
        <v>0</v>
      </c>
      <c r="D2504">
        <v>0</v>
      </c>
      <c r="E2504" s="27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 s="9">
        <v>45354</v>
      </c>
      <c r="L2504">
        <f xml:space="preserve"> (交易處理資料__3[[#This Row],[售出工時]] * 60) / 5</f>
        <v>0</v>
      </c>
      <c r="M2504" t="str">
        <f>VLOOKUP(交易處理資料__3[[#This Row],[人員代號]],團隊分組!$B$1:$C$52,2,FALSE)</f>
        <v>查修團隊B</v>
      </c>
      <c r="N2504">
        <f>IF(交易處理資料__3[[#This Row],[上班時間]]=0,0,交易處理資料__3[[#This Row],[售出工時]]/交易處理資料__3[[#This Row],[上班時間]])</f>
        <v>0</v>
      </c>
      <c r="O2504" s="31" t="str">
        <f>IF(交易處理資料__3[[#This Row],[上班時間]]=0,"否","是")</f>
        <v>否</v>
      </c>
    </row>
    <row r="2505" spans="1:15" hidden="1">
      <c r="A2505" t="s">
        <v>75</v>
      </c>
      <c r="B2505" t="s">
        <v>47</v>
      </c>
      <c r="C2505">
        <v>0</v>
      </c>
      <c r="D2505">
        <v>0</v>
      </c>
      <c r="E2505" s="27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 s="9">
        <v>45354</v>
      </c>
      <c r="L2505">
        <f xml:space="preserve"> (交易處理資料__3[[#This Row],[售出工時]] * 60) / 5</f>
        <v>0</v>
      </c>
      <c r="M2505" t="str">
        <f>VLOOKUP(交易處理資料__3[[#This Row],[人員代號]],團隊分組!$B$1:$C$52,2,FALSE)</f>
        <v>查修團隊B</v>
      </c>
      <c r="N2505">
        <f>IF(交易處理資料__3[[#This Row],[上班時間]]=0,0,交易處理資料__3[[#This Row],[售出工時]]/交易處理資料__3[[#This Row],[上班時間]])</f>
        <v>0</v>
      </c>
      <c r="O2505" s="31" t="str">
        <f>IF(交易處理資料__3[[#This Row],[上班時間]]=0,"否","是")</f>
        <v>否</v>
      </c>
    </row>
    <row r="2506" spans="1:15" hidden="1">
      <c r="A2506" t="s">
        <v>75</v>
      </c>
      <c r="B2506" t="s">
        <v>48</v>
      </c>
      <c r="C2506">
        <v>0</v>
      </c>
      <c r="D2506">
        <v>0</v>
      </c>
      <c r="E2506" s="27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 s="9">
        <v>45354</v>
      </c>
      <c r="L2506">
        <f xml:space="preserve"> (交易處理資料__3[[#This Row],[售出工時]] * 60) / 5</f>
        <v>0</v>
      </c>
      <c r="M2506" t="str">
        <f>VLOOKUP(交易處理資料__3[[#This Row],[人員代號]],團隊分組!$B$1:$C$52,2,FALSE)</f>
        <v>查修團隊A</v>
      </c>
      <c r="N2506">
        <f>IF(交易處理資料__3[[#This Row],[上班時間]]=0,0,交易處理資料__3[[#This Row],[售出工時]]/交易處理資料__3[[#This Row],[上班時間]])</f>
        <v>0</v>
      </c>
      <c r="O2506" s="31" t="str">
        <f>IF(交易處理資料__3[[#This Row],[上班時間]]=0,"否","是")</f>
        <v>否</v>
      </c>
    </row>
    <row r="2507" spans="1:15" hidden="1">
      <c r="A2507" t="s">
        <v>75</v>
      </c>
      <c r="B2507" t="s">
        <v>49</v>
      </c>
      <c r="C2507">
        <v>0</v>
      </c>
      <c r="D2507">
        <v>0</v>
      </c>
      <c r="E2507" s="2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 s="9">
        <v>45354</v>
      </c>
      <c r="L2507">
        <f xml:space="preserve"> (交易處理資料__3[[#This Row],[售出工時]] * 60) / 5</f>
        <v>0</v>
      </c>
      <c r="M2507" t="str">
        <f>VLOOKUP(交易處理資料__3[[#This Row],[人員代號]],團隊分組!$B$1:$C$52,2,FALSE)</f>
        <v>查修團隊A</v>
      </c>
      <c r="N2507">
        <f>IF(交易處理資料__3[[#This Row],[上班時間]]=0,0,交易處理資料__3[[#This Row],[售出工時]]/交易處理資料__3[[#This Row],[上班時間]])</f>
        <v>0</v>
      </c>
      <c r="O2507" s="31" t="str">
        <f>IF(交易處理資料__3[[#This Row],[上班時間]]=0,"否","是")</f>
        <v>否</v>
      </c>
    </row>
    <row r="2508" spans="1:15" hidden="1">
      <c r="A2508" t="s">
        <v>75</v>
      </c>
      <c r="B2508" t="s">
        <v>50</v>
      </c>
      <c r="C2508">
        <v>0</v>
      </c>
      <c r="D2508">
        <v>0</v>
      </c>
      <c r="E2508" s="27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 s="9">
        <v>45354</v>
      </c>
      <c r="L2508">
        <f xml:space="preserve"> (交易處理資料__3[[#This Row],[售出工時]] * 60) / 5</f>
        <v>0</v>
      </c>
      <c r="M2508" t="str">
        <f>VLOOKUP(交易處理資料__3[[#This Row],[人員代號]],團隊分組!$B$1:$C$52,2,FALSE)</f>
        <v>快速保養團隊B</v>
      </c>
      <c r="N2508">
        <f>IF(交易處理資料__3[[#This Row],[上班時間]]=0,0,交易處理資料__3[[#This Row],[售出工時]]/交易處理資料__3[[#This Row],[上班時間]])</f>
        <v>0</v>
      </c>
      <c r="O2508" s="31" t="str">
        <f>IF(交易處理資料__3[[#This Row],[上班時間]]=0,"否","是")</f>
        <v>否</v>
      </c>
    </row>
    <row r="2509" spans="1:15" hidden="1">
      <c r="A2509" t="s">
        <v>75</v>
      </c>
      <c r="B2509" t="s">
        <v>51</v>
      </c>
      <c r="C2509">
        <v>0</v>
      </c>
      <c r="D2509">
        <v>0</v>
      </c>
      <c r="E2509" s="27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 s="9">
        <v>45354</v>
      </c>
      <c r="L2509">
        <f xml:space="preserve"> (交易處理資料__3[[#This Row],[售出工時]] * 60) / 5</f>
        <v>0</v>
      </c>
      <c r="M2509" t="str">
        <f>VLOOKUP(交易處理資料__3[[#This Row],[人員代號]],團隊分組!$B$1:$C$52,2,FALSE)</f>
        <v>無效數據</v>
      </c>
      <c r="N2509">
        <f>IF(交易處理資料__3[[#This Row],[上班時間]]=0,0,交易處理資料__3[[#This Row],[售出工時]]/交易處理資料__3[[#This Row],[上班時間]])</f>
        <v>0</v>
      </c>
      <c r="O2509" s="31" t="str">
        <f>IF(交易處理資料__3[[#This Row],[上班時間]]=0,"否","是")</f>
        <v>否</v>
      </c>
    </row>
    <row r="2510" spans="1:15" hidden="1">
      <c r="A2510" t="s">
        <v>75</v>
      </c>
      <c r="B2510" t="s">
        <v>52</v>
      </c>
      <c r="C2510">
        <v>0</v>
      </c>
      <c r="D2510">
        <v>0</v>
      </c>
      <c r="E2510" s="27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 s="9">
        <v>45354</v>
      </c>
      <c r="L2510">
        <f xml:space="preserve"> (交易處理資料__3[[#This Row],[售出工時]] * 60) / 5</f>
        <v>0</v>
      </c>
      <c r="M2510" t="str">
        <f>VLOOKUP(交易處理資料__3[[#This Row],[人員代號]],團隊分組!$B$1:$C$52,2,FALSE)</f>
        <v>查修團隊B</v>
      </c>
      <c r="N2510">
        <f>IF(交易處理資料__3[[#This Row],[上班時間]]=0,0,交易處理資料__3[[#This Row],[售出工時]]/交易處理資料__3[[#This Row],[上班時間]])</f>
        <v>0</v>
      </c>
      <c r="O2510" s="31" t="str">
        <f>IF(交易處理資料__3[[#This Row],[上班時間]]=0,"否","是")</f>
        <v>否</v>
      </c>
    </row>
    <row r="2511" spans="1:15" hidden="1">
      <c r="A2511" t="s">
        <v>75</v>
      </c>
      <c r="B2511" t="s">
        <v>53</v>
      </c>
      <c r="C2511">
        <v>0</v>
      </c>
      <c r="D2511">
        <v>0</v>
      </c>
      <c r="E2511" s="27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 s="9">
        <v>45354</v>
      </c>
      <c r="L2511">
        <f xml:space="preserve"> (交易處理資料__3[[#This Row],[售出工時]] * 60) / 5</f>
        <v>0</v>
      </c>
      <c r="M2511" t="str">
        <f>VLOOKUP(交易處理資料__3[[#This Row],[人員代號]],團隊分組!$B$1:$C$52,2,FALSE)</f>
        <v>查修團隊A</v>
      </c>
      <c r="N2511">
        <f>IF(交易處理資料__3[[#This Row],[上班時間]]=0,0,交易處理資料__3[[#This Row],[售出工時]]/交易處理資料__3[[#This Row],[上班時間]])</f>
        <v>0</v>
      </c>
      <c r="O2511" s="31" t="str">
        <f>IF(交易處理資料__3[[#This Row],[上班時間]]=0,"否","是")</f>
        <v>否</v>
      </c>
    </row>
    <row r="2512" spans="1:15" hidden="1">
      <c r="A2512" s="10" t="s">
        <v>73</v>
      </c>
      <c r="B2512" t="s">
        <v>2</v>
      </c>
      <c r="C2512">
        <v>0</v>
      </c>
      <c r="D2512">
        <v>0</v>
      </c>
      <c r="E2512" s="27">
        <v>0</v>
      </c>
      <c r="F2512">
        <v>7.62</v>
      </c>
      <c r="G2512">
        <v>0.23</v>
      </c>
      <c r="H2512">
        <v>7.85</v>
      </c>
      <c r="I2512">
        <v>97.07</v>
      </c>
      <c r="J2512">
        <v>0</v>
      </c>
      <c r="K2512" s="9">
        <v>45355</v>
      </c>
      <c r="L2512">
        <f xml:space="preserve"> (交易處理資料__3[[#This Row],[售出工時]] * 60) / 5</f>
        <v>0</v>
      </c>
      <c r="M2512" t="str">
        <f>VLOOKUP(交易處理資料__3[[#This Row],[人員代號]],團隊分組!$B$1:$C$52,2,FALSE)</f>
        <v>噴漆維修組</v>
      </c>
      <c r="N2512">
        <f>IF(交易處理資料__3[[#This Row],[上班時間]]=0,0,交易處理資料__3[[#This Row],[售出工時]]/交易處理資料__3[[#This Row],[上班時間]])</f>
        <v>0</v>
      </c>
      <c r="O2512" s="31" t="str">
        <f>IF(交易處理資料__3[[#This Row],[上班時間]]=0,"否","是")</f>
        <v>是</v>
      </c>
    </row>
    <row r="2513" spans="1:15" hidden="1">
      <c r="A2513" s="10" t="s">
        <v>73</v>
      </c>
      <c r="B2513" t="s">
        <v>3</v>
      </c>
      <c r="C2513">
        <v>0</v>
      </c>
      <c r="D2513">
        <v>0</v>
      </c>
      <c r="E2513" s="27">
        <v>0</v>
      </c>
      <c r="F2513">
        <v>7.62</v>
      </c>
      <c r="G2513">
        <v>0.23</v>
      </c>
      <c r="H2513">
        <v>7.85</v>
      </c>
      <c r="I2513">
        <v>97.07</v>
      </c>
      <c r="J2513">
        <v>0</v>
      </c>
      <c r="K2513" s="9">
        <v>45355</v>
      </c>
      <c r="L2513">
        <f xml:space="preserve"> (交易處理資料__3[[#This Row],[售出工時]] * 60) / 5</f>
        <v>0</v>
      </c>
      <c r="M2513" t="str">
        <f>VLOOKUP(交易處理資料__3[[#This Row],[人員代號]],團隊分組!$B$1:$C$52,2,FALSE)</f>
        <v>噴漆維修組</v>
      </c>
      <c r="N2513">
        <f>IF(交易處理資料__3[[#This Row],[上班時間]]=0,0,交易處理資料__3[[#This Row],[售出工時]]/交易處理資料__3[[#This Row],[上班時間]])</f>
        <v>0</v>
      </c>
      <c r="O2513" s="31" t="str">
        <f>IF(交易處理資料__3[[#This Row],[上班時間]]=0,"否","是")</f>
        <v>是</v>
      </c>
    </row>
    <row r="2514" spans="1:15" hidden="1">
      <c r="A2514" s="10" t="s">
        <v>73</v>
      </c>
      <c r="B2514" t="s">
        <v>5</v>
      </c>
      <c r="C2514">
        <v>1.96</v>
      </c>
      <c r="D2514">
        <v>2.73</v>
      </c>
      <c r="E2514" s="27">
        <v>71.794871790000002</v>
      </c>
      <c r="F2514">
        <v>7.63</v>
      </c>
      <c r="G2514">
        <v>0.22</v>
      </c>
      <c r="H2514">
        <v>7.85</v>
      </c>
      <c r="I2514">
        <v>97.2</v>
      </c>
      <c r="J2514">
        <v>24.97</v>
      </c>
      <c r="K2514" s="9">
        <v>45355</v>
      </c>
      <c r="L2514">
        <f xml:space="preserve"> (交易處理資料__3[[#This Row],[售出工時]] * 60) / 5</f>
        <v>23.52</v>
      </c>
      <c r="M2514" t="str">
        <f>VLOOKUP(交易處理資料__3[[#This Row],[人員代號]],團隊分組!$B$1:$C$52,2,FALSE)</f>
        <v>噴漆維修組</v>
      </c>
      <c r="N2514">
        <f>IF(交易處理資料__3[[#This Row],[上班時間]]=0,0,交易處理資料__3[[#This Row],[售出工時]]/交易處理資料__3[[#This Row],[上班時間]])</f>
        <v>0.24968152866242038</v>
      </c>
      <c r="O2514" s="31" t="str">
        <f>IF(交易處理資料__3[[#This Row],[上班時間]]=0,"否","是")</f>
        <v>是</v>
      </c>
    </row>
    <row r="2515" spans="1:15" hidden="1">
      <c r="A2515" s="10" t="s">
        <v>73</v>
      </c>
      <c r="B2515" t="s">
        <v>6</v>
      </c>
      <c r="C2515">
        <v>0</v>
      </c>
      <c r="D2515">
        <v>0</v>
      </c>
      <c r="E2515" s="27">
        <v>0</v>
      </c>
      <c r="F2515">
        <v>7.6</v>
      </c>
      <c r="G2515">
        <v>0.24</v>
      </c>
      <c r="H2515">
        <v>7.84</v>
      </c>
      <c r="I2515">
        <v>96.94</v>
      </c>
      <c r="J2515">
        <v>0</v>
      </c>
      <c r="K2515" s="9">
        <v>45355</v>
      </c>
      <c r="L2515">
        <f xml:space="preserve"> (交易處理資料__3[[#This Row],[售出工時]] * 60) / 5</f>
        <v>0</v>
      </c>
      <c r="M2515" t="str">
        <f>VLOOKUP(交易處理資料__3[[#This Row],[人員代號]],團隊分組!$B$1:$C$52,2,FALSE)</f>
        <v>噴漆維修組</v>
      </c>
      <c r="N2515">
        <f>IF(交易處理資料__3[[#This Row],[上班時間]]=0,0,交易處理資料__3[[#This Row],[售出工時]]/交易處理資料__3[[#This Row],[上班時間]])</f>
        <v>0</v>
      </c>
      <c r="O2515" s="31" t="str">
        <f>IF(交易處理資料__3[[#This Row],[上班時間]]=0,"否","是")</f>
        <v>是</v>
      </c>
    </row>
    <row r="2516" spans="1:15" hidden="1">
      <c r="A2516" s="10" t="s">
        <v>73</v>
      </c>
      <c r="B2516" t="s">
        <v>7</v>
      </c>
      <c r="C2516">
        <v>1.96</v>
      </c>
      <c r="D2516">
        <v>2.73</v>
      </c>
      <c r="E2516" s="27">
        <v>71.794871790000002</v>
      </c>
      <c r="F2516">
        <v>7.63</v>
      </c>
      <c r="G2516">
        <v>0.22</v>
      </c>
      <c r="H2516">
        <v>7.85</v>
      </c>
      <c r="I2516">
        <v>97.2</v>
      </c>
      <c r="J2516">
        <v>24.97</v>
      </c>
      <c r="K2516" s="9">
        <v>45355</v>
      </c>
      <c r="L2516">
        <f xml:space="preserve"> (交易處理資料__3[[#This Row],[售出工時]] * 60) / 5</f>
        <v>23.52</v>
      </c>
      <c r="M2516" t="str">
        <f>VLOOKUP(交易處理資料__3[[#This Row],[人員代號]],團隊分組!$B$1:$C$52,2,FALSE)</f>
        <v>噴漆維修組</v>
      </c>
      <c r="N2516">
        <f>IF(交易處理資料__3[[#This Row],[上班時間]]=0,0,交易處理資料__3[[#This Row],[售出工時]]/交易處理資料__3[[#This Row],[上班時間]])</f>
        <v>0.24968152866242038</v>
      </c>
      <c r="O2516" s="31" t="str">
        <f>IF(交易處理資料__3[[#This Row],[上班時間]]=0,"否","是")</f>
        <v>是</v>
      </c>
    </row>
    <row r="2517" spans="1:15" hidden="1">
      <c r="A2517" s="10" t="s">
        <v>73</v>
      </c>
      <c r="B2517" t="s">
        <v>8</v>
      </c>
      <c r="C2517">
        <v>1.96</v>
      </c>
      <c r="D2517">
        <v>4.5999999999999996</v>
      </c>
      <c r="E2517" s="27">
        <v>42.608695650000001</v>
      </c>
      <c r="F2517">
        <v>7.52</v>
      </c>
      <c r="G2517">
        <v>0.33</v>
      </c>
      <c r="H2517">
        <v>7.85</v>
      </c>
      <c r="I2517">
        <v>95.8</v>
      </c>
      <c r="J2517">
        <v>24.97</v>
      </c>
      <c r="K2517" s="9">
        <v>45355</v>
      </c>
      <c r="L2517">
        <f xml:space="preserve"> (交易處理資料__3[[#This Row],[售出工時]] * 60) / 5</f>
        <v>23.52</v>
      </c>
      <c r="M2517" t="str">
        <f>VLOOKUP(交易處理資料__3[[#This Row],[人員代號]],團隊分組!$B$1:$C$52,2,FALSE)</f>
        <v>噴漆維修組</v>
      </c>
      <c r="N2517">
        <f>IF(交易處理資料__3[[#This Row],[上班時間]]=0,0,交易處理資料__3[[#This Row],[售出工時]]/交易處理資料__3[[#This Row],[上班時間]])</f>
        <v>0.24968152866242038</v>
      </c>
      <c r="O2517" s="31" t="str">
        <f>IF(交易處理資料__3[[#This Row],[上班時間]]=0,"否","是")</f>
        <v>是</v>
      </c>
    </row>
    <row r="2518" spans="1:15" hidden="1">
      <c r="A2518" s="10" t="s">
        <v>73</v>
      </c>
      <c r="B2518" t="s">
        <v>9</v>
      </c>
      <c r="C2518">
        <v>1.96</v>
      </c>
      <c r="D2518">
        <v>3.15</v>
      </c>
      <c r="E2518" s="27">
        <v>62.222222219999999</v>
      </c>
      <c r="F2518">
        <v>7.55</v>
      </c>
      <c r="G2518">
        <v>0.31</v>
      </c>
      <c r="H2518">
        <v>7.86</v>
      </c>
      <c r="I2518">
        <v>96.06</v>
      </c>
      <c r="J2518">
        <v>24.94</v>
      </c>
      <c r="K2518" s="9">
        <v>45355</v>
      </c>
      <c r="L2518">
        <f xml:space="preserve"> (交易處理資料__3[[#This Row],[售出工時]] * 60) / 5</f>
        <v>23.52</v>
      </c>
      <c r="M2518" t="str">
        <f>VLOOKUP(交易處理資料__3[[#This Row],[人員代號]],團隊分組!$B$1:$C$52,2,FALSE)</f>
        <v>噴漆維修組</v>
      </c>
      <c r="N2518">
        <f>IF(交易處理資料__3[[#This Row],[上班時間]]=0,0,交易處理資料__3[[#This Row],[售出工時]]/交易處理資料__3[[#This Row],[上班時間]])</f>
        <v>0.24936386768447835</v>
      </c>
      <c r="O2518" s="31" t="str">
        <f>IF(交易處理資料__3[[#This Row],[上班時間]]=0,"否","是")</f>
        <v>是</v>
      </c>
    </row>
    <row r="2519" spans="1:15" hidden="1">
      <c r="A2519" t="s">
        <v>74</v>
      </c>
      <c r="B2519" t="s">
        <v>11</v>
      </c>
      <c r="C2519">
        <v>0</v>
      </c>
      <c r="D2519">
        <v>0</v>
      </c>
      <c r="E2519" s="27">
        <v>0</v>
      </c>
      <c r="F2519">
        <v>5.84</v>
      </c>
      <c r="G2519">
        <v>2.02</v>
      </c>
      <c r="H2519">
        <v>7.86</v>
      </c>
      <c r="I2519">
        <v>74.3</v>
      </c>
      <c r="J2519">
        <v>0</v>
      </c>
      <c r="K2519" s="9">
        <v>45355</v>
      </c>
      <c r="L2519">
        <f xml:space="preserve"> (交易處理資料__3[[#This Row],[售出工時]] * 60) / 5</f>
        <v>0</v>
      </c>
      <c r="M2519" t="str">
        <f>VLOOKUP(交易處理資料__3[[#This Row],[人員代號]],團隊分組!$B$1:$C$52,2,FALSE)</f>
        <v>鈑金維修組</v>
      </c>
      <c r="N2519">
        <f>IF(交易處理資料__3[[#This Row],[上班時間]]=0,0,交易處理資料__3[[#This Row],[售出工時]]/交易處理資料__3[[#This Row],[上班時間]])</f>
        <v>0</v>
      </c>
      <c r="O2519" s="31" t="str">
        <f>IF(交易處理資料__3[[#This Row],[上班時間]]=0,"否","是")</f>
        <v>是</v>
      </c>
    </row>
    <row r="2520" spans="1:15" hidden="1">
      <c r="A2520" t="s">
        <v>74</v>
      </c>
      <c r="B2520" t="s">
        <v>12</v>
      </c>
      <c r="C2520">
        <v>2.75</v>
      </c>
      <c r="D2520">
        <v>1.56</v>
      </c>
      <c r="E2520" s="27">
        <v>176.28205130000001</v>
      </c>
      <c r="F2520">
        <v>8.33</v>
      </c>
      <c r="G2520">
        <v>2.5299999999999998</v>
      </c>
      <c r="H2520">
        <v>10.86</v>
      </c>
      <c r="I2520">
        <v>76.7</v>
      </c>
      <c r="J2520">
        <v>25.32</v>
      </c>
      <c r="K2520" s="9">
        <v>45355</v>
      </c>
      <c r="L2520">
        <f xml:space="preserve"> (交易處理資料__3[[#This Row],[售出工時]] * 60) / 5</f>
        <v>33</v>
      </c>
      <c r="M2520" t="str">
        <f>VLOOKUP(交易處理資料__3[[#This Row],[人員代號]],團隊分組!$B$1:$C$52,2,FALSE)</f>
        <v>鈑金維修組</v>
      </c>
      <c r="N2520">
        <f>IF(交易處理資料__3[[#This Row],[上班時間]]=0,0,交易處理資料__3[[#This Row],[售出工時]]/交易處理資料__3[[#This Row],[上班時間]])</f>
        <v>0.25322283609576429</v>
      </c>
      <c r="O2520" s="31" t="str">
        <f>IF(交易處理資料__3[[#This Row],[上班時間]]=0,"否","是")</f>
        <v>是</v>
      </c>
    </row>
    <row r="2521" spans="1:15" hidden="1">
      <c r="A2521" t="s">
        <v>74</v>
      </c>
      <c r="B2521" t="s">
        <v>13</v>
      </c>
      <c r="C2521">
        <v>9.4466666670000006</v>
      </c>
      <c r="D2521">
        <v>4.3899999999999997</v>
      </c>
      <c r="E2521" s="27">
        <v>215.1860289</v>
      </c>
      <c r="F2521">
        <v>4.97</v>
      </c>
      <c r="G2521">
        <v>3</v>
      </c>
      <c r="H2521">
        <v>7.97</v>
      </c>
      <c r="I2521">
        <v>62.36</v>
      </c>
      <c r="J2521">
        <v>118.53</v>
      </c>
      <c r="K2521" s="9">
        <v>45355</v>
      </c>
      <c r="L2521">
        <f xml:space="preserve"> (交易處理資料__3[[#This Row],[售出工時]] * 60) / 5</f>
        <v>113.36000000400001</v>
      </c>
      <c r="M2521" t="str">
        <f>VLOOKUP(交易處理資料__3[[#This Row],[人員代號]],團隊分組!$B$1:$C$52,2,FALSE)</f>
        <v>鈑金維修組</v>
      </c>
      <c r="N2521">
        <f>IF(交易處理資料__3[[#This Row],[上班時間]]=0,0,交易處理資料__3[[#This Row],[售出工時]]/交易處理資料__3[[#This Row],[上班時間]])</f>
        <v>1.1852781263488081</v>
      </c>
      <c r="O2521" s="31" t="str">
        <f>IF(交易處理資料__3[[#This Row],[上班時間]]=0,"否","是")</f>
        <v>是</v>
      </c>
    </row>
    <row r="2522" spans="1:15" hidden="1">
      <c r="A2522" t="s">
        <v>74</v>
      </c>
      <c r="B2522" t="s">
        <v>14</v>
      </c>
      <c r="C2522">
        <v>4.04</v>
      </c>
      <c r="D2522">
        <v>7.99</v>
      </c>
      <c r="E2522" s="27">
        <v>50.56320401</v>
      </c>
      <c r="F2522">
        <v>5.85</v>
      </c>
      <c r="G2522">
        <v>3.56</v>
      </c>
      <c r="H2522">
        <v>9.41</v>
      </c>
      <c r="I2522">
        <v>62.17</v>
      </c>
      <c r="J2522">
        <v>42.93</v>
      </c>
      <c r="K2522" s="9">
        <v>45355</v>
      </c>
      <c r="L2522">
        <f xml:space="preserve"> (交易處理資料__3[[#This Row],[售出工時]] * 60) / 5</f>
        <v>48.480000000000004</v>
      </c>
      <c r="M2522" t="str">
        <f>VLOOKUP(交易處理資料__3[[#This Row],[人員代號]],團隊分組!$B$1:$C$52,2,FALSE)</f>
        <v>鈑金維修組</v>
      </c>
      <c r="N2522">
        <f>IF(交易處理資料__3[[#This Row],[上班時間]]=0,0,交易處理資料__3[[#This Row],[售出工時]]/交易處理資料__3[[#This Row],[上班時間]])</f>
        <v>0.42933049946865037</v>
      </c>
      <c r="O2522" s="31" t="str">
        <f>IF(交易處理資料__3[[#This Row],[上班時間]]=0,"否","是")</f>
        <v>是</v>
      </c>
    </row>
    <row r="2523" spans="1:15" hidden="1">
      <c r="A2523" t="s">
        <v>74</v>
      </c>
      <c r="B2523" t="s">
        <v>15</v>
      </c>
      <c r="C2523">
        <v>0.52</v>
      </c>
      <c r="D2523">
        <v>0.98</v>
      </c>
      <c r="E2523" s="27">
        <v>53.061224490000001</v>
      </c>
      <c r="F2523">
        <v>6.94</v>
      </c>
      <c r="G2523">
        <v>2.4700000000000002</v>
      </c>
      <c r="H2523">
        <v>9.41</v>
      </c>
      <c r="I2523">
        <v>73.75</v>
      </c>
      <c r="J2523">
        <v>5.53</v>
      </c>
      <c r="K2523" s="9">
        <v>45355</v>
      </c>
      <c r="L2523">
        <f xml:space="preserve"> (交易處理資料__3[[#This Row],[售出工時]] * 60) / 5</f>
        <v>6.24</v>
      </c>
      <c r="M2523" t="str">
        <f>VLOOKUP(交易處理資料__3[[#This Row],[人員代號]],團隊分組!$B$1:$C$52,2,FALSE)</f>
        <v>鈑金維修組</v>
      </c>
      <c r="N2523">
        <f>IF(交易處理資料__3[[#This Row],[上班時間]]=0,0,交易處理資料__3[[#This Row],[售出工時]]/交易處理資料__3[[#This Row],[上班時間]])</f>
        <v>5.526036131774708E-2</v>
      </c>
      <c r="O2523" s="31" t="str">
        <f>IF(交易處理資料__3[[#This Row],[上班時間]]=0,"否","是")</f>
        <v>是</v>
      </c>
    </row>
    <row r="2524" spans="1:15" hidden="1">
      <c r="A2524" t="s">
        <v>75</v>
      </c>
      <c r="B2524" t="s">
        <v>17</v>
      </c>
      <c r="C2524">
        <v>11.5</v>
      </c>
      <c r="D2524">
        <v>5.0999999999999996</v>
      </c>
      <c r="E2524" s="27">
        <v>225.49019609999999</v>
      </c>
      <c r="F2524">
        <v>7.07</v>
      </c>
      <c r="G2524">
        <v>0.92</v>
      </c>
      <c r="H2524">
        <v>7.99</v>
      </c>
      <c r="I2524">
        <v>88.49</v>
      </c>
      <c r="J2524">
        <v>143.93</v>
      </c>
      <c r="K2524" s="9">
        <v>45355</v>
      </c>
      <c r="L2524">
        <f xml:space="preserve"> (交易處理資料__3[[#This Row],[售出工時]] * 60) / 5</f>
        <v>138</v>
      </c>
      <c r="M2524" t="str">
        <f>VLOOKUP(交易處理資料__3[[#This Row],[人員代號]],團隊分組!$B$1:$C$52,2,FALSE)</f>
        <v>快速保養團隊A</v>
      </c>
      <c r="N2524">
        <f>IF(交易處理資料__3[[#This Row],[上班時間]]=0,0,交易處理資料__3[[#This Row],[售出工時]]/交易處理資料__3[[#This Row],[上班時間]])</f>
        <v>1.4392991239048811</v>
      </c>
      <c r="O2524" s="31" t="str">
        <f>IF(交易處理資料__3[[#This Row],[上班時間]]=0,"否","是")</f>
        <v>是</v>
      </c>
    </row>
    <row r="2525" spans="1:15" hidden="1">
      <c r="A2525" t="s">
        <v>75</v>
      </c>
      <c r="B2525" t="s">
        <v>18</v>
      </c>
      <c r="C2525">
        <v>2.3333333330000001</v>
      </c>
      <c r="D2525">
        <v>5.31</v>
      </c>
      <c r="E2525" s="27">
        <v>43.942247330000001</v>
      </c>
      <c r="F2525">
        <v>9.81</v>
      </c>
      <c r="G2525">
        <v>0.31</v>
      </c>
      <c r="H2525">
        <v>10.119999999999999</v>
      </c>
      <c r="I2525">
        <v>96.94</v>
      </c>
      <c r="J2525">
        <v>23.06</v>
      </c>
      <c r="K2525" s="9">
        <v>45355</v>
      </c>
      <c r="L2525">
        <f xml:space="preserve"> (交易處理資料__3[[#This Row],[售出工時]] * 60) / 5</f>
        <v>27.999999996000003</v>
      </c>
      <c r="M2525" t="str">
        <f>VLOOKUP(交易處理資料__3[[#This Row],[人員代號]],團隊分組!$B$1:$C$52,2,FALSE)</f>
        <v>查修團隊B</v>
      </c>
      <c r="N2525">
        <f>IF(交易處理資料__3[[#This Row],[上班時間]]=0,0,交易處理資料__3[[#This Row],[售出工時]]/交易處理資料__3[[#This Row],[上班時間]])</f>
        <v>0.23056653488142295</v>
      </c>
      <c r="O2525" s="31" t="str">
        <f>IF(交易處理資料__3[[#This Row],[上班時間]]=0,"否","是")</f>
        <v>是</v>
      </c>
    </row>
    <row r="2526" spans="1:15" hidden="1">
      <c r="A2526" t="s">
        <v>75</v>
      </c>
      <c r="B2526" t="s">
        <v>19</v>
      </c>
      <c r="C2526">
        <v>2.09</v>
      </c>
      <c r="D2526">
        <v>3.65</v>
      </c>
      <c r="E2526" s="27">
        <v>57.26027397</v>
      </c>
      <c r="F2526">
        <v>7.2</v>
      </c>
      <c r="G2526">
        <v>0.94</v>
      </c>
      <c r="H2526">
        <v>8.14</v>
      </c>
      <c r="I2526">
        <v>88.45</v>
      </c>
      <c r="J2526">
        <v>25.68</v>
      </c>
      <c r="K2526" s="9">
        <v>45355</v>
      </c>
      <c r="L2526">
        <f xml:space="preserve"> (交易處理資料__3[[#This Row],[售出工時]] * 60) / 5</f>
        <v>25.08</v>
      </c>
      <c r="M2526" t="str">
        <f>VLOOKUP(交易處理資料__3[[#This Row],[人員代號]],團隊分組!$B$1:$C$52,2,FALSE)</f>
        <v>查修團隊A</v>
      </c>
      <c r="N2526">
        <f>IF(交易處理資料__3[[#This Row],[上班時間]]=0,0,交易處理資料__3[[#This Row],[售出工時]]/交易處理資料__3[[#This Row],[上班時間]])</f>
        <v>0.25675675675675674</v>
      </c>
      <c r="O2526" s="31" t="str">
        <f>IF(交易處理資料__3[[#This Row],[上班時間]]=0,"否","是")</f>
        <v>是</v>
      </c>
    </row>
    <row r="2527" spans="1:15" hidden="1">
      <c r="A2527" t="s">
        <v>75</v>
      </c>
      <c r="B2527" t="s">
        <v>20</v>
      </c>
      <c r="C2527">
        <v>0</v>
      </c>
      <c r="D2527">
        <v>0</v>
      </c>
      <c r="E2527" s="27">
        <v>0</v>
      </c>
      <c r="F2527">
        <v>6.45</v>
      </c>
      <c r="G2527">
        <v>3.66</v>
      </c>
      <c r="H2527">
        <v>10.11</v>
      </c>
      <c r="I2527">
        <v>63.8</v>
      </c>
      <c r="J2527">
        <v>0</v>
      </c>
      <c r="K2527" s="9">
        <v>45355</v>
      </c>
      <c r="L2527">
        <f xml:space="preserve"> (交易處理資料__3[[#This Row],[售出工時]] * 60) / 5</f>
        <v>0</v>
      </c>
      <c r="M2527" t="str">
        <f>VLOOKUP(交易處理資料__3[[#This Row],[人員代號]],團隊分組!$B$1:$C$52,2,FALSE)</f>
        <v>查修團隊B</v>
      </c>
      <c r="N2527">
        <f>IF(交易處理資料__3[[#This Row],[上班時間]]=0,0,交易處理資料__3[[#This Row],[售出工時]]/交易處理資料__3[[#This Row],[上班時間]])</f>
        <v>0</v>
      </c>
      <c r="O2527" s="31" t="str">
        <f>IF(交易處理資料__3[[#This Row],[上班時間]]=0,"否","是")</f>
        <v>是</v>
      </c>
    </row>
    <row r="2528" spans="1:15" hidden="1">
      <c r="A2528" t="s">
        <v>75</v>
      </c>
      <c r="B2528" t="s">
        <v>21</v>
      </c>
      <c r="C2528">
        <v>1.3733333329999999</v>
      </c>
      <c r="D2528">
        <v>0.86</v>
      </c>
      <c r="E2528" s="27">
        <v>159.68992249999999</v>
      </c>
      <c r="F2528">
        <v>6.7</v>
      </c>
      <c r="G2528">
        <v>1.42</v>
      </c>
      <c r="H2528">
        <v>8.1199999999999992</v>
      </c>
      <c r="I2528">
        <v>82.51</v>
      </c>
      <c r="J2528">
        <v>16.91</v>
      </c>
      <c r="K2528" s="9">
        <v>45355</v>
      </c>
      <c r="L2528">
        <f xml:space="preserve"> (交易處理資料__3[[#This Row],[售出工時]] * 60) / 5</f>
        <v>16.479999995999997</v>
      </c>
      <c r="M2528" t="str">
        <f>VLOOKUP(交易處理資料__3[[#This Row],[人員代號]],團隊分組!$B$1:$C$52,2,FALSE)</f>
        <v>查修團隊B</v>
      </c>
      <c r="N2528">
        <f>IF(交易處理資料__3[[#This Row],[上班時間]]=0,0,交易處理資料__3[[#This Row],[售出工時]]/交易處理資料__3[[#This Row],[上班時間]])</f>
        <v>0.16912972081280789</v>
      </c>
      <c r="O2528" s="31" t="str">
        <f>IF(交易處理資料__3[[#This Row],[上班時間]]=0,"否","是")</f>
        <v>是</v>
      </c>
    </row>
    <row r="2529" spans="1:15" hidden="1">
      <c r="A2529" t="s">
        <v>75</v>
      </c>
      <c r="B2529" t="s">
        <v>23</v>
      </c>
      <c r="C2529">
        <v>4.2366666669999997</v>
      </c>
      <c r="D2529">
        <v>1.95</v>
      </c>
      <c r="E2529" s="27">
        <v>217.26495729999999</v>
      </c>
      <c r="F2529">
        <v>7.56</v>
      </c>
      <c r="G2529">
        <v>1.04</v>
      </c>
      <c r="H2529">
        <v>8.6</v>
      </c>
      <c r="I2529">
        <v>87.91</v>
      </c>
      <c r="J2529">
        <v>49.26</v>
      </c>
      <c r="K2529" s="9">
        <v>45355</v>
      </c>
      <c r="L2529">
        <f xml:space="preserve"> (交易處理資料__3[[#This Row],[售出工時]] * 60) / 5</f>
        <v>50.840000003999997</v>
      </c>
      <c r="M2529" t="str">
        <f>VLOOKUP(交易處理資料__3[[#This Row],[人員代號]],團隊分組!$B$1:$C$52,2,FALSE)</f>
        <v>快速保養團隊B</v>
      </c>
      <c r="N2529">
        <f>IF(交易處理資料__3[[#This Row],[上班時間]]=0,0,交易處理資料__3[[#This Row],[售出工時]]/交易處理資料__3[[#This Row],[上班時間]])</f>
        <v>0.49263565895348838</v>
      </c>
      <c r="O2529" s="31" t="str">
        <f>IF(交易處理資料__3[[#This Row],[上班時間]]=0,"否","是")</f>
        <v>是</v>
      </c>
    </row>
    <row r="2530" spans="1:15" hidden="1">
      <c r="A2530" t="s">
        <v>75</v>
      </c>
      <c r="B2530" t="s">
        <v>24</v>
      </c>
      <c r="C2530">
        <v>8.4766666669999999</v>
      </c>
      <c r="D2530">
        <v>6.76</v>
      </c>
      <c r="E2530" s="27">
        <v>125.39447730000001</v>
      </c>
      <c r="F2530">
        <v>7.32</v>
      </c>
      <c r="G2530">
        <v>0.71</v>
      </c>
      <c r="H2530">
        <v>8.0299999999999994</v>
      </c>
      <c r="I2530">
        <v>91.16</v>
      </c>
      <c r="J2530">
        <v>105.56</v>
      </c>
      <c r="K2530" s="9">
        <v>45355</v>
      </c>
      <c r="L2530">
        <f xml:space="preserve"> (交易處理資料__3[[#This Row],[售出工時]] * 60) / 5</f>
        <v>101.720000004</v>
      </c>
      <c r="M2530" t="str">
        <f>VLOOKUP(交易處理資料__3[[#This Row],[人員代號]],團隊分組!$B$1:$C$52,2,FALSE)</f>
        <v>快速保養團隊A</v>
      </c>
      <c r="N2530">
        <f>IF(交易處理資料__3[[#This Row],[上班時間]]=0,0,交易處理資料__3[[#This Row],[售出工時]]/交易處理資料__3[[#This Row],[上班時間]])</f>
        <v>1.0556247405977586</v>
      </c>
      <c r="O2530" s="31" t="str">
        <f>IF(交易處理資料__3[[#This Row],[上班時間]]=0,"否","是")</f>
        <v>是</v>
      </c>
    </row>
    <row r="2531" spans="1:15" hidden="1">
      <c r="A2531" t="s">
        <v>75</v>
      </c>
      <c r="B2531" t="s">
        <v>25</v>
      </c>
      <c r="C2531">
        <v>4.0833333329999997</v>
      </c>
      <c r="D2531">
        <v>3.98</v>
      </c>
      <c r="E2531" s="27">
        <v>102.5963149</v>
      </c>
      <c r="F2531">
        <v>7.78</v>
      </c>
      <c r="G2531">
        <v>2.0099999999999998</v>
      </c>
      <c r="H2531">
        <v>9.7899999999999991</v>
      </c>
      <c r="I2531">
        <v>79.47</v>
      </c>
      <c r="J2531">
        <v>41.71</v>
      </c>
      <c r="K2531" s="9">
        <v>45355</v>
      </c>
      <c r="L2531">
        <f xml:space="preserve"> (交易處理資料__3[[#This Row],[售出工時]] * 60) / 5</f>
        <v>48.999999996</v>
      </c>
      <c r="M2531" t="str">
        <f>VLOOKUP(交易處理資料__3[[#This Row],[人員代號]],團隊分組!$B$1:$C$52,2,FALSE)</f>
        <v>查修團隊A</v>
      </c>
      <c r="N2531">
        <f>IF(交易處理資料__3[[#This Row],[上班時間]]=0,0,交易處理資料__3[[#This Row],[售出工時]]/交易處理資料__3[[#This Row],[上班時間]])</f>
        <v>0.41709227099080692</v>
      </c>
      <c r="O2531" s="31" t="str">
        <f>IF(交易處理資料__3[[#This Row],[上班時間]]=0,"否","是")</f>
        <v>是</v>
      </c>
    </row>
    <row r="2532" spans="1:15" hidden="1">
      <c r="A2532" t="s">
        <v>75</v>
      </c>
      <c r="B2532" t="s">
        <v>26</v>
      </c>
      <c r="C2532">
        <v>0.25</v>
      </c>
      <c r="D2532">
        <v>1.3</v>
      </c>
      <c r="E2532" s="27">
        <v>19.23076923</v>
      </c>
      <c r="F2532">
        <v>8.3800000000000008</v>
      </c>
      <c r="G2532">
        <v>1.74</v>
      </c>
      <c r="H2532">
        <v>10.119999999999999</v>
      </c>
      <c r="I2532">
        <v>82.81</v>
      </c>
      <c r="J2532">
        <v>2.4700000000000002</v>
      </c>
      <c r="K2532" s="9">
        <v>45355</v>
      </c>
      <c r="L2532">
        <f xml:space="preserve"> (交易處理資料__3[[#This Row],[售出工時]] * 60) / 5</f>
        <v>3</v>
      </c>
      <c r="M2532" t="str">
        <f>VLOOKUP(交易處理資料__3[[#This Row],[人員代號]],團隊分組!$B$1:$C$52,2,FALSE)</f>
        <v>查修團隊B</v>
      </c>
      <c r="N2532">
        <f>IF(交易處理資料__3[[#This Row],[上班時間]]=0,0,交易處理資料__3[[#This Row],[售出工時]]/交易處理資料__3[[#This Row],[上班時間]])</f>
        <v>2.4703557312252968E-2</v>
      </c>
      <c r="O2532" s="31" t="str">
        <f>IF(交易處理資料__3[[#This Row],[上班時間]]=0,"否","是")</f>
        <v>是</v>
      </c>
    </row>
    <row r="2533" spans="1:15" hidden="1">
      <c r="A2533" t="s">
        <v>75</v>
      </c>
      <c r="B2533" t="s">
        <v>27</v>
      </c>
      <c r="C2533">
        <v>5.41</v>
      </c>
      <c r="D2533">
        <v>3.46</v>
      </c>
      <c r="E2533" s="27">
        <v>156.35838150000001</v>
      </c>
      <c r="F2533">
        <v>7.28</v>
      </c>
      <c r="G2533">
        <v>0.6</v>
      </c>
      <c r="H2533">
        <v>7.88</v>
      </c>
      <c r="I2533">
        <v>92.39</v>
      </c>
      <c r="J2533">
        <v>68.650000000000006</v>
      </c>
      <c r="K2533" s="9">
        <v>45355</v>
      </c>
      <c r="L2533">
        <f xml:space="preserve"> (交易處理資料__3[[#This Row],[售出工時]] * 60) / 5</f>
        <v>64.92</v>
      </c>
      <c r="M2533" t="str">
        <f>VLOOKUP(交易處理資料__3[[#This Row],[人員代號]],團隊分組!$B$1:$C$52,2,FALSE)</f>
        <v>快速保養團隊B</v>
      </c>
      <c r="N2533">
        <f>IF(交易處理資料__3[[#This Row],[上班時間]]=0,0,交易處理資料__3[[#This Row],[售出工時]]/交易處理資料__3[[#This Row],[上班時間]])</f>
        <v>0.68654822335025378</v>
      </c>
      <c r="O2533" s="31" t="str">
        <f>IF(交易處理資料__3[[#This Row],[上班時間]]=0,"否","是")</f>
        <v>是</v>
      </c>
    </row>
    <row r="2534" spans="1:15" hidden="1">
      <c r="A2534" t="s">
        <v>75</v>
      </c>
      <c r="B2534" t="s">
        <v>28</v>
      </c>
      <c r="C2534">
        <v>5.5066666670000002</v>
      </c>
      <c r="D2534">
        <v>4.05</v>
      </c>
      <c r="E2534" s="27">
        <v>135.9670782</v>
      </c>
      <c r="F2534">
        <v>6.76</v>
      </c>
      <c r="G2534">
        <v>1.1399999999999999</v>
      </c>
      <c r="H2534">
        <v>7.9</v>
      </c>
      <c r="I2534">
        <v>85.57</v>
      </c>
      <c r="J2534">
        <v>69.7</v>
      </c>
      <c r="K2534" s="9">
        <v>45355</v>
      </c>
      <c r="L2534">
        <f xml:space="preserve"> (交易處理資料__3[[#This Row],[售出工時]] * 60) / 5</f>
        <v>66.080000003999999</v>
      </c>
      <c r="M2534" t="str">
        <f>VLOOKUP(交易處理資料__3[[#This Row],[人員代號]],團隊分組!$B$1:$C$52,2,FALSE)</f>
        <v>快速保養團隊A</v>
      </c>
      <c r="N2534">
        <f>IF(交易處理資料__3[[#This Row],[上班時間]]=0,0,交易處理資料__3[[#This Row],[售出工時]]/交易處理資料__3[[#This Row],[上班時間]])</f>
        <v>0.69704641354430374</v>
      </c>
      <c r="O2534" s="31" t="str">
        <f>IF(交易處理資料__3[[#This Row],[上班時間]]=0,"否","是")</f>
        <v>是</v>
      </c>
    </row>
    <row r="2535" spans="1:15" hidden="1">
      <c r="A2535" t="s">
        <v>75</v>
      </c>
      <c r="B2535" t="s">
        <v>29</v>
      </c>
      <c r="C2535">
        <v>0</v>
      </c>
      <c r="D2535">
        <v>0</v>
      </c>
      <c r="E2535" s="27">
        <v>0</v>
      </c>
      <c r="F2535">
        <v>6.97</v>
      </c>
      <c r="G2535">
        <v>1.32</v>
      </c>
      <c r="H2535">
        <v>8.2899999999999991</v>
      </c>
      <c r="I2535">
        <v>84.08</v>
      </c>
      <c r="J2535">
        <v>0</v>
      </c>
      <c r="K2535" s="9">
        <v>45355</v>
      </c>
      <c r="L2535">
        <f xml:space="preserve"> (交易處理資料__3[[#This Row],[售出工時]] * 60) / 5</f>
        <v>0</v>
      </c>
      <c r="M2535" t="str">
        <f>VLOOKUP(交易處理資料__3[[#This Row],[人員代號]],團隊分組!$B$1:$C$52,2,FALSE)</f>
        <v>查修團隊B</v>
      </c>
      <c r="N2535">
        <f>IF(交易處理資料__3[[#This Row],[上班時間]]=0,0,交易處理資料__3[[#This Row],[售出工時]]/交易處理資料__3[[#This Row],[上班時間]])</f>
        <v>0</v>
      </c>
      <c r="O2535" s="31" t="str">
        <f>IF(交易處理資料__3[[#This Row],[上班時間]]=0,"否","是")</f>
        <v>是</v>
      </c>
    </row>
    <row r="2536" spans="1:15" hidden="1">
      <c r="A2536" t="s">
        <v>75</v>
      </c>
      <c r="B2536" t="s">
        <v>30</v>
      </c>
      <c r="C2536">
        <v>8.1733333330000004</v>
      </c>
      <c r="D2536">
        <v>6.16</v>
      </c>
      <c r="E2536" s="27">
        <v>132.6839827</v>
      </c>
      <c r="F2536">
        <v>7.25</v>
      </c>
      <c r="G2536">
        <v>0.63</v>
      </c>
      <c r="H2536">
        <v>7.88</v>
      </c>
      <c r="I2536">
        <v>92.01</v>
      </c>
      <c r="J2536">
        <v>103.72</v>
      </c>
      <c r="K2536" s="9">
        <v>45355</v>
      </c>
      <c r="L2536">
        <f xml:space="preserve"> (交易處理資料__3[[#This Row],[售出工時]] * 60) / 5</f>
        <v>98.079999995999998</v>
      </c>
      <c r="M2536" t="str">
        <f>VLOOKUP(交易處理資料__3[[#This Row],[人員代號]],團隊分組!$B$1:$C$52,2,FALSE)</f>
        <v>快速保養團隊B</v>
      </c>
      <c r="N2536">
        <f>IF(交易處理資料__3[[#This Row],[上班時間]]=0,0,交易處理資料__3[[#This Row],[售出工時]]/交易處理資料__3[[#This Row],[上班時間]])</f>
        <v>1.0372250422588833</v>
      </c>
      <c r="O2536" s="31" t="str">
        <f>IF(交易處理資料__3[[#This Row],[上班時間]]=0,"否","是")</f>
        <v>是</v>
      </c>
    </row>
    <row r="2537" spans="1:15" hidden="1">
      <c r="A2537" t="s">
        <v>75</v>
      </c>
      <c r="B2537" t="s">
        <v>32</v>
      </c>
      <c r="C2537">
        <v>10.65666667</v>
      </c>
      <c r="D2537">
        <v>7.73</v>
      </c>
      <c r="E2537" s="27">
        <v>137.86114699999999</v>
      </c>
      <c r="F2537">
        <v>6.88</v>
      </c>
      <c r="G2537">
        <v>1.01</v>
      </c>
      <c r="H2537">
        <v>7.89</v>
      </c>
      <c r="I2537">
        <v>87.2</v>
      </c>
      <c r="J2537">
        <v>135.07</v>
      </c>
      <c r="K2537" s="9">
        <v>45355</v>
      </c>
      <c r="L2537">
        <f xml:space="preserve"> (交易處理資料__3[[#This Row],[售出工時]] * 60) / 5</f>
        <v>127.88000004</v>
      </c>
      <c r="M2537" t="str">
        <f>VLOOKUP(交易處理資料__3[[#This Row],[人員代號]],團隊分組!$B$1:$C$52,2,FALSE)</f>
        <v>快速保養團隊B</v>
      </c>
      <c r="N2537">
        <f>IF(交易處理資料__3[[#This Row],[上班時間]]=0,0,交易處理資料__3[[#This Row],[售出工時]]/交易處理資料__3[[#This Row],[上班時間]])</f>
        <v>1.3506548377693284</v>
      </c>
      <c r="O2537" s="31" t="str">
        <f>IF(交易處理資料__3[[#This Row],[上班時間]]=0,"否","是")</f>
        <v>是</v>
      </c>
    </row>
    <row r="2538" spans="1:15">
      <c r="A2538" t="s">
        <v>75</v>
      </c>
      <c r="B2538" t="s">
        <v>33</v>
      </c>
      <c r="C2538">
        <v>2.4166666669999999</v>
      </c>
      <c r="D2538">
        <v>2.89</v>
      </c>
      <c r="E2538" s="27">
        <v>83.621683970000007</v>
      </c>
      <c r="F2538">
        <v>7.57</v>
      </c>
      <c r="G2538">
        <v>0.86</v>
      </c>
      <c r="H2538">
        <v>8.43</v>
      </c>
      <c r="I2538">
        <v>89.8</v>
      </c>
      <c r="J2538">
        <v>28.67</v>
      </c>
      <c r="K2538" s="9">
        <v>45355</v>
      </c>
      <c r="L2538">
        <f xml:space="preserve"> (交易處理資料__3[[#This Row],[售出工時]] * 60) / 5</f>
        <v>29.000000003999997</v>
      </c>
      <c r="M2538" t="str">
        <f>VLOOKUP(交易處理資料__3[[#This Row],[人員代號]],團隊分組!$B$1:$C$52,2,FALSE)</f>
        <v>快速保養團隊B</v>
      </c>
      <c r="N2538">
        <f>IF(交易處理資料__3[[#This Row],[上班時間]]=0,0,交易處理資料__3[[#This Row],[售出工時]]/交易處理資料__3[[#This Row],[上班時間]])</f>
        <v>0.28667457497034399</v>
      </c>
      <c r="O2538" s="31" t="str">
        <f>IF(交易處理資料__3[[#This Row],[上班時間]]=0,"否","是")</f>
        <v>是</v>
      </c>
    </row>
    <row r="2539" spans="1:15" hidden="1">
      <c r="A2539" t="s">
        <v>75</v>
      </c>
      <c r="B2539" t="s">
        <v>34</v>
      </c>
      <c r="C2539">
        <v>8.25</v>
      </c>
      <c r="D2539">
        <v>6.36</v>
      </c>
      <c r="E2539" s="27">
        <v>129.7169811</v>
      </c>
      <c r="F2539">
        <v>7.38</v>
      </c>
      <c r="G2539">
        <v>0.8</v>
      </c>
      <c r="H2539">
        <v>8.18</v>
      </c>
      <c r="I2539">
        <v>90.22</v>
      </c>
      <c r="J2539">
        <v>100.86</v>
      </c>
      <c r="K2539" s="9">
        <v>45355</v>
      </c>
      <c r="L2539">
        <f xml:space="preserve"> (交易處理資料__3[[#This Row],[售出工時]] * 60) / 5</f>
        <v>99</v>
      </c>
      <c r="M2539" t="str">
        <f>VLOOKUP(交易處理資料__3[[#This Row],[人員代號]],團隊分組!$B$1:$C$52,2,FALSE)</f>
        <v>快速保養團隊A</v>
      </c>
      <c r="N2539">
        <f>IF(交易處理資料__3[[#This Row],[上班時間]]=0,0,交易處理資料__3[[#This Row],[售出工時]]/交易處理資料__3[[#This Row],[上班時間]])</f>
        <v>1.0085574572127141</v>
      </c>
      <c r="O2539" s="31" t="str">
        <f>IF(交易處理資料__3[[#This Row],[上班時間]]=0,"否","是")</f>
        <v>是</v>
      </c>
    </row>
    <row r="2540" spans="1:15" hidden="1">
      <c r="A2540" t="s">
        <v>75</v>
      </c>
      <c r="B2540" t="s">
        <v>35</v>
      </c>
      <c r="C2540">
        <v>1.6666666670000001</v>
      </c>
      <c r="D2540">
        <v>2.2400000000000002</v>
      </c>
      <c r="E2540" s="27">
        <v>74.404761899999997</v>
      </c>
      <c r="F2540">
        <v>8.06</v>
      </c>
      <c r="G2540">
        <v>2.06</v>
      </c>
      <c r="H2540">
        <v>10.119999999999999</v>
      </c>
      <c r="I2540">
        <v>79.64</v>
      </c>
      <c r="J2540">
        <v>16.47</v>
      </c>
      <c r="K2540" s="9">
        <v>45355</v>
      </c>
      <c r="L2540">
        <f xml:space="preserve"> (交易處理資料__3[[#This Row],[售出工時]] * 60) / 5</f>
        <v>20.000000004</v>
      </c>
      <c r="M2540" t="str">
        <f>VLOOKUP(交易處理資料__3[[#This Row],[人員代號]],團隊分組!$B$1:$C$52,2,FALSE)</f>
        <v>查修團隊B</v>
      </c>
      <c r="N2540">
        <f>IF(交易處理資料__3[[#This Row],[上班時間]]=0,0,交易處理資料__3[[#This Row],[售出工時]]/交易處理資料__3[[#This Row],[上班時間]])</f>
        <v>0.16469038211462453</v>
      </c>
      <c r="O2540" s="31" t="str">
        <f>IF(交易處理資料__3[[#This Row],[上班時間]]=0,"否","是")</f>
        <v>是</v>
      </c>
    </row>
    <row r="2541" spans="1:15" hidden="1">
      <c r="A2541" t="s">
        <v>75</v>
      </c>
      <c r="B2541" t="s">
        <v>36</v>
      </c>
      <c r="C2541">
        <v>2.5833333330000001</v>
      </c>
      <c r="D2541">
        <v>3</v>
      </c>
      <c r="E2541" s="27">
        <v>86.111111109999996</v>
      </c>
      <c r="F2541">
        <v>7.72</v>
      </c>
      <c r="G2541">
        <v>0.61</v>
      </c>
      <c r="H2541">
        <v>8.33</v>
      </c>
      <c r="I2541">
        <v>92.68</v>
      </c>
      <c r="J2541">
        <v>31.01</v>
      </c>
      <c r="K2541" s="9">
        <v>45355</v>
      </c>
      <c r="L2541">
        <f xml:space="preserve"> (交易處理資料__3[[#This Row],[售出工時]] * 60) / 5</f>
        <v>30.999999996000003</v>
      </c>
      <c r="M2541" t="str">
        <f>VLOOKUP(交易處理資料__3[[#This Row],[人員代號]],團隊分組!$B$1:$C$52,2,FALSE)</f>
        <v>查修團隊B</v>
      </c>
      <c r="N2541">
        <f>IF(交易處理資料__3[[#This Row],[上班時間]]=0,0,交易處理資料__3[[#This Row],[售出工時]]/交易處理資料__3[[#This Row],[上班時間]])</f>
        <v>0.31012404957983192</v>
      </c>
      <c r="O2541" s="31" t="str">
        <f>IF(交易處理資料__3[[#This Row],[上班時間]]=0,"否","是")</f>
        <v>是</v>
      </c>
    </row>
    <row r="2542" spans="1:15" hidden="1">
      <c r="A2542" t="s">
        <v>75</v>
      </c>
      <c r="B2542" t="s">
        <v>37</v>
      </c>
      <c r="C2542">
        <v>4.3333333329999997</v>
      </c>
      <c r="D2542">
        <v>5.09</v>
      </c>
      <c r="E2542" s="27">
        <v>85.134250159999993</v>
      </c>
      <c r="F2542">
        <v>7.06</v>
      </c>
      <c r="G2542">
        <v>3.16</v>
      </c>
      <c r="H2542">
        <v>10.220000000000001</v>
      </c>
      <c r="I2542">
        <v>69.08</v>
      </c>
      <c r="J2542">
        <v>42.4</v>
      </c>
      <c r="K2542" s="9">
        <v>45355</v>
      </c>
      <c r="L2542">
        <f xml:space="preserve"> (交易處理資料__3[[#This Row],[售出工時]] * 60) / 5</f>
        <v>51.999999996</v>
      </c>
      <c r="M2542" t="str">
        <f>VLOOKUP(交易處理資料__3[[#This Row],[人員代號]],團隊分組!$B$1:$C$52,2,FALSE)</f>
        <v>查修團隊A</v>
      </c>
      <c r="N2542">
        <f>IF(交易處理資料__3[[#This Row],[上班時間]]=0,0,交易處理資料__3[[#This Row],[售出工時]]/交易處理資料__3[[#This Row],[上班時間]])</f>
        <v>0.42400521849315065</v>
      </c>
      <c r="O2542" s="31" t="str">
        <f>IF(交易處理資料__3[[#This Row],[上班時間]]=0,"否","是")</f>
        <v>是</v>
      </c>
    </row>
    <row r="2543" spans="1:15" hidden="1">
      <c r="A2543" t="s">
        <v>75</v>
      </c>
      <c r="B2543" t="s">
        <v>38</v>
      </c>
      <c r="C2543">
        <v>8.0833333330000006</v>
      </c>
      <c r="D2543">
        <v>4.7699999999999996</v>
      </c>
      <c r="E2543" s="27">
        <v>169.46191469999999</v>
      </c>
      <c r="F2543">
        <v>9.67</v>
      </c>
      <c r="G2543">
        <v>0.86</v>
      </c>
      <c r="H2543">
        <v>10.53</v>
      </c>
      <c r="I2543">
        <v>91.83</v>
      </c>
      <c r="J2543">
        <v>76.760000000000005</v>
      </c>
      <c r="K2543" s="9">
        <v>45355</v>
      </c>
      <c r="L2543">
        <f xml:space="preserve"> (交易處理資料__3[[#This Row],[售出工時]] * 60) / 5</f>
        <v>96.999999996000014</v>
      </c>
      <c r="M2543" t="str">
        <f>VLOOKUP(交易處理資料__3[[#This Row],[人員代號]],團隊分組!$B$1:$C$52,2,FALSE)</f>
        <v>快速保養團隊A</v>
      </c>
      <c r="N2543">
        <f>IF(交易處理資料__3[[#This Row],[上班時間]]=0,0,交易處理資料__3[[#This Row],[售出工時]]/交易處理資料__3[[#This Row],[上班時間]])</f>
        <v>0.76764798983855664</v>
      </c>
      <c r="O2543" s="31" t="str">
        <f>IF(交易處理資料__3[[#This Row],[上班時間]]=0,"否","是")</f>
        <v>是</v>
      </c>
    </row>
    <row r="2544" spans="1:15" hidden="1">
      <c r="A2544" t="s">
        <v>75</v>
      </c>
      <c r="B2544" t="s">
        <v>39</v>
      </c>
      <c r="C2544">
        <v>0</v>
      </c>
      <c r="D2544">
        <v>0</v>
      </c>
      <c r="E2544" s="27">
        <v>0</v>
      </c>
      <c r="F2544">
        <v>9.02</v>
      </c>
      <c r="G2544">
        <v>1.22</v>
      </c>
      <c r="H2544">
        <v>10.24</v>
      </c>
      <c r="I2544">
        <v>88.09</v>
      </c>
      <c r="J2544">
        <v>0</v>
      </c>
      <c r="K2544" s="9">
        <v>45355</v>
      </c>
      <c r="L2544">
        <f xml:space="preserve"> (交易處理資料__3[[#This Row],[售出工時]] * 60) / 5</f>
        <v>0</v>
      </c>
      <c r="M2544" t="str">
        <f>VLOOKUP(交易處理資料__3[[#This Row],[人員代號]],團隊分組!$B$1:$C$52,2,FALSE)</f>
        <v>查修團隊A</v>
      </c>
      <c r="N2544">
        <f>IF(交易處理資料__3[[#This Row],[上班時間]]=0,0,交易處理資料__3[[#This Row],[售出工時]]/交易處理資料__3[[#This Row],[上班時間]])</f>
        <v>0</v>
      </c>
      <c r="O2544" s="31" t="str">
        <f>IF(交易處理資料__3[[#This Row],[上班時間]]=0,"否","是")</f>
        <v>是</v>
      </c>
    </row>
    <row r="2545" spans="1:15" hidden="1">
      <c r="A2545" t="s">
        <v>75</v>
      </c>
      <c r="B2545" t="s">
        <v>41</v>
      </c>
      <c r="C2545">
        <v>10.58333333</v>
      </c>
      <c r="D2545">
        <v>3.38</v>
      </c>
      <c r="E2545" s="27">
        <v>313.11637080000003</v>
      </c>
      <c r="F2545">
        <v>5.08</v>
      </c>
      <c r="G2545">
        <v>0.83</v>
      </c>
      <c r="H2545">
        <v>5.91</v>
      </c>
      <c r="I2545">
        <v>85.96</v>
      </c>
      <c r="J2545">
        <v>179.08</v>
      </c>
      <c r="K2545" s="9">
        <v>45355</v>
      </c>
      <c r="L2545">
        <f xml:space="preserve"> (交易處理資料__3[[#This Row],[售出工時]] * 60) / 5</f>
        <v>126.99999996000001</v>
      </c>
      <c r="M2545" t="str">
        <f>VLOOKUP(交易處理資料__3[[#This Row],[人員代號]],團隊分組!$B$1:$C$52,2,FALSE)</f>
        <v>快速保養團隊A</v>
      </c>
      <c r="N2545">
        <f>IF(交易處理資料__3[[#This Row],[上班時間]]=0,0,交易處理資料__3[[#This Row],[售出工時]]/交易處理資料__3[[#This Row],[上班時間]])</f>
        <v>1.7907501404399324</v>
      </c>
      <c r="O2545" s="31" t="str">
        <f>IF(交易處理資料__3[[#This Row],[上班時間]]=0,"否","是")</f>
        <v>是</v>
      </c>
    </row>
    <row r="2546" spans="1:15" hidden="1">
      <c r="A2546" t="s">
        <v>75</v>
      </c>
      <c r="B2546" t="s">
        <v>42</v>
      </c>
      <c r="C2546">
        <v>6.0833333329999997</v>
      </c>
      <c r="D2546">
        <v>5.3</v>
      </c>
      <c r="E2546" s="27">
        <v>114.77987419999999</v>
      </c>
      <c r="F2546">
        <v>6.29</v>
      </c>
      <c r="G2546">
        <v>1.61</v>
      </c>
      <c r="H2546">
        <v>7.9</v>
      </c>
      <c r="I2546">
        <v>79.62</v>
      </c>
      <c r="J2546">
        <v>77</v>
      </c>
      <c r="K2546" s="9">
        <v>45355</v>
      </c>
      <c r="L2546">
        <f xml:space="preserve"> (交易處理資料__3[[#This Row],[售出工時]] * 60) / 5</f>
        <v>72.999999996</v>
      </c>
      <c r="M2546" t="str">
        <f>VLOOKUP(交易處理資料__3[[#This Row],[人員代號]],團隊分組!$B$1:$C$52,2,FALSE)</f>
        <v>快速保養團隊A</v>
      </c>
      <c r="N2546">
        <f>IF(交易處理資料__3[[#This Row],[上班時間]]=0,0,交易處理資料__3[[#This Row],[售出工時]]/交易處理資料__3[[#This Row],[上班時間]])</f>
        <v>0.77004219405063279</v>
      </c>
      <c r="O2546" s="31" t="str">
        <f>IF(交易處理資料__3[[#This Row],[上班時間]]=0,"否","是")</f>
        <v>是</v>
      </c>
    </row>
    <row r="2547" spans="1:15" hidden="1">
      <c r="A2547" t="s">
        <v>75</v>
      </c>
      <c r="B2547" t="s">
        <v>43</v>
      </c>
      <c r="C2547">
        <v>0</v>
      </c>
      <c r="D2547">
        <v>0</v>
      </c>
      <c r="E2547" s="27">
        <v>0</v>
      </c>
      <c r="F2547">
        <v>7.44</v>
      </c>
      <c r="G2547">
        <v>0.71</v>
      </c>
      <c r="H2547">
        <v>8.15</v>
      </c>
      <c r="I2547">
        <v>91.29</v>
      </c>
      <c r="J2547">
        <v>0</v>
      </c>
      <c r="K2547" s="9">
        <v>45355</v>
      </c>
      <c r="L2547">
        <f xml:space="preserve"> (交易處理資料__3[[#This Row],[售出工時]] * 60) / 5</f>
        <v>0</v>
      </c>
      <c r="M2547" t="str">
        <f>VLOOKUP(交易處理資料__3[[#This Row],[人員代號]],團隊分組!$B$1:$C$52,2,FALSE)</f>
        <v>查修團隊B</v>
      </c>
      <c r="N2547">
        <f>IF(交易處理資料__3[[#This Row],[上班時間]]=0,0,交易處理資料__3[[#This Row],[售出工時]]/交易處理資料__3[[#This Row],[上班時間]])</f>
        <v>0</v>
      </c>
      <c r="O2547" s="31" t="str">
        <f>IF(交易處理資料__3[[#This Row],[上班時間]]=0,"否","是")</f>
        <v>是</v>
      </c>
    </row>
    <row r="2548" spans="1:15" hidden="1">
      <c r="A2548" t="s">
        <v>75</v>
      </c>
      <c r="B2548" t="s">
        <v>44</v>
      </c>
      <c r="C2548">
        <v>4.38</v>
      </c>
      <c r="D2548">
        <v>5.36</v>
      </c>
      <c r="E2548" s="27">
        <v>81.716417910000004</v>
      </c>
      <c r="F2548">
        <v>6.67</v>
      </c>
      <c r="G2548">
        <v>1.21</v>
      </c>
      <c r="H2548">
        <v>7.88</v>
      </c>
      <c r="I2548">
        <v>84.64</v>
      </c>
      <c r="J2548">
        <v>55.58</v>
      </c>
      <c r="K2548" s="9">
        <v>45355</v>
      </c>
      <c r="L2548">
        <f xml:space="preserve"> (交易處理資料__3[[#This Row],[售出工時]] * 60) / 5</f>
        <v>52.56</v>
      </c>
      <c r="M2548" t="str">
        <f>VLOOKUP(交易處理資料__3[[#This Row],[人員代號]],團隊分組!$B$1:$C$52,2,FALSE)</f>
        <v>快速保養團隊B</v>
      </c>
      <c r="N2548">
        <f>IF(交易處理資料__3[[#This Row],[上班時間]]=0,0,交易處理資料__3[[#This Row],[售出工時]]/交易處理資料__3[[#This Row],[上班時間]])</f>
        <v>0.5558375634517766</v>
      </c>
      <c r="O2548" s="31" t="str">
        <f>IF(交易處理資料__3[[#This Row],[上班時間]]=0,"否","是")</f>
        <v>是</v>
      </c>
    </row>
    <row r="2549" spans="1:15" hidden="1">
      <c r="A2549" t="s">
        <v>75</v>
      </c>
      <c r="B2549" t="s">
        <v>45</v>
      </c>
      <c r="C2549">
        <v>6.75</v>
      </c>
      <c r="D2549">
        <v>7</v>
      </c>
      <c r="E2549" s="27">
        <v>96.428571430000005</v>
      </c>
      <c r="F2549">
        <v>7.28</v>
      </c>
      <c r="G2549">
        <v>0.91</v>
      </c>
      <c r="H2549">
        <v>8.19</v>
      </c>
      <c r="I2549">
        <v>88.89</v>
      </c>
      <c r="J2549">
        <v>82.42</v>
      </c>
      <c r="K2549" s="9">
        <v>45355</v>
      </c>
      <c r="L2549">
        <f xml:space="preserve"> (交易處理資料__3[[#This Row],[售出工時]] * 60) / 5</f>
        <v>81</v>
      </c>
      <c r="M2549" t="str">
        <f>VLOOKUP(交易處理資料__3[[#This Row],[人員代號]],團隊分組!$B$1:$C$52,2,FALSE)</f>
        <v>快速保養團隊A</v>
      </c>
      <c r="N2549">
        <f>IF(交易處理資料__3[[#This Row],[上班時間]]=0,0,交易處理資料__3[[#This Row],[售出工時]]/交易處理資料__3[[#This Row],[上班時間]])</f>
        <v>0.82417582417582425</v>
      </c>
      <c r="O2549" s="31" t="str">
        <f>IF(交易處理資料__3[[#This Row],[上班時間]]=0,"否","是")</f>
        <v>是</v>
      </c>
    </row>
    <row r="2550" spans="1:15" hidden="1">
      <c r="A2550" t="s">
        <v>75</v>
      </c>
      <c r="B2550" t="s">
        <v>47</v>
      </c>
      <c r="C2550">
        <v>0.91666666699999999</v>
      </c>
      <c r="D2550">
        <v>1.08</v>
      </c>
      <c r="E2550" s="27">
        <v>84.876543209999994</v>
      </c>
      <c r="F2550">
        <v>7.36</v>
      </c>
      <c r="G2550">
        <v>1.02</v>
      </c>
      <c r="H2550">
        <v>8.3800000000000008</v>
      </c>
      <c r="I2550">
        <v>87.83</v>
      </c>
      <c r="J2550">
        <v>10.94</v>
      </c>
      <c r="K2550" s="9">
        <v>45355</v>
      </c>
      <c r="L2550">
        <f xml:space="preserve"> (交易處理資料__3[[#This Row],[售出工時]] * 60) / 5</f>
        <v>11.000000004</v>
      </c>
      <c r="M2550" t="str">
        <f>VLOOKUP(交易處理資料__3[[#This Row],[人員代號]],團隊分組!$B$1:$C$52,2,FALSE)</f>
        <v>查修團隊B</v>
      </c>
      <c r="N2550">
        <f>IF(交易處理資料__3[[#This Row],[上班時間]]=0,0,交易處理資料__3[[#This Row],[售出工時]]/交易處理資料__3[[#This Row],[上班時間]])</f>
        <v>0.10938743042959426</v>
      </c>
      <c r="O2550" s="31" t="str">
        <f>IF(交易處理資料__3[[#This Row],[上班時間]]=0,"否","是")</f>
        <v>是</v>
      </c>
    </row>
    <row r="2551" spans="1:15" hidden="1">
      <c r="A2551" t="s">
        <v>75</v>
      </c>
      <c r="B2551" t="s">
        <v>48</v>
      </c>
      <c r="C2551">
        <v>0.91666666699999999</v>
      </c>
      <c r="D2551">
        <v>0.9</v>
      </c>
      <c r="E2551" s="27">
        <v>101.8518519</v>
      </c>
      <c r="F2551">
        <v>4.3899999999999997</v>
      </c>
      <c r="G2551">
        <v>3.82</v>
      </c>
      <c r="H2551">
        <v>8.2100000000000009</v>
      </c>
      <c r="I2551">
        <v>53.47</v>
      </c>
      <c r="J2551">
        <v>11.17</v>
      </c>
      <c r="K2551" s="9">
        <v>45355</v>
      </c>
      <c r="L2551">
        <f xml:space="preserve"> (交易處理資料__3[[#This Row],[售出工時]] * 60) / 5</f>
        <v>11.000000004</v>
      </c>
      <c r="M2551" t="str">
        <f>VLOOKUP(交易處理資料__3[[#This Row],[人員代號]],團隊分組!$B$1:$C$52,2,FALSE)</f>
        <v>查修團隊A</v>
      </c>
      <c r="N2551">
        <f>IF(交易處理資料__3[[#This Row],[上班時間]]=0,0,交易處理資料__3[[#This Row],[售出工時]]/交易處理資料__3[[#This Row],[上班時間]])</f>
        <v>0.11165245639464066</v>
      </c>
      <c r="O2551" s="31" t="str">
        <f>IF(交易處理資料__3[[#This Row],[上班時間]]=0,"否","是")</f>
        <v>是</v>
      </c>
    </row>
    <row r="2552" spans="1:15" hidden="1">
      <c r="A2552" t="s">
        <v>75</v>
      </c>
      <c r="B2552" t="s">
        <v>49</v>
      </c>
      <c r="C2552">
        <v>2.08</v>
      </c>
      <c r="D2552">
        <v>3.64</v>
      </c>
      <c r="E2552" s="27">
        <v>57.142857139999997</v>
      </c>
      <c r="F2552">
        <v>7.2</v>
      </c>
      <c r="G2552">
        <v>0.94</v>
      </c>
      <c r="H2552">
        <v>8.14</v>
      </c>
      <c r="I2552">
        <v>88.45</v>
      </c>
      <c r="J2552">
        <v>25.55</v>
      </c>
      <c r="K2552" s="9">
        <v>45355</v>
      </c>
      <c r="L2552">
        <f xml:space="preserve"> (交易處理資料__3[[#This Row],[售出工時]] * 60) / 5</f>
        <v>24.96</v>
      </c>
      <c r="M2552" t="str">
        <f>VLOOKUP(交易處理資料__3[[#This Row],[人員代號]],團隊分組!$B$1:$C$52,2,FALSE)</f>
        <v>查修團隊A</v>
      </c>
      <c r="N2552">
        <f>IF(交易處理資料__3[[#This Row],[上班時間]]=0,0,交易處理資料__3[[#This Row],[售出工時]]/交易處理資料__3[[#This Row],[上班時間]])</f>
        <v>0.25552825552825553</v>
      </c>
      <c r="O2552" s="31" t="str">
        <f>IF(交易處理資料__3[[#This Row],[上班時間]]=0,"否","是")</f>
        <v>是</v>
      </c>
    </row>
    <row r="2553" spans="1:15" hidden="1">
      <c r="A2553" t="s">
        <v>75</v>
      </c>
      <c r="B2553" t="s">
        <v>50</v>
      </c>
      <c r="C2553">
        <v>7.1433333330000002</v>
      </c>
      <c r="D2553">
        <v>6.06</v>
      </c>
      <c r="E2553" s="27">
        <v>117.87678769999999</v>
      </c>
      <c r="F2553">
        <v>6.6</v>
      </c>
      <c r="G2553">
        <v>1.27</v>
      </c>
      <c r="H2553">
        <v>7.87</v>
      </c>
      <c r="I2553">
        <v>83.86</v>
      </c>
      <c r="J2553">
        <v>90.77</v>
      </c>
      <c r="K2553" s="9">
        <v>45355</v>
      </c>
      <c r="L2553">
        <f xml:space="preserve"> (交易處理資料__3[[#This Row],[售出工時]] * 60) / 5</f>
        <v>85.719999995999999</v>
      </c>
      <c r="M2553" t="str">
        <f>VLOOKUP(交易處理資料__3[[#This Row],[人員代號]],團隊分組!$B$1:$C$52,2,FALSE)</f>
        <v>快速保養團隊B</v>
      </c>
      <c r="N2553">
        <f>IF(交易處理資料__3[[#This Row],[上班時間]]=0,0,交易處理資料__3[[#This Row],[售出工時]]/交易處理資料__3[[#This Row],[上班時間]])</f>
        <v>0.90766624307496824</v>
      </c>
      <c r="O2553" s="31" t="str">
        <f>IF(交易處理資料__3[[#This Row],[上班時間]]=0,"否","是")</f>
        <v>是</v>
      </c>
    </row>
    <row r="2554" spans="1:15" hidden="1">
      <c r="A2554" t="s">
        <v>75</v>
      </c>
      <c r="B2554" t="s">
        <v>51</v>
      </c>
      <c r="C2554">
        <v>0</v>
      </c>
      <c r="D2554">
        <v>0</v>
      </c>
      <c r="E2554" s="27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 s="9">
        <v>45355</v>
      </c>
      <c r="L2554">
        <f xml:space="preserve"> (交易處理資料__3[[#This Row],[售出工時]] * 60) / 5</f>
        <v>0</v>
      </c>
      <c r="M2554" t="str">
        <f>VLOOKUP(交易處理資料__3[[#This Row],[人員代號]],團隊分組!$B$1:$C$52,2,FALSE)</f>
        <v>無效數據</v>
      </c>
      <c r="N2554">
        <f>IF(交易處理資料__3[[#This Row],[上班時間]]=0,0,交易處理資料__3[[#This Row],[售出工時]]/交易處理資料__3[[#This Row],[上班時間]])</f>
        <v>0</v>
      </c>
      <c r="O2554" s="31" t="str">
        <f>IF(交易處理資料__3[[#This Row],[上班時間]]=0,"否","是")</f>
        <v>否</v>
      </c>
    </row>
    <row r="2555" spans="1:15" hidden="1">
      <c r="A2555" s="10" t="s">
        <v>73</v>
      </c>
      <c r="B2555" t="s">
        <v>1</v>
      </c>
      <c r="C2555">
        <v>0</v>
      </c>
      <c r="D2555">
        <v>0</v>
      </c>
      <c r="E2555" s="27">
        <v>0</v>
      </c>
      <c r="F2555">
        <v>6.9</v>
      </c>
      <c r="G2555">
        <v>1.1499999999999999</v>
      </c>
      <c r="H2555">
        <v>8.0500000000000007</v>
      </c>
      <c r="I2555">
        <v>85.71</v>
      </c>
      <c r="J2555">
        <v>0</v>
      </c>
      <c r="K2555" s="9">
        <v>45356</v>
      </c>
      <c r="L2555">
        <f xml:space="preserve"> (交易處理資料__3[[#This Row],[售出工時]] * 60) / 5</f>
        <v>0</v>
      </c>
      <c r="M2555" t="str">
        <f>VLOOKUP(交易處理資料__3[[#This Row],[人員代號]],團隊分組!$B$1:$C$52,2,FALSE)</f>
        <v>噴漆維修組</v>
      </c>
      <c r="N2555">
        <f>IF(交易處理資料__3[[#This Row],[上班時間]]=0,0,交易處理資料__3[[#This Row],[售出工時]]/交易處理資料__3[[#This Row],[上班時間]])</f>
        <v>0</v>
      </c>
      <c r="O2555" s="31" t="str">
        <f>IF(交易處理資料__3[[#This Row],[上班時間]]=0,"否","是")</f>
        <v>是</v>
      </c>
    </row>
    <row r="2556" spans="1:15" hidden="1">
      <c r="A2556" s="10" t="s">
        <v>73</v>
      </c>
      <c r="B2556" t="s">
        <v>2</v>
      </c>
      <c r="C2556">
        <v>1.31</v>
      </c>
      <c r="D2556">
        <v>3.98</v>
      </c>
      <c r="E2556" s="27">
        <v>32.91457286</v>
      </c>
      <c r="F2556">
        <v>10.89</v>
      </c>
      <c r="G2556">
        <v>0.19</v>
      </c>
      <c r="H2556">
        <v>11.08</v>
      </c>
      <c r="I2556">
        <v>98.29</v>
      </c>
      <c r="J2556">
        <v>11.82</v>
      </c>
      <c r="K2556" s="9">
        <v>45356</v>
      </c>
      <c r="L2556">
        <f xml:space="preserve"> (交易處理資料__3[[#This Row],[售出工時]] * 60) / 5</f>
        <v>15.720000000000002</v>
      </c>
      <c r="M2556" t="str">
        <f>VLOOKUP(交易處理資料__3[[#This Row],[人員代號]],團隊分組!$B$1:$C$52,2,FALSE)</f>
        <v>噴漆維修組</v>
      </c>
      <c r="N2556">
        <f>IF(交易處理資料__3[[#This Row],[上班時間]]=0,0,交易處理資料__3[[#This Row],[售出工時]]/交易處理資料__3[[#This Row],[上班時間]])</f>
        <v>0.11823104693140794</v>
      </c>
      <c r="O2556" s="31" t="str">
        <f>IF(交易處理資料__3[[#This Row],[上班時間]]=0,"否","是")</f>
        <v>是</v>
      </c>
    </row>
    <row r="2557" spans="1:15" hidden="1">
      <c r="A2557" s="10" t="s">
        <v>73</v>
      </c>
      <c r="B2557" t="s">
        <v>3</v>
      </c>
      <c r="C2557">
        <v>1.31</v>
      </c>
      <c r="D2557">
        <v>3.98</v>
      </c>
      <c r="E2557" s="27">
        <v>32.91457286</v>
      </c>
      <c r="F2557">
        <v>10.87</v>
      </c>
      <c r="G2557">
        <v>0.2</v>
      </c>
      <c r="H2557">
        <v>11.07</v>
      </c>
      <c r="I2557">
        <v>98.19</v>
      </c>
      <c r="J2557">
        <v>11.83</v>
      </c>
      <c r="K2557" s="9">
        <v>45356</v>
      </c>
      <c r="L2557">
        <f xml:space="preserve"> (交易處理資料__3[[#This Row],[售出工時]] * 60) / 5</f>
        <v>15.720000000000002</v>
      </c>
      <c r="M2557" t="str">
        <f>VLOOKUP(交易處理資料__3[[#This Row],[人員代號]],團隊分組!$B$1:$C$52,2,FALSE)</f>
        <v>噴漆維修組</v>
      </c>
      <c r="N2557">
        <f>IF(交易處理資料__3[[#This Row],[上班時間]]=0,0,交易處理資料__3[[#This Row],[售出工時]]/交易處理資料__3[[#This Row],[上班時間]])</f>
        <v>0.11833785004516711</v>
      </c>
      <c r="O2557" s="31" t="str">
        <f>IF(交易處理資料__3[[#This Row],[上班時間]]=0,"否","是")</f>
        <v>是</v>
      </c>
    </row>
    <row r="2558" spans="1:15" hidden="1">
      <c r="A2558" s="10" t="s">
        <v>73</v>
      </c>
      <c r="B2558" t="s">
        <v>4</v>
      </c>
      <c r="C2558">
        <v>0</v>
      </c>
      <c r="D2558">
        <v>0</v>
      </c>
      <c r="E2558" s="27">
        <v>0</v>
      </c>
      <c r="F2558">
        <v>6.97</v>
      </c>
      <c r="G2558">
        <v>1.1599999999999999</v>
      </c>
      <c r="H2558">
        <v>8.1300000000000008</v>
      </c>
      <c r="I2558">
        <v>85.73</v>
      </c>
      <c r="J2558">
        <v>0</v>
      </c>
      <c r="K2558" s="9">
        <v>45356</v>
      </c>
      <c r="L2558">
        <f xml:space="preserve"> (交易處理資料__3[[#This Row],[售出工時]] * 60) / 5</f>
        <v>0</v>
      </c>
      <c r="M2558" t="str">
        <f>VLOOKUP(交易處理資料__3[[#This Row],[人員代號]],團隊分組!$B$1:$C$52,2,FALSE)</f>
        <v>噴漆維修組</v>
      </c>
      <c r="N2558">
        <f>IF(交易處理資料__3[[#This Row],[上班時間]]=0,0,交易處理資料__3[[#This Row],[售出工時]]/交易處理資料__3[[#This Row],[上班時間]])</f>
        <v>0</v>
      </c>
      <c r="O2558" s="31" t="str">
        <f>IF(交易處理資料__3[[#This Row],[上班時間]]=0,"否","是")</f>
        <v>是</v>
      </c>
    </row>
    <row r="2559" spans="1:15" hidden="1">
      <c r="A2559" s="10" t="s">
        <v>73</v>
      </c>
      <c r="B2559" t="s">
        <v>5</v>
      </c>
      <c r="C2559">
        <v>0</v>
      </c>
      <c r="D2559">
        <v>0</v>
      </c>
      <c r="E2559" s="27">
        <v>0</v>
      </c>
      <c r="F2559">
        <v>10.85</v>
      </c>
      <c r="G2559">
        <v>0.17</v>
      </c>
      <c r="H2559">
        <v>11.02</v>
      </c>
      <c r="I2559">
        <v>98.46</v>
      </c>
      <c r="J2559">
        <v>0</v>
      </c>
      <c r="K2559" s="9">
        <v>45356</v>
      </c>
      <c r="L2559">
        <f xml:space="preserve"> (交易處理資料__3[[#This Row],[售出工時]] * 60) / 5</f>
        <v>0</v>
      </c>
      <c r="M2559" t="str">
        <f>VLOOKUP(交易處理資料__3[[#This Row],[人員代號]],團隊分組!$B$1:$C$52,2,FALSE)</f>
        <v>噴漆維修組</v>
      </c>
      <c r="N2559">
        <f>IF(交易處理資料__3[[#This Row],[上班時間]]=0,0,交易處理資料__3[[#This Row],[售出工時]]/交易處理資料__3[[#This Row],[上班時間]])</f>
        <v>0</v>
      </c>
      <c r="O2559" s="31" t="str">
        <f>IF(交易處理資料__3[[#This Row],[上班時間]]=0,"否","是")</f>
        <v>是</v>
      </c>
    </row>
    <row r="2560" spans="1:15" hidden="1">
      <c r="A2560" s="10" t="s">
        <v>73</v>
      </c>
      <c r="B2560" t="s">
        <v>6</v>
      </c>
      <c r="C2560">
        <v>1.31</v>
      </c>
      <c r="D2560">
        <v>3.98</v>
      </c>
      <c r="E2560" s="27">
        <v>32.91457286</v>
      </c>
      <c r="F2560">
        <v>10.87</v>
      </c>
      <c r="G2560">
        <v>0.2</v>
      </c>
      <c r="H2560">
        <v>11.07</v>
      </c>
      <c r="I2560">
        <v>98.19</v>
      </c>
      <c r="J2560">
        <v>11.83</v>
      </c>
      <c r="K2560" s="9">
        <v>45356</v>
      </c>
      <c r="L2560">
        <f xml:space="preserve"> (交易處理資料__3[[#This Row],[售出工時]] * 60) / 5</f>
        <v>15.720000000000002</v>
      </c>
      <c r="M2560" t="str">
        <f>VLOOKUP(交易處理資料__3[[#This Row],[人員代號]],團隊分組!$B$1:$C$52,2,FALSE)</f>
        <v>噴漆維修組</v>
      </c>
      <c r="N2560">
        <f>IF(交易處理資料__3[[#This Row],[上班時間]]=0,0,交易處理資料__3[[#This Row],[售出工時]]/交易處理資料__3[[#This Row],[上班時間]])</f>
        <v>0.11833785004516711</v>
      </c>
      <c r="O2560" s="31" t="str">
        <f>IF(交易處理資料__3[[#This Row],[上班時間]]=0,"否","是")</f>
        <v>是</v>
      </c>
    </row>
    <row r="2561" spans="1:15" hidden="1">
      <c r="A2561" s="10" t="s">
        <v>73</v>
      </c>
      <c r="B2561" t="s">
        <v>7</v>
      </c>
      <c r="C2561">
        <v>0</v>
      </c>
      <c r="D2561">
        <v>0</v>
      </c>
      <c r="E2561" s="27">
        <v>0</v>
      </c>
      <c r="F2561">
        <v>10.85</v>
      </c>
      <c r="G2561">
        <v>0.17</v>
      </c>
      <c r="H2561">
        <v>11.02</v>
      </c>
      <c r="I2561">
        <v>98.46</v>
      </c>
      <c r="J2561">
        <v>0</v>
      </c>
      <c r="K2561" s="9">
        <v>45356</v>
      </c>
      <c r="L2561">
        <f xml:space="preserve"> (交易處理資料__3[[#This Row],[售出工時]] * 60) / 5</f>
        <v>0</v>
      </c>
      <c r="M2561" t="str">
        <f>VLOOKUP(交易處理資料__3[[#This Row],[人員代號]],團隊分組!$B$1:$C$52,2,FALSE)</f>
        <v>噴漆維修組</v>
      </c>
      <c r="N2561">
        <f>IF(交易處理資料__3[[#This Row],[上班時間]]=0,0,交易處理資料__3[[#This Row],[售出工時]]/交易處理資料__3[[#This Row],[上班時間]])</f>
        <v>0</v>
      </c>
      <c r="O2561" s="31" t="str">
        <f>IF(交易處理資料__3[[#This Row],[上班時間]]=0,"否","是")</f>
        <v>是</v>
      </c>
    </row>
    <row r="2562" spans="1:15" hidden="1">
      <c r="A2562" s="10" t="s">
        <v>73</v>
      </c>
      <c r="B2562" t="s">
        <v>8</v>
      </c>
      <c r="C2562">
        <v>0</v>
      </c>
      <c r="D2562">
        <v>0</v>
      </c>
      <c r="E2562" s="27">
        <v>0</v>
      </c>
      <c r="F2562">
        <v>10.39</v>
      </c>
      <c r="G2562">
        <v>0.71</v>
      </c>
      <c r="H2562">
        <v>11.1</v>
      </c>
      <c r="I2562">
        <v>93.6</v>
      </c>
      <c r="J2562">
        <v>0</v>
      </c>
      <c r="K2562" s="9">
        <v>45356</v>
      </c>
      <c r="L2562">
        <f xml:space="preserve"> (交易處理資料__3[[#This Row],[售出工時]] * 60) / 5</f>
        <v>0</v>
      </c>
      <c r="M2562" t="str">
        <f>VLOOKUP(交易處理資料__3[[#This Row],[人員代號]],團隊分組!$B$1:$C$52,2,FALSE)</f>
        <v>噴漆維修組</v>
      </c>
      <c r="N2562">
        <f>IF(交易處理資料__3[[#This Row],[上班時間]]=0,0,交易處理資料__3[[#This Row],[售出工時]]/交易處理資料__3[[#This Row],[上班時間]])</f>
        <v>0</v>
      </c>
      <c r="O2562" s="31" t="str">
        <f>IF(交易處理資料__3[[#This Row],[上班時間]]=0,"否","是")</f>
        <v>是</v>
      </c>
    </row>
    <row r="2563" spans="1:15" hidden="1">
      <c r="A2563" s="10" t="s">
        <v>73</v>
      </c>
      <c r="B2563" t="s">
        <v>9</v>
      </c>
      <c r="C2563">
        <v>0</v>
      </c>
      <c r="D2563">
        <v>0</v>
      </c>
      <c r="E2563" s="27">
        <v>0</v>
      </c>
      <c r="F2563">
        <v>6.93</v>
      </c>
      <c r="G2563">
        <v>1.1599999999999999</v>
      </c>
      <c r="H2563">
        <v>8.09</v>
      </c>
      <c r="I2563">
        <v>85.66</v>
      </c>
      <c r="J2563">
        <v>0</v>
      </c>
      <c r="K2563" s="9">
        <v>45356</v>
      </c>
      <c r="L2563">
        <f xml:space="preserve"> (交易處理資料__3[[#This Row],[售出工時]] * 60) / 5</f>
        <v>0</v>
      </c>
      <c r="M2563" t="str">
        <f>VLOOKUP(交易處理資料__3[[#This Row],[人員代號]],團隊分組!$B$1:$C$52,2,FALSE)</f>
        <v>噴漆維修組</v>
      </c>
      <c r="N2563">
        <f>IF(交易處理資料__3[[#This Row],[上班時間]]=0,0,交易處理資料__3[[#This Row],[售出工時]]/交易處理資料__3[[#This Row],[上班時間]])</f>
        <v>0</v>
      </c>
      <c r="O2563" s="31" t="str">
        <f>IF(交易處理資料__3[[#This Row],[上班時間]]=0,"否","是")</f>
        <v>是</v>
      </c>
    </row>
    <row r="2564" spans="1:15" hidden="1">
      <c r="A2564" t="s">
        <v>74</v>
      </c>
      <c r="B2564" t="s">
        <v>11</v>
      </c>
      <c r="C2564">
        <v>0</v>
      </c>
      <c r="D2564">
        <v>0</v>
      </c>
      <c r="E2564" s="27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 s="9">
        <v>45356</v>
      </c>
      <c r="L2564">
        <f xml:space="preserve"> (交易處理資料__3[[#This Row],[售出工時]] * 60) / 5</f>
        <v>0</v>
      </c>
      <c r="M2564" t="str">
        <f>VLOOKUP(交易處理資料__3[[#This Row],[人員代號]],團隊分組!$B$1:$C$52,2,FALSE)</f>
        <v>鈑金維修組</v>
      </c>
      <c r="N2564">
        <f>IF(交易處理資料__3[[#This Row],[上班時間]]=0,0,交易處理資料__3[[#This Row],[售出工時]]/交易處理資料__3[[#This Row],[上班時間]])</f>
        <v>0</v>
      </c>
      <c r="O2564" s="31" t="str">
        <f>IF(交易處理資料__3[[#This Row],[上班時間]]=0,"否","是")</f>
        <v>否</v>
      </c>
    </row>
    <row r="2565" spans="1:15" hidden="1">
      <c r="A2565" t="s">
        <v>74</v>
      </c>
      <c r="B2565" t="s">
        <v>12</v>
      </c>
      <c r="C2565">
        <v>0</v>
      </c>
      <c r="D2565">
        <v>0</v>
      </c>
      <c r="E2565" s="27">
        <v>0</v>
      </c>
      <c r="F2565">
        <v>4.38</v>
      </c>
      <c r="G2565">
        <v>3.68</v>
      </c>
      <c r="H2565">
        <v>8.06</v>
      </c>
      <c r="I2565">
        <v>54.34</v>
      </c>
      <c r="J2565">
        <v>0</v>
      </c>
      <c r="K2565" s="9">
        <v>45356</v>
      </c>
      <c r="L2565">
        <f xml:space="preserve"> (交易處理資料__3[[#This Row],[售出工時]] * 60) / 5</f>
        <v>0</v>
      </c>
      <c r="M2565" t="str">
        <f>VLOOKUP(交易處理資料__3[[#This Row],[人員代號]],團隊分組!$B$1:$C$52,2,FALSE)</f>
        <v>鈑金維修組</v>
      </c>
      <c r="N2565">
        <f>IF(交易處理資料__3[[#This Row],[上班時間]]=0,0,交易處理資料__3[[#This Row],[售出工時]]/交易處理資料__3[[#This Row],[上班時間]])</f>
        <v>0</v>
      </c>
      <c r="O2565" s="31" t="str">
        <f>IF(交易處理資料__3[[#This Row],[上班時間]]=0,"否","是")</f>
        <v>是</v>
      </c>
    </row>
    <row r="2566" spans="1:15" hidden="1">
      <c r="A2566" t="s">
        <v>74</v>
      </c>
      <c r="B2566" t="s">
        <v>13</v>
      </c>
      <c r="C2566">
        <v>1.64</v>
      </c>
      <c r="D2566">
        <v>1.27</v>
      </c>
      <c r="E2566" s="27">
        <v>129.13385830000001</v>
      </c>
      <c r="F2566">
        <v>6.62</v>
      </c>
      <c r="G2566">
        <v>1.45</v>
      </c>
      <c r="H2566">
        <v>8.07</v>
      </c>
      <c r="I2566">
        <v>82.03</v>
      </c>
      <c r="J2566">
        <v>20.32</v>
      </c>
      <c r="K2566" s="9">
        <v>45356</v>
      </c>
      <c r="L2566">
        <f xml:space="preserve"> (交易處理資料__3[[#This Row],[售出工時]] * 60) / 5</f>
        <v>19.68</v>
      </c>
      <c r="M2566" t="str">
        <f>VLOOKUP(交易處理資料__3[[#This Row],[人員代號]],團隊分組!$B$1:$C$52,2,FALSE)</f>
        <v>鈑金維修組</v>
      </c>
      <c r="N2566">
        <f>IF(交易處理資料__3[[#This Row],[上班時間]]=0,0,交易處理資料__3[[#This Row],[售出工時]]/交易處理資料__3[[#This Row],[上班時間]])</f>
        <v>0.20322180916976454</v>
      </c>
      <c r="O2566" s="31" t="str">
        <f>IF(交易處理資料__3[[#This Row],[上班時間]]=0,"否","是")</f>
        <v>是</v>
      </c>
    </row>
    <row r="2567" spans="1:15" hidden="1">
      <c r="A2567" t="s">
        <v>74</v>
      </c>
      <c r="B2567" t="s">
        <v>14</v>
      </c>
      <c r="C2567">
        <v>0.86</v>
      </c>
      <c r="D2567">
        <v>0.67</v>
      </c>
      <c r="E2567" s="27">
        <v>128.35820899999999</v>
      </c>
      <c r="F2567">
        <v>6.04</v>
      </c>
      <c r="G2567">
        <v>2.0299999999999998</v>
      </c>
      <c r="H2567">
        <v>8.07</v>
      </c>
      <c r="I2567">
        <v>74.849999999999994</v>
      </c>
      <c r="J2567">
        <v>10.66</v>
      </c>
      <c r="K2567" s="9">
        <v>45356</v>
      </c>
      <c r="L2567">
        <f xml:space="preserve"> (交易處理資料__3[[#This Row],[售出工時]] * 60) / 5</f>
        <v>10.32</v>
      </c>
      <c r="M2567" t="str">
        <f>VLOOKUP(交易處理資料__3[[#This Row],[人員代號]],團隊分組!$B$1:$C$52,2,FALSE)</f>
        <v>鈑金維修組</v>
      </c>
      <c r="N2567">
        <f>IF(交易處理資料__3[[#This Row],[上班時間]]=0,0,交易處理資料__3[[#This Row],[售出工時]]/交易處理資料__3[[#This Row],[上班時間]])</f>
        <v>0.10656753407682776</v>
      </c>
      <c r="O2567" s="31" t="str">
        <f>IF(交易處理資料__3[[#This Row],[上班時間]]=0,"否","是")</f>
        <v>是</v>
      </c>
    </row>
    <row r="2568" spans="1:15" hidden="1">
      <c r="A2568" t="s">
        <v>74</v>
      </c>
      <c r="B2568" t="s">
        <v>15</v>
      </c>
      <c r="C2568">
        <v>0</v>
      </c>
      <c r="D2568">
        <v>0</v>
      </c>
      <c r="E2568" s="27">
        <v>0</v>
      </c>
      <c r="F2568">
        <v>6.05</v>
      </c>
      <c r="G2568">
        <v>2.02</v>
      </c>
      <c r="H2568">
        <v>8.07</v>
      </c>
      <c r="I2568">
        <v>74.97</v>
      </c>
      <c r="J2568">
        <v>0</v>
      </c>
      <c r="K2568" s="9">
        <v>45356</v>
      </c>
      <c r="L2568">
        <f xml:space="preserve"> (交易處理資料__3[[#This Row],[售出工時]] * 60) / 5</f>
        <v>0</v>
      </c>
      <c r="M2568" t="str">
        <f>VLOOKUP(交易處理資料__3[[#This Row],[人員代號]],團隊分組!$B$1:$C$52,2,FALSE)</f>
        <v>鈑金維修組</v>
      </c>
      <c r="N2568">
        <f>IF(交易處理資料__3[[#This Row],[上班時間]]=0,0,交易處理資料__3[[#This Row],[售出工時]]/交易處理資料__3[[#This Row],[上班時間]])</f>
        <v>0</v>
      </c>
      <c r="O2568" s="31" t="str">
        <f>IF(交易處理資料__3[[#This Row],[上班時間]]=0,"否","是")</f>
        <v>是</v>
      </c>
    </row>
    <row r="2569" spans="1:15" hidden="1">
      <c r="A2569" t="s">
        <v>75</v>
      </c>
      <c r="B2569" t="s">
        <v>17</v>
      </c>
      <c r="C2569">
        <v>9.5833333330000006</v>
      </c>
      <c r="D2569">
        <v>5.96</v>
      </c>
      <c r="E2569" s="27">
        <v>160.79418340000001</v>
      </c>
      <c r="F2569">
        <v>6.94</v>
      </c>
      <c r="G2569">
        <v>1.4</v>
      </c>
      <c r="H2569">
        <v>8.34</v>
      </c>
      <c r="I2569">
        <v>83.21</v>
      </c>
      <c r="J2569">
        <v>114.91</v>
      </c>
      <c r="K2569" s="9">
        <v>45356</v>
      </c>
      <c r="L2569">
        <f xml:space="preserve"> (交易處理資料__3[[#This Row],[售出工時]] * 60) / 5</f>
        <v>114.999999996</v>
      </c>
      <c r="M2569" t="str">
        <f>VLOOKUP(交易處理資料__3[[#This Row],[人員代號]],團隊分組!$B$1:$C$52,2,FALSE)</f>
        <v>快速保養團隊A</v>
      </c>
      <c r="N2569">
        <f>IF(交易處理資料__3[[#This Row],[上班時間]]=0,0,交易處理資料__3[[#This Row],[售出工時]]/交易處理資料__3[[#This Row],[上班時間]])</f>
        <v>1.1490807353717027</v>
      </c>
      <c r="O2569" s="31" t="str">
        <f>IF(交易處理資料__3[[#This Row],[上班時間]]=0,"否","是")</f>
        <v>是</v>
      </c>
    </row>
    <row r="2570" spans="1:15" hidden="1">
      <c r="A2570" t="s">
        <v>75</v>
      </c>
      <c r="B2570" t="s">
        <v>18</v>
      </c>
      <c r="C2570">
        <v>0</v>
      </c>
      <c r="D2570">
        <v>0</v>
      </c>
      <c r="E2570" s="27">
        <v>0</v>
      </c>
      <c r="F2570">
        <v>6.73</v>
      </c>
      <c r="G2570">
        <v>1.73</v>
      </c>
      <c r="H2570">
        <v>8.4600000000000009</v>
      </c>
      <c r="I2570">
        <v>79.55</v>
      </c>
      <c r="J2570">
        <v>0</v>
      </c>
      <c r="K2570" s="9">
        <v>45356</v>
      </c>
      <c r="L2570">
        <f xml:space="preserve"> (交易處理資料__3[[#This Row],[售出工時]] * 60) / 5</f>
        <v>0</v>
      </c>
      <c r="M2570" t="str">
        <f>VLOOKUP(交易處理資料__3[[#This Row],[人員代號]],團隊分組!$B$1:$C$52,2,FALSE)</f>
        <v>查修團隊B</v>
      </c>
      <c r="N2570">
        <f>IF(交易處理資料__3[[#This Row],[上班時間]]=0,0,交易處理資料__3[[#This Row],[售出工時]]/交易處理資料__3[[#This Row],[上班時間]])</f>
        <v>0</v>
      </c>
      <c r="O2570" s="31" t="str">
        <f>IF(交易處理資料__3[[#This Row],[上班時間]]=0,"否","是")</f>
        <v>是</v>
      </c>
    </row>
    <row r="2571" spans="1:15" hidden="1">
      <c r="A2571" t="s">
        <v>75</v>
      </c>
      <c r="B2571" t="s">
        <v>20</v>
      </c>
      <c r="C2571">
        <v>0</v>
      </c>
      <c r="D2571">
        <v>0</v>
      </c>
      <c r="E2571" s="27">
        <v>0</v>
      </c>
      <c r="F2571">
        <v>6.48</v>
      </c>
      <c r="G2571">
        <v>3.82</v>
      </c>
      <c r="H2571">
        <v>10.3</v>
      </c>
      <c r="I2571">
        <v>62.91</v>
      </c>
      <c r="J2571">
        <v>0</v>
      </c>
      <c r="K2571" s="9">
        <v>45356</v>
      </c>
      <c r="L2571">
        <f xml:space="preserve"> (交易處理資料__3[[#This Row],[售出工時]] * 60) / 5</f>
        <v>0</v>
      </c>
      <c r="M2571" t="str">
        <f>VLOOKUP(交易處理資料__3[[#This Row],[人員代號]],團隊分組!$B$1:$C$52,2,FALSE)</f>
        <v>查修團隊B</v>
      </c>
      <c r="N2571">
        <f>IF(交易處理資料__3[[#This Row],[上班時間]]=0,0,交易處理資料__3[[#This Row],[售出工時]]/交易處理資料__3[[#This Row],[上班時間]])</f>
        <v>0</v>
      </c>
      <c r="O2571" s="31" t="str">
        <f>IF(交易處理資料__3[[#This Row],[上班時間]]=0,"否","是")</f>
        <v>是</v>
      </c>
    </row>
    <row r="2572" spans="1:15" hidden="1">
      <c r="A2572" t="s">
        <v>75</v>
      </c>
      <c r="B2572" t="s">
        <v>22</v>
      </c>
      <c r="C2572">
        <v>16</v>
      </c>
      <c r="D2572">
        <v>6.92</v>
      </c>
      <c r="E2572" s="27">
        <v>231.21387279999999</v>
      </c>
      <c r="F2572">
        <v>6.92</v>
      </c>
      <c r="G2572">
        <v>1.1499999999999999</v>
      </c>
      <c r="H2572">
        <v>8.07</v>
      </c>
      <c r="I2572">
        <v>85.75</v>
      </c>
      <c r="J2572">
        <v>198.27</v>
      </c>
      <c r="K2572" s="9">
        <v>45356</v>
      </c>
      <c r="L2572">
        <f xml:space="preserve"> (交易處理資料__3[[#This Row],[售出工時]] * 60) / 5</f>
        <v>192</v>
      </c>
      <c r="M2572" t="str">
        <f>VLOOKUP(交易處理資料__3[[#This Row],[人員代號]],團隊分組!$B$1:$C$52,2,FALSE)</f>
        <v>快速保養團隊A</v>
      </c>
      <c r="N2572">
        <f>IF(交易處理資料__3[[#This Row],[上班時間]]=0,0,交易處理資料__3[[#This Row],[售出工時]]/交易處理資料__3[[#This Row],[上班時間]])</f>
        <v>1.9826517967781907</v>
      </c>
      <c r="O2572" s="31" t="str">
        <f>IF(交易處理資料__3[[#This Row],[上班時間]]=0,"否","是")</f>
        <v>是</v>
      </c>
    </row>
    <row r="2573" spans="1:15" hidden="1">
      <c r="A2573" t="s">
        <v>75</v>
      </c>
      <c r="B2573" t="s">
        <v>23</v>
      </c>
      <c r="C2573">
        <v>6.37</v>
      </c>
      <c r="D2573">
        <v>4.03</v>
      </c>
      <c r="E2573" s="27">
        <v>158.06451609999999</v>
      </c>
      <c r="F2573">
        <v>7.59</v>
      </c>
      <c r="G2573">
        <v>0.62</v>
      </c>
      <c r="H2573">
        <v>8.2100000000000009</v>
      </c>
      <c r="I2573">
        <v>92.45</v>
      </c>
      <c r="J2573">
        <v>77.59</v>
      </c>
      <c r="K2573" s="9">
        <v>45356</v>
      </c>
      <c r="L2573">
        <f xml:space="preserve"> (交易處理資料__3[[#This Row],[售出工時]] * 60) / 5</f>
        <v>76.44</v>
      </c>
      <c r="M2573" t="str">
        <f>VLOOKUP(交易處理資料__3[[#This Row],[人員代號]],團隊分組!$B$1:$C$52,2,FALSE)</f>
        <v>快速保養團隊B</v>
      </c>
      <c r="N2573">
        <f>IF(交易處理資料__3[[#This Row],[上班時間]]=0,0,交易處理資料__3[[#This Row],[售出工時]]/交易處理資料__3[[#This Row],[上班時間]])</f>
        <v>0.77588306942752738</v>
      </c>
      <c r="O2573" s="31" t="str">
        <f>IF(交易處理資料__3[[#This Row],[上班時間]]=0,"否","是")</f>
        <v>是</v>
      </c>
    </row>
    <row r="2574" spans="1:15" hidden="1">
      <c r="A2574" t="s">
        <v>75</v>
      </c>
      <c r="B2574" t="s">
        <v>24</v>
      </c>
      <c r="C2574">
        <v>5.33</v>
      </c>
      <c r="D2574">
        <v>4.59</v>
      </c>
      <c r="E2574" s="27">
        <v>116.12200439999999</v>
      </c>
      <c r="F2574">
        <v>7.23</v>
      </c>
      <c r="G2574">
        <v>0.98</v>
      </c>
      <c r="H2574">
        <v>8.2100000000000009</v>
      </c>
      <c r="I2574">
        <v>88.06</v>
      </c>
      <c r="J2574">
        <v>64.92</v>
      </c>
      <c r="K2574" s="9">
        <v>45356</v>
      </c>
      <c r="L2574">
        <f xml:space="preserve"> (交易處理資料__3[[#This Row],[售出工時]] * 60) / 5</f>
        <v>63.96</v>
      </c>
      <c r="M2574" t="str">
        <f>VLOOKUP(交易處理資料__3[[#This Row],[人員代號]],團隊分組!$B$1:$C$52,2,FALSE)</f>
        <v>快速保養團隊A</v>
      </c>
      <c r="N2574">
        <f>IF(交易處理資料__3[[#This Row],[上班時間]]=0,0,交易處理資料__3[[#This Row],[售出工時]]/交易處理資料__3[[#This Row],[上班時間]])</f>
        <v>0.64920828258221674</v>
      </c>
      <c r="O2574" s="31" t="str">
        <f>IF(交易處理資料__3[[#This Row],[上班時間]]=0,"否","是")</f>
        <v>是</v>
      </c>
    </row>
    <row r="2575" spans="1:15" hidden="1">
      <c r="A2575" t="s">
        <v>75</v>
      </c>
      <c r="B2575" t="s">
        <v>25</v>
      </c>
      <c r="C2575">
        <v>6.153333333</v>
      </c>
      <c r="D2575">
        <v>6.27</v>
      </c>
      <c r="E2575" s="27">
        <v>98.139287609999997</v>
      </c>
      <c r="F2575">
        <v>8.3699999999999992</v>
      </c>
      <c r="G2575">
        <v>0.95</v>
      </c>
      <c r="H2575">
        <v>9.32</v>
      </c>
      <c r="I2575">
        <v>89.81</v>
      </c>
      <c r="J2575">
        <v>66.02</v>
      </c>
      <c r="K2575" s="9">
        <v>45356</v>
      </c>
      <c r="L2575">
        <f xml:space="preserve"> (交易處理資料__3[[#This Row],[售出工時]] * 60) / 5</f>
        <v>73.839999995999989</v>
      </c>
      <c r="M2575" t="str">
        <f>VLOOKUP(交易處理資料__3[[#This Row],[人員代號]],團隊分組!$B$1:$C$52,2,FALSE)</f>
        <v>查修團隊A</v>
      </c>
      <c r="N2575">
        <f>IF(交易處理資料__3[[#This Row],[上班時間]]=0,0,交易處理資料__3[[#This Row],[售出工時]]/交易處理資料__3[[#This Row],[上班時間]])</f>
        <v>0.66022889839055787</v>
      </c>
      <c r="O2575" s="31" t="str">
        <f>IF(交易處理資料__3[[#This Row],[上班時間]]=0,"否","是")</f>
        <v>是</v>
      </c>
    </row>
    <row r="2576" spans="1:15" hidden="1">
      <c r="A2576" t="s">
        <v>75</v>
      </c>
      <c r="B2576" t="s">
        <v>26</v>
      </c>
      <c r="C2576">
        <v>0</v>
      </c>
      <c r="D2576">
        <v>0</v>
      </c>
      <c r="E2576" s="27">
        <v>0</v>
      </c>
      <c r="F2576">
        <v>0</v>
      </c>
      <c r="G2576">
        <v>0.15</v>
      </c>
      <c r="H2576">
        <v>0.15</v>
      </c>
      <c r="I2576">
        <v>0</v>
      </c>
      <c r="J2576">
        <v>0</v>
      </c>
      <c r="K2576" s="9">
        <v>45356</v>
      </c>
      <c r="L2576">
        <f xml:space="preserve"> (交易處理資料__3[[#This Row],[售出工時]] * 60) / 5</f>
        <v>0</v>
      </c>
      <c r="M2576" t="str">
        <f>VLOOKUP(交易處理資料__3[[#This Row],[人員代號]],團隊分組!$B$1:$C$52,2,FALSE)</f>
        <v>查修團隊B</v>
      </c>
      <c r="N2576">
        <f>IF(交易處理資料__3[[#This Row],[上班時間]]=0,0,交易處理資料__3[[#This Row],[售出工時]]/交易處理資料__3[[#This Row],[上班時間]])</f>
        <v>0</v>
      </c>
      <c r="O2576" s="31" t="str">
        <f>IF(交易處理資料__3[[#This Row],[上班時間]]=0,"否","是")</f>
        <v>是</v>
      </c>
    </row>
    <row r="2577" spans="1:15" hidden="1">
      <c r="A2577" t="s">
        <v>75</v>
      </c>
      <c r="B2577" t="s">
        <v>28</v>
      </c>
      <c r="C2577">
        <v>10.99666667</v>
      </c>
      <c r="D2577">
        <v>6.91</v>
      </c>
      <c r="E2577" s="27">
        <v>159.14134110000001</v>
      </c>
      <c r="F2577">
        <v>6.97</v>
      </c>
      <c r="G2577">
        <v>1.22</v>
      </c>
      <c r="H2577">
        <v>8.19</v>
      </c>
      <c r="I2577">
        <v>85.1</v>
      </c>
      <c r="J2577">
        <v>134.27000000000001</v>
      </c>
      <c r="K2577" s="9">
        <v>45356</v>
      </c>
      <c r="L2577">
        <f xml:space="preserve"> (交易處理資料__3[[#This Row],[售出工時]] * 60) / 5</f>
        <v>131.96000004000001</v>
      </c>
      <c r="M2577" t="str">
        <f>VLOOKUP(交易處理資料__3[[#This Row],[人員代號]],團隊分組!$B$1:$C$52,2,FALSE)</f>
        <v>快速保養團隊A</v>
      </c>
      <c r="N2577">
        <f>IF(交易處理資料__3[[#This Row],[上班時間]]=0,0,交易處理資料__3[[#This Row],[售出工時]]/交易處理資料__3[[#This Row],[上班時間]])</f>
        <v>1.3426943431013432</v>
      </c>
      <c r="O2577" s="31" t="str">
        <f>IF(交易處理資料__3[[#This Row],[上班時間]]=0,"否","是")</f>
        <v>是</v>
      </c>
    </row>
    <row r="2578" spans="1:15" hidden="1">
      <c r="A2578" t="s">
        <v>75</v>
      </c>
      <c r="B2578" t="s">
        <v>34</v>
      </c>
      <c r="C2578">
        <v>10.25</v>
      </c>
      <c r="D2578">
        <v>7.4</v>
      </c>
      <c r="E2578" s="27">
        <v>138.51351349999999</v>
      </c>
      <c r="F2578">
        <v>7.82</v>
      </c>
      <c r="G2578">
        <v>0.19</v>
      </c>
      <c r="H2578">
        <v>8.01</v>
      </c>
      <c r="I2578">
        <v>97.63</v>
      </c>
      <c r="J2578">
        <v>127.97</v>
      </c>
      <c r="K2578" s="9">
        <v>45356</v>
      </c>
      <c r="L2578">
        <f xml:space="preserve"> (交易處理資料__3[[#This Row],[售出工時]] * 60) / 5</f>
        <v>123</v>
      </c>
      <c r="M2578" t="str">
        <f>VLOOKUP(交易處理資料__3[[#This Row],[人員代號]],團隊分組!$B$1:$C$52,2,FALSE)</f>
        <v>快速保養團隊A</v>
      </c>
      <c r="N2578">
        <f>IF(交易處理資料__3[[#This Row],[上班時間]]=0,0,交易處理資料__3[[#This Row],[售出工時]]/交易處理資料__3[[#This Row],[上班時間]])</f>
        <v>1.2796504369538078</v>
      </c>
      <c r="O2578" s="31" t="str">
        <f>IF(交易處理資料__3[[#This Row],[上班時間]]=0,"否","是")</f>
        <v>是</v>
      </c>
    </row>
    <row r="2579" spans="1:15" hidden="1">
      <c r="A2579" t="s">
        <v>75</v>
      </c>
      <c r="B2579" t="s">
        <v>35</v>
      </c>
      <c r="C2579">
        <v>0</v>
      </c>
      <c r="D2579">
        <v>0</v>
      </c>
      <c r="E2579" s="27">
        <v>0</v>
      </c>
      <c r="F2579">
        <v>9.3800000000000008</v>
      </c>
      <c r="G2579">
        <v>1.58</v>
      </c>
      <c r="H2579">
        <v>10.96</v>
      </c>
      <c r="I2579">
        <v>85.58</v>
      </c>
      <c r="J2579">
        <v>0</v>
      </c>
      <c r="K2579" s="9">
        <v>45356</v>
      </c>
      <c r="L2579">
        <f xml:space="preserve"> (交易處理資料__3[[#This Row],[售出工時]] * 60) / 5</f>
        <v>0</v>
      </c>
      <c r="M2579" t="str">
        <f>VLOOKUP(交易處理資料__3[[#This Row],[人員代號]],團隊分組!$B$1:$C$52,2,FALSE)</f>
        <v>查修團隊B</v>
      </c>
      <c r="N2579">
        <f>IF(交易處理資料__3[[#This Row],[上班時間]]=0,0,交易處理資料__3[[#This Row],[售出工時]]/交易處理資料__3[[#This Row],[上班時間]])</f>
        <v>0</v>
      </c>
      <c r="O2579" s="31" t="str">
        <f>IF(交易處理資料__3[[#This Row],[上班時間]]=0,"否","是")</f>
        <v>是</v>
      </c>
    </row>
    <row r="2580" spans="1:15" hidden="1">
      <c r="A2580" t="s">
        <v>75</v>
      </c>
      <c r="B2580" t="s">
        <v>36</v>
      </c>
      <c r="C2580">
        <v>2.5</v>
      </c>
      <c r="D2580">
        <v>4.1500000000000004</v>
      </c>
      <c r="E2580" s="27">
        <v>60.240963860000001</v>
      </c>
      <c r="F2580">
        <v>3.36</v>
      </c>
      <c r="G2580">
        <v>5.03</v>
      </c>
      <c r="H2580">
        <v>8.39</v>
      </c>
      <c r="I2580">
        <v>40.049999999999997</v>
      </c>
      <c r="J2580">
        <v>29.8</v>
      </c>
      <c r="K2580" s="9">
        <v>45356</v>
      </c>
      <c r="L2580">
        <f xml:space="preserve"> (交易處理資料__3[[#This Row],[售出工時]] * 60) / 5</f>
        <v>30</v>
      </c>
      <c r="M2580" t="str">
        <f>VLOOKUP(交易處理資料__3[[#This Row],[人員代號]],團隊分組!$B$1:$C$52,2,FALSE)</f>
        <v>查修團隊B</v>
      </c>
      <c r="N2580">
        <f>IF(交易處理資料__3[[#This Row],[上班時間]]=0,0,交易處理資料__3[[#This Row],[售出工時]]/交易處理資料__3[[#This Row],[上班時間]])</f>
        <v>0.29797377830750893</v>
      </c>
      <c r="O2580" s="31" t="str">
        <f>IF(交易處理資料__3[[#This Row],[上班時間]]=0,"否","是")</f>
        <v>是</v>
      </c>
    </row>
    <row r="2581" spans="1:15" hidden="1">
      <c r="A2581" t="s">
        <v>75</v>
      </c>
      <c r="B2581" t="s">
        <v>37</v>
      </c>
      <c r="C2581">
        <v>4.1666666670000003</v>
      </c>
      <c r="D2581">
        <v>3.81</v>
      </c>
      <c r="E2581" s="27">
        <v>109.36132979999999</v>
      </c>
      <c r="F2581">
        <v>7.69</v>
      </c>
      <c r="G2581">
        <v>2.0699999999999998</v>
      </c>
      <c r="H2581">
        <v>9.76</v>
      </c>
      <c r="I2581">
        <v>78.790000000000006</v>
      </c>
      <c r="J2581">
        <v>42.69</v>
      </c>
      <c r="K2581" s="9">
        <v>45356</v>
      </c>
      <c r="L2581">
        <f xml:space="preserve"> (交易處理資料__3[[#This Row],[售出工時]] * 60) / 5</f>
        <v>50.000000004</v>
      </c>
      <c r="M2581" t="str">
        <f>VLOOKUP(交易處理資料__3[[#This Row],[人員代號]],團隊分組!$B$1:$C$52,2,FALSE)</f>
        <v>查修團隊A</v>
      </c>
      <c r="N2581">
        <f>IF(交易處理資料__3[[#This Row],[上班時間]]=0,0,交易處理資料__3[[#This Row],[售出工時]]/交易處理資料__3[[#This Row],[上班時間]])</f>
        <v>0.426912568340164</v>
      </c>
      <c r="O2581" s="31" t="str">
        <f>IF(交易處理資料__3[[#This Row],[上班時間]]=0,"否","是")</f>
        <v>是</v>
      </c>
    </row>
    <row r="2582" spans="1:15" hidden="1">
      <c r="A2582" t="s">
        <v>75</v>
      </c>
      <c r="B2582" t="s">
        <v>38</v>
      </c>
      <c r="C2582">
        <v>10.41666667</v>
      </c>
      <c r="D2582">
        <v>9.48</v>
      </c>
      <c r="E2582" s="27">
        <v>109.8804501</v>
      </c>
      <c r="F2582">
        <v>10.26</v>
      </c>
      <c r="G2582">
        <v>0.35</v>
      </c>
      <c r="H2582">
        <v>10.61</v>
      </c>
      <c r="I2582">
        <v>96.7</v>
      </c>
      <c r="J2582">
        <v>98.18</v>
      </c>
      <c r="K2582" s="9">
        <v>45356</v>
      </c>
      <c r="L2582">
        <f xml:space="preserve"> (交易處理資料__3[[#This Row],[售出工時]] * 60) / 5</f>
        <v>125.00000003999999</v>
      </c>
      <c r="M2582" t="str">
        <f>VLOOKUP(交易處理資料__3[[#This Row],[人員代號]],團隊分組!$B$1:$C$52,2,FALSE)</f>
        <v>快速保養團隊A</v>
      </c>
      <c r="N2582">
        <f>IF(交易處理資料__3[[#This Row],[上班時間]]=0,0,交易處理資料__3[[#This Row],[售出工時]]/交易處理資料__3[[#This Row],[上班時間]])</f>
        <v>0.98177819698397739</v>
      </c>
      <c r="O2582" s="31" t="str">
        <f>IF(交易處理資料__3[[#This Row],[上班時間]]=0,"否","是")</f>
        <v>是</v>
      </c>
    </row>
    <row r="2583" spans="1:15" hidden="1">
      <c r="A2583" t="s">
        <v>75</v>
      </c>
      <c r="B2583" t="s">
        <v>40</v>
      </c>
      <c r="C2583">
        <v>0</v>
      </c>
      <c r="D2583">
        <v>0</v>
      </c>
      <c r="E2583" s="27">
        <v>0</v>
      </c>
      <c r="F2583">
        <v>7.58</v>
      </c>
      <c r="G2583">
        <v>2.16</v>
      </c>
      <c r="H2583">
        <v>9.74</v>
      </c>
      <c r="I2583">
        <v>77.819999999999993</v>
      </c>
      <c r="J2583">
        <v>0</v>
      </c>
      <c r="K2583" s="9">
        <v>45356</v>
      </c>
      <c r="L2583">
        <f xml:space="preserve"> (交易處理資料__3[[#This Row],[售出工時]] * 60) / 5</f>
        <v>0</v>
      </c>
      <c r="M2583" t="str">
        <f>VLOOKUP(交易處理資料__3[[#This Row],[人員代號]],團隊分組!$B$1:$C$52,2,FALSE)</f>
        <v>查修團隊A</v>
      </c>
      <c r="N2583">
        <f>IF(交易處理資料__3[[#This Row],[上班時間]]=0,0,交易處理資料__3[[#This Row],[售出工時]]/交易處理資料__3[[#This Row],[上班時間]])</f>
        <v>0</v>
      </c>
      <c r="O2583" s="31" t="str">
        <f>IF(交易處理資料__3[[#This Row],[上班時間]]=0,"否","是")</f>
        <v>是</v>
      </c>
    </row>
    <row r="2584" spans="1:15" hidden="1">
      <c r="A2584" t="s">
        <v>75</v>
      </c>
      <c r="B2584" t="s">
        <v>41</v>
      </c>
      <c r="C2584">
        <v>12.66666667</v>
      </c>
      <c r="D2584">
        <v>6.32</v>
      </c>
      <c r="E2584" s="27">
        <v>200.42194090000001</v>
      </c>
      <c r="F2584">
        <v>8.6199999999999992</v>
      </c>
      <c r="G2584">
        <v>1.81</v>
      </c>
      <c r="H2584">
        <v>10.43</v>
      </c>
      <c r="I2584">
        <v>82.65</v>
      </c>
      <c r="J2584">
        <v>121.44</v>
      </c>
      <c r="K2584" s="9">
        <v>45356</v>
      </c>
      <c r="L2584">
        <f xml:space="preserve"> (交易處理資料__3[[#This Row],[售出工時]] * 60) / 5</f>
        <v>152.00000003999997</v>
      </c>
      <c r="M2584" t="str">
        <f>VLOOKUP(交易處理資料__3[[#This Row],[人員代號]],團隊分組!$B$1:$C$52,2,FALSE)</f>
        <v>快速保養團隊A</v>
      </c>
      <c r="N2584">
        <f>IF(交易處理資料__3[[#This Row],[上班時間]]=0,0,交易處理資料__3[[#This Row],[售出工時]]/交易處理資料__3[[#This Row],[上班時間]])</f>
        <v>1.2144455100671141</v>
      </c>
      <c r="O2584" s="31" t="str">
        <f>IF(交易處理資料__3[[#This Row],[上班時間]]=0,"否","是")</f>
        <v>是</v>
      </c>
    </row>
    <row r="2585" spans="1:15" hidden="1">
      <c r="A2585" t="s">
        <v>75</v>
      </c>
      <c r="B2585" t="s">
        <v>44</v>
      </c>
      <c r="C2585">
        <v>4.71</v>
      </c>
      <c r="D2585">
        <v>4.53</v>
      </c>
      <c r="E2585" s="27">
        <v>103.9735099</v>
      </c>
      <c r="F2585">
        <v>5.99</v>
      </c>
      <c r="G2585">
        <v>2.15</v>
      </c>
      <c r="H2585">
        <v>8.14</v>
      </c>
      <c r="I2585">
        <v>73.59</v>
      </c>
      <c r="J2585">
        <v>57.86</v>
      </c>
      <c r="K2585" s="9">
        <v>45356</v>
      </c>
      <c r="L2585">
        <f xml:space="preserve"> (交易處理資料__3[[#This Row],[售出工時]] * 60) / 5</f>
        <v>56.52</v>
      </c>
      <c r="M2585" t="str">
        <f>VLOOKUP(交易處理資料__3[[#This Row],[人員代號]],團隊分組!$B$1:$C$52,2,FALSE)</f>
        <v>快速保養團隊B</v>
      </c>
      <c r="N2585">
        <f>IF(交易處理資料__3[[#This Row],[上班時間]]=0,0,交易處理資料__3[[#This Row],[售出工時]]/交易處理資料__3[[#This Row],[上班時間]])</f>
        <v>0.57862407862407861</v>
      </c>
      <c r="O2585" s="31" t="str">
        <f>IF(交易處理資料__3[[#This Row],[上班時間]]=0,"否","是")</f>
        <v>是</v>
      </c>
    </row>
    <row r="2586" spans="1:15" hidden="1">
      <c r="A2586" t="s">
        <v>75</v>
      </c>
      <c r="B2586" t="s">
        <v>46</v>
      </c>
      <c r="C2586">
        <v>4.75</v>
      </c>
      <c r="D2586">
        <v>3.12</v>
      </c>
      <c r="E2586" s="27">
        <v>152.2435897</v>
      </c>
      <c r="F2586">
        <v>7.25</v>
      </c>
      <c r="G2586">
        <v>3.06</v>
      </c>
      <c r="H2586">
        <v>10.31</v>
      </c>
      <c r="I2586">
        <v>70.319999999999993</v>
      </c>
      <c r="J2586">
        <v>46.07</v>
      </c>
      <c r="K2586" s="9">
        <v>45356</v>
      </c>
      <c r="L2586">
        <f xml:space="preserve"> (交易處理資料__3[[#This Row],[售出工時]] * 60) / 5</f>
        <v>57</v>
      </c>
      <c r="M2586" t="str">
        <f>VLOOKUP(交易處理資料__3[[#This Row],[人員代號]],團隊分組!$B$1:$C$52,2,FALSE)</f>
        <v>查修團隊B</v>
      </c>
      <c r="N2586">
        <f>IF(交易處理資料__3[[#This Row],[上班時間]]=0,0,交易處理資料__3[[#This Row],[售出工時]]/交易處理資料__3[[#This Row],[上班時間]])</f>
        <v>0.46071774975751695</v>
      </c>
      <c r="O2586" s="31" t="str">
        <f>IF(交易處理資料__3[[#This Row],[上班時間]]=0,"否","是")</f>
        <v>是</v>
      </c>
    </row>
    <row r="2587" spans="1:15" hidden="1">
      <c r="A2587" t="s">
        <v>75</v>
      </c>
      <c r="B2587" t="s">
        <v>47</v>
      </c>
      <c r="C2587">
        <v>0</v>
      </c>
      <c r="D2587">
        <v>0</v>
      </c>
      <c r="E2587" s="27">
        <v>0</v>
      </c>
      <c r="F2587">
        <v>5.32</v>
      </c>
      <c r="G2587">
        <v>2.96</v>
      </c>
      <c r="H2587">
        <v>8.2799999999999994</v>
      </c>
      <c r="I2587">
        <v>64.25</v>
      </c>
      <c r="J2587">
        <v>0</v>
      </c>
      <c r="K2587" s="9">
        <v>45356</v>
      </c>
      <c r="L2587">
        <f xml:space="preserve"> (交易處理資料__3[[#This Row],[售出工時]] * 60) / 5</f>
        <v>0</v>
      </c>
      <c r="M2587" t="str">
        <f>VLOOKUP(交易處理資料__3[[#This Row],[人員代號]],團隊分組!$B$1:$C$52,2,FALSE)</f>
        <v>查修團隊B</v>
      </c>
      <c r="N2587">
        <f>IF(交易處理資料__3[[#This Row],[上班時間]]=0,0,交易處理資料__3[[#This Row],[售出工時]]/交易處理資料__3[[#This Row],[上班時間]])</f>
        <v>0</v>
      </c>
      <c r="O2587" s="31" t="str">
        <f>IF(交易處理資料__3[[#This Row],[上班時間]]=0,"否","是")</f>
        <v>是</v>
      </c>
    </row>
    <row r="2588" spans="1:15" hidden="1">
      <c r="A2588" t="s">
        <v>75</v>
      </c>
      <c r="B2588" t="s">
        <v>48</v>
      </c>
      <c r="C2588">
        <v>1</v>
      </c>
      <c r="D2588">
        <v>0.67</v>
      </c>
      <c r="E2588" s="27">
        <v>149.2537313</v>
      </c>
      <c r="F2588">
        <v>6.42</v>
      </c>
      <c r="G2588">
        <v>1.69</v>
      </c>
      <c r="H2588">
        <v>8.11</v>
      </c>
      <c r="I2588">
        <v>79.16</v>
      </c>
      <c r="J2588">
        <v>12.33</v>
      </c>
      <c r="K2588" s="9">
        <v>45356</v>
      </c>
      <c r="L2588">
        <f xml:space="preserve"> (交易處理資料__3[[#This Row],[售出工時]] * 60) / 5</f>
        <v>12</v>
      </c>
      <c r="M2588" t="str">
        <f>VLOOKUP(交易處理資料__3[[#This Row],[人員代號]],團隊分組!$B$1:$C$52,2,FALSE)</f>
        <v>查修團隊A</v>
      </c>
      <c r="N2588">
        <f>IF(交易處理資料__3[[#This Row],[上班時間]]=0,0,交易處理資料__3[[#This Row],[售出工時]]/交易處理資料__3[[#This Row],[上班時間]])</f>
        <v>0.12330456226880396</v>
      </c>
      <c r="O2588" s="31" t="str">
        <f>IF(交易處理資料__3[[#This Row],[上班時間]]=0,"否","是")</f>
        <v>是</v>
      </c>
    </row>
    <row r="2589" spans="1:15" hidden="1">
      <c r="A2589" t="s">
        <v>75</v>
      </c>
      <c r="B2589" t="s">
        <v>50</v>
      </c>
      <c r="C2589">
        <v>5.76</v>
      </c>
      <c r="D2589">
        <v>4.59</v>
      </c>
      <c r="E2589" s="27">
        <v>125.49019610000001</v>
      </c>
      <c r="F2589">
        <v>7.54</v>
      </c>
      <c r="G2589">
        <v>0.61</v>
      </c>
      <c r="H2589">
        <v>8.15</v>
      </c>
      <c r="I2589">
        <v>92.52</v>
      </c>
      <c r="J2589">
        <v>70.67</v>
      </c>
      <c r="K2589" s="9">
        <v>45356</v>
      </c>
      <c r="L2589">
        <f xml:space="preserve"> (交易處理資料__3[[#This Row],[售出工時]] * 60) / 5</f>
        <v>69.11999999999999</v>
      </c>
      <c r="M2589" t="str">
        <f>VLOOKUP(交易處理資料__3[[#This Row],[人員代號]],團隊分組!$B$1:$C$52,2,FALSE)</f>
        <v>快速保養團隊B</v>
      </c>
      <c r="N2589">
        <f>IF(交易處理資料__3[[#This Row],[上班時間]]=0,0,交易處理資料__3[[#This Row],[售出工時]]/交易處理資料__3[[#This Row],[上班時間]])</f>
        <v>0.70674846625766863</v>
      </c>
      <c r="O2589" s="31" t="str">
        <f>IF(交易處理資料__3[[#This Row],[上班時間]]=0,"否","是")</f>
        <v>是</v>
      </c>
    </row>
    <row r="2590" spans="1:15" hidden="1">
      <c r="A2590" t="s">
        <v>75</v>
      </c>
      <c r="B2590" t="s">
        <v>51</v>
      </c>
      <c r="C2590">
        <v>0</v>
      </c>
      <c r="D2590">
        <v>0</v>
      </c>
      <c r="E2590" s="27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 s="9">
        <v>45356</v>
      </c>
      <c r="L2590">
        <f xml:space="preserve"> (交易處理資料__3[[#This Row],[售出工時]] * 60) / 5</f>
        <v>0</v>
      </c>
      <c r="M2590" t="str">
        <f>VLOOKUP(交易處理資料__3[[#This Row],[人員代號]],團隊分組!$B$1:$C$52,2,FALSE)</f>
        <v>無效數據</v>
      </c>
      <c r="N2590">
        <f>IF(交易處理資料__3[[#This Row],[上班時間]]=0,0,交易處理資料__3[[#This Row],[售出工時]]/交易處理資料__3[[#This Row],[上班時間]])</f>
        <v>0</v>
      </c>
      <c r="O2590" s="31" t="str">
        <f>IF(交易處理資料__3[[#This Row],[上班時間]]=0,"否","是")</f>
        <v>否</v>
      </c>
    </row>
    <row r="2591" spans="1:15" hidden="1">
      <c r="A2591" t="s">
        <v>75</v>
      </c>
      <c r="B2591" t="s">
        <v>52</v>
      </c>
      <c r="C2591">
        <v>7.4166666670000003</v>
      </c>
      <c r="D2591">
        <v>6.61</v>
      </c>
      <c r="E2591" s="27">
        <v>112.20373170000001</v>
      </c>
      <c r="F2591">
        <v>4.92</v>
      </c>
      <c r="G2591">
        <v>3.38</v>
      </c>
      <c r="H2591">
        <v>8.3000000000000007</v>
      </c>
      <c r="I2591">
        <v>59.28</v>
      </c>
      <c r="J2591">
        <v>89.36</v>
      </c>
      <c r="K2591" s="9">
        <v>45356</v>
      </c>
      <c r="L2591">
        <f xml:space="preserve"> (交易處理資料__3[[#This Row],[售出工時]] * 60) / 5</f>
        <v>89.000000004</v>
      </c>
      <c r="M2591" t="str">
        <f>VLOOKUP(交易處理資料__3[[#This Row],[人員代號]],團隊分組!$B$1:$C$52,2,FALSE)</f>
        <v>查修團隊B</v>
      </c>
      <c r="N2591">
        <f>IF(交易處理資料__3[[#This Row],[上班時間]]=0,0,交易處理資料__3[[#This Row],[售出工時]]/交易處理資料__3[[#This Row],[上班時間]])</f>
        <v>0.89357429722891557</v>
      </c>
      <c r="O2591" s="31" t="str">
        <f>IF(交易處理資料__3[[#This Row],[上班時間]]=0,"否","是")</f>
        <v>是</v>
      </c>
    </row>
    <row r="2592" spans="1:15" hidden="1">
      <c r="A2592" s="10" t="s">
        <v>73</v>
      </c>
      <c r="B2592" t="s">
        <v>2</v>
      </c>
      <c r="C2592">
        <v>1.37</v>
      </c>
      <c r="D2592">
        <v>2.89</v>
      </c>
      <c r="E2592" s="27">
        <v>47.40484429</v>
      </c>
      <c r="F2592">
        <v>11.34</v>
      </c>
      <c r="G2592">
        <v>0.08</v>
      </c>
      <c r="H2592">
        <v>11.42</v>
      </c>
      <c r="I2592">
        <v>99.3</v>
      </c>
      <c r="J2592">
        <v>12</v>
      </c>
      <c r="K2592" s="9">
        <v>45357</v>
      </c>
      <c r="L2592">
        <f xml:space="preserve"> (交易處理資料__3[[#This Row],[售出工時]] * 60) / 5</f>
        <v>16.440000000000001</v>
      </c>
      <c r="M2592" t="str">
        <f>VLOOKUP(交易處理資料__3[[#This Row],[人員代號]],團隊分組!$B$1:$C$52,2,FALSE)</f>
        <v>噴漆維修組</v>
      </c>
      <c r="N2592">
        <f>IF(交易處理資料__3[[#This Row],[上班時間]]=0,0,交易處理資料__3[[#This Row],[售出工時]]/交易處理資料__3[[#This Row],[上班時間]])</f>
        <v>0.11996497373029773</v>
      </c>
      <c r="O2592" s="31" t="str">
        <f>IF(交易處理資料__3[[#This Row],[上班時間]]=0,"否","是")</f>
        <v>是</v>
      </c>
    </row>
    <row r="2593" spans="1:15" hidden="1">
      <c r="A2593" s="10" t="s">
        <v>73</v>
      </c>
      <c r="B2593" t="s">
        <v>3</v>
      </c>
      <c r="C2593">
        <v>0.62</v>
      </c>
      <c r="D2593">
        <v>1.42</v>
      </c>
      <c r="E2593" s="27">
        <v>43.661971829999999</v>
      </c>
      <c r="F2593">
        <v>11.34</v>
      </c>
      <c r="G2593">
        <v>0.08</v>
      </c>
      <c r="H2593">
        <v>11.42</v>
      </c>
      <c r="I2593">
        <v>99.3</v>
      </c>
      <c r="J2593">
        <v>5.43</v>
      </c>
      <c r="K2593" s="9">
        <v>45357</v>
      </c>
      <c r="L2593">
        <f xml:space="preserve"> (交易處理資料__3[[#This Row],[售出工時]] * 60) / 5</f>
        <v>7.44</v>
      </c>
      <c r="M2593" t="str">
        <f>VLOOKUP(交易處理資料__3[[#This Row],[人員代號]],團隊分組!$B$1:$C$52,2,FALSE)</f>
        <v>噴漆維修組</v>
      </c>
      <c r="N2593">
        <f>IF(交易處理資料__3[[#This Row],[上班時間]]=0,0,交易處理資料__3[[#This Row],[售出工時]]/交易處理資料__3[[#This Row],[上班時間]])</f>
        <v>5.4290718038528897E-2</v>
      </c>
      <c r="O2593" s="31" t="str">
        <f>IF(交易處理資料__3[[#This Row],[上班時間]]=0,"否","是")</f>
        <v>是</v>
      </c>
    </row>
    <row r="2594" spans="1:15" hidden="1">
      <c r="A2594" s="10" t="s">
        <v>73</v>
      </c>
      <c r="B2594" t="s">
        <v>5</v>
      </c>
      <c r="C2594">
        <v>3.9</v>
      </c>
      <c r="D2594">
        <v>9.4</v>
      </c>
      <c r="E2594" s="27">
        <v>41.489361700000003</v>
      </c>
      <c r="F2594">
        <v>11.3</v>
      </c>
      <c r="G2594">
        <v>0.09</v>
      </c>
      <c r="H2594">
        <v>11.39</v>
      </c>
      <c r="I2594">
        <v>99.21</v>
      </c>
      <c r="J2594">
        <v>34.24</v>
      </c>
      <c r="K2594" s="9">
        <v>45357</v>
      </c>
      <c r="L2594">
        <f xml:space="preserve"> (交易處理資料__3[[#This Row],[售出工時]] * 60) / 5</f>
        <v>46.8</v>
      </c>
      <c r="M2594" t="str">
        <f>VLOOKUP(交易處理資料__3[[#This Row],[人員代號]],團隊分組!$B$1:$C$52,2,FALSE)</f>
        <v>噴漆維修組</v>
      </c>
      <c r="N2594">
        <f>IF(交易處理資料__3[[#This Row],[上班時間]]=0,0,交易處理資料__3[[#This Row],[售出工時]]/交易處理資料__3[[#This Row],[上班時間]])</f>
        <v>0.34240561896400351</v>
      </c>
      <c r="O2594" s="31" t="str">
        <f>IF(交易處理資料__3[[#This Row],[上班時間]]=0,"否","是")</f>
        <v>是</v>
      </c>
    </row>
    <row r="2595" spans="1:15" hidden="1">
      <c r="A2595" s="10" t="s">
        <v>73</v>
      </c>
      <c r="B2595" t="s">
        <v>6</v>
      </c>
      <c r="C2595">
        <v>0.62</v>
      </c>
      <c r="D2595">
        <v>1.42</v>
      </c>
      <c r="E2595" s="27">
        <v>43.661971829999999</v>
      </c>
      <c r="F2595">
        <v>11.32</v>
      </c>
      <c r="G2595">
        <v>0.11</v>
      </c>
      <c r="H2595">
        <v>11.43</v>
      </c>
      <c r="I2595">
        <v>99.04</v>
      </c>
      <c r="J2595">
        <v>5.42</v>
      </c>
      <c r="K2595" s="9">
        <v>45357</v>
      </c>
      <c r="L2595">
        <f xml:space="preserve"> (交易處理資料__3[[#This Row],[售出工時]] * 60) / 5</f>
        <v>7.44</v>
      </c>
      <c r="M2595" t="str">
        <f>VLOOKUP(交易處理資料__3[[#This Row],[人員代號]],團隊分組!$B$1:$C$52,2,FALSE)</f>
        <v>噴漆維修組</v>
      </c>
      <c r="N2595">
        <f>IF(交易處理資料__3[[#This Row],[上班時間]]=0,0,交易處理資料__3[[#This Row],[售出工時]]/交易處理資料__3[[#This Row],[上班時間]])</f>
        <v>5.424321959755031E-2</v>
      </c>
      <c r="O2595" s="31" t="str">
        <f>IF(交易處理資料__3[[#This Row],[上班時間]]=0,"否","是")</f>
        <v>是</v>
      </c>
    </row>
    <row r="2596" spans="1:15" hidden="1">
      <c r="A2596" s="10" t="s">
        <v>73</v>
      </c>
      <c r="B2596" t="s">
        <v>7</v>
      </c>
      <c r="C2596">
        <v>3.9</v>
      </c>
      <c r="D2596">
        <v>9.4</v>
      </c>
      <c r="E2596" s="27">
        <v>41.489361700000003</v>
      </c>
      <c r="F2596">
        <v>11.32</v>
      </c>
      <c r="G2596">
        <v>7.0000000000000007E-2</v>
      </c>
      <c r="H2596">
        <v>11.39</v>
      </c>
      <c r="I2596">
        <v>99.39</v>
      </c>
      <c r="J2596">
        <v>34.24</v>
      </c>
      <c r="K2596" s="9">
        <v>45357</v>
      </c>
      <c r="L2596">
        <f xml:space="preserve"> (交易處理資料__3[[#This Row],[售出工時]] * 60) / 5</f>
        <v>46.8</v>
      </c>
      <c r="M2596" t="str">
        <f>VLOOKUP(交易處理資料__3[[#This Row],[人員代號]],團隊分組!$B$1:$C$52,2,FALSE)</f>
        <v>噴漆維修組</v>
      </c>
      <c r="N2596">
        <f>IF(交易處理資料__3[[#This Row],[上班時間]]=0,0,交易處理資料__3[[#This Row],[售出工時]]/交易處理資料__3[[#This Row],[上班時間]])</f>
        <v>0.34240561896400351</v>
      </c>
      <c r="O2596" s="31" t="str">
        <f>IF(交易處理資料__3[[#This Row],[上班時間]]=0,"否","是")</f>
        <v>是</v>
      </c>
    </row>
    <row r="2597" spans="1:15" hidden="1">
      <c r="A2597" s="10" t="s">
        <v>73</v>
      </c>
      <c r="B2597" t="s">
        <v>9</v>
      </c>
      <c r="C2597">
        <v>1.3</v>
      </c>
      <c r="D2597">
        <v>3.55</v>
      </c>
      <c r="E2597" s="27">
        <v>36.619718310000003</v>
      </c>
      <c r="F2597">
        <v>10.130000000000001</v>
      </c>
      <c r="G2597">
        <v>0.44</v>
      </c>
      <c r="H2597">
        <v>10.57</v>
      </c>
      <c r="I2597">
        <v>95.84</v>
      </c>
      <c r="J2597">
        <v>12.3</v>
      </c>
      <c r="K2597" s="9">
        <v>45357</v>
      </c>
      <c r="L2597">
        <f xml:space="preserve"> (交易處理資料__3[[#This Row],[售出工時]] * 60) / 5</f>
        <v>15.6</v>
      </c>
      <c r="M2597" t="str">
        <f>VLOOKUP(交易處理資料__3[[#This Row],[人員代號]],團隊分組!$B$1:$C$52,2,FALSE)</f>
        <v>噴漆維修組</v>
      </c>
      <c r="N2597">
        <f>IF(交易處理資料__3[[#This Row],[上班時間]]=0,0,交易處理資料__3[[#This Row],[售出工時]]/交易處理資料__3[[#This Row],[上班時間]])</f>
        <v>0.12298959318826869</v>
      </c>
      <c r="O2597" s="31" t="str">
        <f>IF(交易處理資料__3[[#This Row],[上班時間]]=0,"否","是")</f>
        <v>是</v>
      </c>
    </row>
    <row r="2598" spans="1:15" hidden="1">
      <c r="A2598" t="s">
        <v>74</v>
      </c>
      <c r="B2598" t="s">
        <v>12</v>
      </c>
      <c r="C2598">
        <v>7.3333333329999997</v>
      </c>
      <c r="D2598">
        <v>3.97</v>
      </c>
      <c r="E2598" s="27">
        <v>184.71872379999999</v>
      </c>
      <c r="F2598">
        <v>6.52</v>
      </c>
      <c r="G2598">
        <v>3.45</v>
      </c>
      <c r="H2598">
        <v>9.9700000000000006</v>
      </c>
      <c r="I2598">
        <v>65.400000000000006</v>
      </c>
      <c r="J2598">
        <v>73.55</v>
      </c>
      <c r="K2598" s="9">
        <v>45357</v>
      </c>
      <c r="L2598">
        <f xml:space="preserve"> (交易處理資料__3[[#This Row],[售出工時]] * 60) / 5</f>
        <v>87.999999996</v>
      </c>
      <c r="M2598" t="str">
        <f>VLOOKUP(交易處理資料__3[[#This Row],[人員代號]],團隊分組!$B$1:$C$52,2,FALSE)</f>
        <v>鈑金維修組</v>
      </c>
      <c r="N2598">
        <f>IF(交易處理資料__3[[#This Row],[上班時間]]=0,0,交易處理資料__3[[#This Row],[售出工時]]/交易處理資料__3[[#This Row],[上班時間]])</f>
        <v>0.7355399531594784</v>
      </c>
      <c r="O2598" s="31" t="str">
        <f>IF(交易處理資料__3[[#This Row],[上班時間]]=0,"否","是")</f>
        <v>是</v>
      </c>
    </row>
    <row r="2599" spans="1:15" hidden="1">
      <c r="A2599" t="s">
        <v>74</v>
      </c>
      <c r="B2599" t="s">
        <v>14</v>
      </c>
      <c r="C2599">
        <v>3.3366666669999998</v>
      </c>
      <c r="D2599">
        <v>4.8600000000000003</v>
      </c>
      <c r="E2599" s="27">
        <v>68.655692729999998</v>
      </c>
      <c r="F2599">
        <v>6.54</v>
      </c>
      <c r="G2599">
        <v>1.59</v>
      </c>
      <c r="H2599">
        <v>8.1300000000000008</v>
      </c>
      <c r="I2599">
        <v>80.44</v>
      </c>
      <c r="J2599">
        <v>41.04</v>
      </c>
      <c r="K2599" s="9">
        <v>45357</v>
      </c>
      <c r="L2599">
        <f xml:space="preserve"> (交易處理資料__3[[#This Row],[售出工時]] * 60) / 5</f>
        <v>40.040000003999992</v>
      </c>
      <c r="M2599" t="str">
        <f>VLOOKUP(交易處理資料__3[[#This Row],[人員代號]],團隊分組!$B$1:$C$52,2,FALSE)</f>
        <v>鈑金維修組</v>
      </c>
      <c r="N2599">
        <f>IF(交易處理資料__3[[#This Row],[上班時間]]=0,0,交易處理資料__3[[#This Row],[售出工時]]/交易處理資料__3[[#This Row],[上班時間]])</f>
        <v>0.41041410418204177</v>
      </c>
      <c r="O2599" s="31" t="str">
        <f>IF(交易處理資料__3[[#This Row],[上班時間]]=0,"否","是")</f>
        <v>是</v>
      </c>
    </row>
    <row r="2600" spans="1:15" hidden="1">
      <c r="A2600" t="s">
        <v>74</v>
      </c>
      <c r="B2600" t="s">
        <v>15</v>
      </c>
      <c r="C2600">
        <v>2.9466666670000001</v>
      </c>
      <c r="D2600">
        <v>5.8</v>
      </c>
      <c r="E2600" s="27">
        <v>50.804597700000002</v>
      </c>
      <c r="F2600">
        <v>7.44</v>
      </c>
      <c r="G2600">
        <v>0.66</v>
      </c>
      <c r="H2600">
        <v>8.1</v>
      </c>
      <c r="I2600">
        <v>91.85</v>
      </c>
      <c r="J2600">
        <v>36.380000000000003</v>
      </c>
      <c r="K2600" s="9">
        <v>45357</v>
      </c>
      <c r="L2600">
        <f xml:space="preserve"> (交易處理資料__3[[#This Row],[售出工時]] * 60) / 5</f>
        <v>35.360000004</v>
      </c>
      <c r="M2600" t="str">
        <f>VLOOKUP(交易處理資料__3[[#This Row],[人員代號]],團隊分組!$B$1:$C$52,2,FALSE)</f>
        <v>鈑金維修組</v>
      </c>
      <c r="N2600">
        <f>IF(交易處理資料__3[[#This Row],[上班時間]]=0,0,交易處理資料__3[[#This Row],[售出工時]]/交易處理資料__3[[#This Row],[上班時間]])</f>
        <v>0.36378600827160495</v>
      </c>
      <c r="O2600" s="31" t="str">
        <f>IF(交易處理資料__3[[#This Row],[上班時間]]=0,"否","是")</f>
        <v>是</v>
      </c>
    </row>
    <row r="2601" spans="1:15" hidden="1">
      <c r="A2601" t="s">
        <v>75</v>
      </c>
      <c r="B2601" t="s">
        <v>17</v>
      </c>
      <c r="C2601">
        <v>15.5</v>
      </c>
      <c r="D2601">
        <v>5.97</v>
      </c>
      <c r="E2601" s="27">
        <v>259.63149079999999</v>
      </c>
      <c r="F2601">
        <v>8.08</v>
      </c>
      <c r="G2601">
        <v>0.11</v>
      </c>
      <c r="H2601">
        <v>8.19</v>
      </c>
      <c r="I2601">
        <v>98.66</v>
      </c>
      <c r="J2601">
        <v>189.26</v>
      </c>
      <c r="K2601" s="9">
        <v>45357</v>
      </c>
      <c r="L2601">
        <f xml:space="preserve"> (交易處理資料__3[[#This Row],[售出工時]] * 60) / 5</f>
        <v>186</v>
      </c>
      <c r="M2601" t="str">
        <f>VLOOKUP(交易處理資料__3[[#This Row],[人員代號]],團隊分組!$B$1:$C$52,2,FALSE)</f>
        <v>快速保養團隊A</v>
      </c>
      <c r="N2601">
        <f>IF(交易處理資料__3[[#This Row],[上班時間]]=0,0,交易處理資料__3[[#This Row],[售出工時]]/交易處理資料__3[[#This Row],[上班時間]])</f>
        <v>1.8925518925518927</v>
      </c>
      <c r="O2601" s="31" t="str">
        <f>IF(交易處理資料__3[[#This Row],[上班時間]]=0,"否","是")</f>
        <v>是</v>
      </c>
    </row>
    <row r="2602" spans="1:15" hidden="1">
      <c r="A2602" t="s">
        <v>75</v>
      </c>
      <c r="B2602" t="s">
        <v>19</v>
      </c>
      <c r="C2602">
        <v>5.24</v>
      </c>
      <c r="D2602">
        <v>4.74</v>
      </c>
      <c r="E2602" s="27">
        <v>110.54852320000001</v>
      </c>
      <c r="F2602">
        <v>7.76</v>
      </c>
      <c r="G2602">
        <v>0.87</v>
      </c>
      <c r="H2602">
        <v>8.6300000000000008</v>
      </c>
      <c r="I2602">
        <v>89.92</v>
      </c>
      <c r="J2602">
        <v>60.72</v>
      </c>
      <c r="K2602" s="9">
        <v>45357</v>
      </c>
      <c r="L2602">
        <f xml:space="preserve"> (交易處理資料__3[[#This Row],[售出工時]] * 60) / 5</f>
        <v>62.88000000000001</v>
      </c>
      <c r="M2602" t="str">
        <f>VLOOKUP(交易處理資料__3[[#This Row],[人員代號]],團隊分組!$B$1:$C$52,2,FALSE)</f>
        <v>查修團隊A</v>
      </c>
      <c r="N2602">
        <f>IF(交易處理資料__3[[#This Row],[上班時間]]=0,0,交易處理資料__3[[#This Row],[售出工時]]/交易處理資料__3[[#This Row],[上班時間]])</f>
        <v>0.6071842410196987</v>
      </c>
      <c r="O2602" s="31" t="str">
        <f>IF(交易處理資料__3[[#This Row],[上班時間]]=0,"否","是")</f>
        <v>是</v>
      </c>
    </row>
    <row r="2603" spans="1:15" hidden="1">
      <c r="A2603" t="s">
        <v>75</v>
      </c>
      <c r="B2603" t="s">
        <v>20</v>
      </c>
      <c r="C2603">
        <v>3.16</v>
      </c>
      <c r="D2603">
        <v>3.72</v>
      </c>
      <c r="E2603" s="27">
        <v>84.946236560000003</v>
      </c>
      <c r="F2603">
        <v>8.23</v>
      </c>
      <c r="G2603">
        <v>1.83</v>
      </c>
      <c r="H2603">
        <v>10.06</v>
      </c>
      <c r="I2603">
        <v>81.81</v>
      </c>
      <c r="J2603">
        <v>31.41</v>
      </c>
      <c r="K2603" s="9">
        <v>45357</v>
      </c>
      <c r="L2603">
        <f xml:space="preserve"> (交易處理資料__3[[#This Row],[售出工時]] * 60) / 5</f>
        <v>37.92</v>
      </c>
      <c r="M2603" t="str">
        <f>VLOOKUP(交易處理資料__3[[#This Row],[人員代號]],團隊分組!$B$1:$C$52,2,FALSE)</f>
        <v>查修團隊B</v>
      </c>
      <c r="N2603">
        <f>IF(交易處理資料__3[[#This Row],[上班時間]]=0,0,交易處理資料__3[[#This Row],[售出工時]]/交易處理資料__3[[#This Row],[上班時間]])</f>
        <v>0.31411530815109345</v>
      </c>
      <c r="O2603" s="31" t="str">
        <f>IF(交易處理資料__3[[#This Row],[上班時間]]=0,"否","是")</f>
        <v>是</v>
      </c>
    </row>
    <row r="2604" spans="1:15" hidden="1">
      <c r="A2604" t="s">
        <v>75</v>
      </c>
      <c r="B2604" t="s">
        <v>21</v>
      </c>
      <c r="C2604">
        <v>6</v>
      </c>
      <c r="D2604">
        <v>3.81</v>
      </c>
      <c r="E2604" s="27">
        <v>157.48031499999999</v>
      </c>
      <c r="F2604">
        <v>6.87</v>
      </c>
      <c r="G2604">
        <v>1.32</v>
      </c>
      <c r="H2604">
        <v>8.19</v>
      </c>
      <c r="I2604">
        <v>83.88</v>
      </c>
      <c r="J2604">
        <v>73.260000000000005</v>
      </c>
      <c r="K2604" s="9">
        <v>45357</v>
      </c>
      <c r="L2604">
        <f xml:space="preserve"> (交易處理資料__3[[#This Row],[售出工時]] * 60) / 5</f>
        <v>72</v>
      </c>
      <c r="M2604" t="str">
        <f>VLOOKUP(交易處理資料__3[[#This Row],[人員代號]],團隊分組!$B$1:$C$52,2,FALSE)</f>
        <v>查修團隊B</v>
      </c>
      <c r="N2604">
        <f>IF(交易處理資料__3[[#This Row],[上班時間]]=0,0,交易處理資料__3[[#This Row],[售出工時]]/交易處理資料__3[[#This Row],[上班時間]])</f>
        <v>0.73260073260073266</v>
      </c>
      <c r="O2604" s="31" t="str">
        <f>IF(交易處理資料__3[[#This Row],[上班時間]]=0,"否","是")</f>
        <v>是</v>
      </c>
    </row>
    <row r="2605" spans="1:15" hidden="1">
      <c r="A2605" t="s">
        <v>75</v>
      </c>
      <c r="B2605" t="s">
        <v>22</v>
      </c>
      <c r="C2605">
        <v>13.08333333</v>
      </c>
      <c r="D2605">
        <v>7.83</v>
      </c>
      <c r="E2605" s="27">
        <v>167.09237970000001</v>
      </c>
      <c r="F2605">
        <v>9.3000000000000007</v>
      </c>
      <c r="G2605">
        <v>0.88</v>
      </c>
      <c r="H2605">
        <v>10.18</v>
      </c>
      <c r="I2605">
        <v>91.36</v>
      </c>
      <c r="J2605">
        <v>128.52000000000001</v>
      </c>
      <c r="K2605" s="9">
        <v>45357</v>
      </c>
      <c r="L2605">
        <f xml:space="preserve"> (交易處理資料__3[[#This Row],[售出工時]] * 60) / 5</f>
        <v>156.99999996000003</v>
      </c>
      <c r="M2605" t="str">
        <f>VLOOKUP(交易處理資料__3[[#This Row],[人員代號]],團隊分組!$B$1:$C$52,2,FALSE)</f>
        <v>快速保養團隊A</v>
      </c>
      <c r="N2605">
        <f>IF(交易處理資料__3[[#This Row],[上班時間]]=0,0,交易處理資料__3[[#This Row],[售出工時]]/交易處理資料__3[[#This Row],[上班時間]])</f>
        <v>1.2851997377210216</v>
      </c>
      <c r="O2605" s="31" t="str">
        <f>IF(交易處理資料__3[[#This Row],[上班時間]]=0,"否","是")</f>
        <v>是</v>
      </c>
    </row>
    <row r="2606" spans="1:15" hidden="1">
      <c r="A2606" t="s">
        <v>75</v>
      </c>
      <c r="B2606" t="s">
        <v>23</v>
      </c>
      <c r="C2606">
        <v>1.7833333330000001</v>
      </c>
      <c r="D2606">
        <v>0.62</v>
      </c>
      <c r="E2606" s="27">
        <v>287.63440859999997</v>
      </c>
      <c r="F2606">
        <v>7.98</v>
      </c>
      <c r="G2606">
        <v>1.5</v>
      </c>
      <c r="H2606">
        <v>9.48</v>
      </c>
      <c r="I2606">
        <v>84.18</v>
      </c>
      <c r="J2606">
        <v>18.809999999999999</v>
      </c>
      <c r="K2606" s="9">
        <v>45357</v>
      </c>
      <c r="L2606">
        <f xml:space="preserve"> (交易處理資料__3[[#This Row],[售出工時]] * 60) / 5</f>
        <v>21.399999995999998</v>
      </c>
      <c r="M2606" t="str">
        <f>VLOOKUP(交易處理資料__3[[#This Row],[人員代號]],團隊分組!$B$1:$C$52,2,FALSE)</f>
        <v>快速保養團隊B</v>
      </c>
      <c r="N2606">
        <f>IF(交易處理資料__3[[#This Row],[上班時間]]=0,0,交易處理資料__3[[#This Row],[售出工時]]/交易處理資料__3[[#This Row],[上班時間]])</f>
        <v>0.18811533048523207</v>
      </c>
      <c r="O2606" s="31" t="str">
        <f>IF(交易處理資料__3[[#This Row],[上班時間]]=0,"否","是")</f>
        <v>是</v>
      </c>
    </row>
    <row r="2607" spans="1:15" hidden="1">
      <c r="A2607" t="s">
        <v>75</v>
      </c>
      <c r="B2607" t="s">
        <v>24</v>
      </c>
      <c r="C2607">
        <v>15.82</v>
      </c>
      <c r="D2607">
        <v>7.83</v>
      </c>
      <c r="E2607" s="27">
        <v>202.04342270000001</v>
      </c>
      <c r="F2607">
        <v>9.76</v>
      </c>
      <c r="G2607">
        <v>1.35</v>
      </c>
      <c r="H2607">
        <v>11.11</v>
      </c>
      <c r="I2607">
        <v>87.85</v>
      </c>
      <c r="J2607">
        <v>142.38999999999999</v>
      </c>
      <c r="K2607" s="9">
        <v>45357</v>
      </c>
      <c r="L2607">
        <f xml:space="preserve"> (交易處理資料__3[[#This Row],[售出工時]] * 60) / 5</f>
        <v>189.84</v>
      </c>
      <c r="M2607" t="str">
        <f>VLOOKUP(交易處理資料__3[[#This Row],[人員代號]],團隊分組!$B$1:$C$52,2,FALSE)</f>
        <v>快速保養團隊A</v>
      </c>
      <c r="N2607">
        <f>IF(交易處理資料__3[[#This Row],[上班時間]]=0,0,交易處理資料__3[[#This Row],[售出工時]]/交易處理資料__3[[#This Row],[上班時間]])</f>
        <v>1.423942394239424</v>
      </c>
      <c r="O2607" s="31" t="str">
        <f>IF(交易處理資料__3[[#This Row],[上班時間]]=0,"否","是")</f>
        <v>是</v>
      </c>
    </row>
    <row r="2608" spans="1:15" hidden="1">
      <c r="A2608" t="s">
        <v>75</v>
      </c>
      <c r="B2608" t="s">
        <v>25</v>
      </c>
      <c r="C2608">
        <v>0.91666666699999999</v>
      </c>
      <c r="D2608">
        <v>1.28</v>
      </c>
      <c r="E2608" s="27">
        <v>71.614583330000002</v>
      </c>
      <c r="F2608">
        <v>8.69</v>
      </c>
      <c r="G2608">
        <v>1.31</v>
      </c>
      <c r="H2608">
        <v>10</v>
      </c>
      <c r="I2608">
        <v>86.9</v>
      </c>
      <c r="J2608">
        <v>9.17</v>
      </c>
      <c r="K2608" s="9">
        <v>45357</v>
      </c>
      <c r="L2608">
        <f xml:space="preserve"> (交易處理資料__3[[#This Row],[售出工時]] * 60) / 5</f>
        <v>11.000000004</v>
      </c>
      <c r="M2608" t="str">
        <f>VLOOKUP(交易處理資料__3[[#This Row],[人員代號]],團隊分組!$B$1:$C$52,2,FALSE)</f>
        <v>查修團隊A</v>
      </c>
      <c r="N2608">
        <f>IF(交易處理資料__3[[#This Row],[上班時間]]=0,0,交易處理資料__3[[#This Row],[售出工時]]/交易處理資料__3[[#This Row],[上班時間]])</f>
        <v>9.1666666699999996E-2</v>
      </c>
      <c r="O2608" s="31" t="str">
        <f>IF(交易處理資料__3[[#This Row],[上班時間]]=0,"否","是")</f>
        <v>是</v>
      </c>
    </row>
    <row r="2609" spans="1:15" hidden="1">
      <c r="A2609" t="s">
        <v>75</v>
      </c>
      <c r="B2609" t="s">
        <v>26</v>
      </c>
      <c r="C2609">
        <v>0.65</v>
      </c>
      <c r="D2609">
        <v>0.88</v>
      </c>
      <c r="E2609" s="27">
        <v>73.863636360000001</v>
      </c>
      <c r="F2609">
        <v>4.91</v>
      </c>
      <c r="G2609">
        <v>5.07</v>
      </c>
      <c r="H2609">
        <v>9.98</v>
      </c>
      <c r="I2609">
        <v>49.2</v>
      </c>
      <c r="J2609">
        <v>6.51</v>
      </c>
      <c r="K2609" s="9">
        <v>45357</v>
      </c>
      <c r="L2609">
        <f xml:space="preserve"> (交易處理資料__3[[#This Row],[售出工時]] * 60) / 5</f>
        <v>7.8</v>
      </c>
      <c r="M2609" t="str">
        <f>VLOOKUP(交易處理資料__3[[#This Row],[人員代號]],團隊分組!$B$1:$C$52,2,FALSE)</f>
        <v>查修團隊B</v>
      </c>
      <c r="N2609">
        <f>IF(交易處理資料__3[[#This Row],[上班時間]]=0,0,交易處理資料__3[[#This Row],[售出工時]]/交易處理資料__3[[#This Row],[上班時間]])</f>
        <v>6.513026052104208E-2</v>
      </c>
      <c r="O2609" s="31" t="str">
        <f>IF(交易處理資料__3[[#This Row],[上班時間]]=0,"否","是")</f>
        <v>是</v>
      </c>
    </row>
    <row r="2610" spans="1:15" hidden="1">
      <c r="A2610" t="s">
        <v>75</v>
      </c>
      <c r="B2610" t="s">
        <v>29</v>
      </c>
      <c r="C2610">
        <v>1.5833333329999999</v>
      </c>
      <c r="D2610">
        <v>2.65</v>
      </c>
      <c r="E2610" s="27">
        <v>59.748427669999998</v>
      </c>
      <c r="F2610">
        <v>8.4</v>
      </c>
      <c r="G2610">
        <v>1.1399999999999999</v>
      </c>
      <c r="H2610">
        <v>9.5399999999999991</v>
      </c>
      <c r="I2610">
        <v>88.05</v>
      </c>
      <c r="J2610">
        <v>16.600000000000001</v>
      </c>
      <c r="K2610" s="9">
        <v>45357</v>
      </c>
      <c r="L2610">
        <f xml:space="preserve"> (交易處理資料__3[[#This Row],[售出工時]] * 60) / 5</f>
        <v>18.999999996</v>
      </c>
      <c r="M2610" t="str">
        <f>VLOOKUP(交易處理資料__3[[#This Row],[人員代號]],團隊分組!$B$1:$C$52,2,FALSE)</f>
        <v>查修團隊B</v>
      </c>
      <c r="N2610">
        <f>IF(交易處理資料__3[[#This Row],[上班時間]]=0,0,交易處理資料__3[[#This Row],[售出工時]]/交易處理資料__3[[#This Row],[上班時間]])</f>
        <v>0.16596785461215932</v>
      </c>
      <c r="O2610" s="31" t="str">
        <f>IF(交易處理資料__3[[#This Row],[上班時間]]=0,"否","是")</f>
        <v>是</v>
      </c>
    </row>
    <row r="2611" spans="1:15" hidden="1">
      <c r="A2611" t="s">
        <v>75</v>
      </c>
      <c r="B2611" t="s">
        <v>32</v>
      </c>
      <c r="C2611">
        <v>1.5</v>
      </c>
      <c r="D2611">
        <v>0.34</v>
      </c>
      <c r="E2611" s="27">
        <v>441.17647060000002</v>
      </c>
      <c r="F2611">
        <v>8.2799999999999994</v>
      </c>
      <c r="G2611">
        <v>1.18</v>
      </c>
      <c r="H2611">
        <v>9.4600000000000009</v>
      </c>
      <c r="I2611">
        <v>87.53</v>
      </c>
      <c r="J2611">
        <v>15.86</v>
      </c>
      <c r="K2611" s="9">
        <v>45357</v>
      </c>
      <c r="L2611">
        <f xml:space="preserve"> (交易處理資料__3[[#This Row],[售出工時]] * 60) / 5</f>
        <v>18</v>
      </c>
      <c r="M2611" t="str">
        <f>VLOOKUP(交易處理資料__3[[#This Row],[人員代號]],團隊分組!$B$1:$C$52,2,FALSE)</f>
        <v>快速保養團隊B</v>
      </c>
      <c r="N2611">
        <f>IF(交易處理資料__3[[#This Row],[上班時間]]=0,0,交易處理資料__3[[#This Row],[售出工時]]/交易處理資料__3[[#This Row],[上班時間]])</f>
        <v>0.15856236786469344</v>
      </c>
      <c r="O2611" s="31" t="str">
        <f>IF(交易處理資料__3[[#This Row],[上班時間]]=0,"否","是")</f>
        <v>是</v>
      </c>
    </row>
    <row r="2612" spans="1:15">
      <c r="A2612" t="s">
        <v>75</v>
      </c>
      <c r="B2612" t="s">
        <v>33</v>
      </c>
      <c r="C2612">
        <v>4.903333333</v>
      </c>
      <c r="D2612">
        <v>3.26</v>
      </c>
      <c r="E2612" s="27">
        <v>150.408998</v>
      </c>
      <c r="F2612">
        <v>9.31</v>
      </c>
      <c r="G2612">
        <v>0.15</v>
      </c>
      <c r="H2612">
        <v>9.4600000000000009</v>
      </c>
      <c r="I2612">
        <v>98.41</v>
      </c>
      <c r="J2612">
        <v>51.83</v>
      </c>
      <c r="K2612" s="9">
        <v>45357</v>
      </c>
      <c r="L2612">
        <f xml:space="preserve"> (交易處理資料__3[[#This Row],[售出工時]] * 60) / 5</f>
        <v>58.839999995999996</v>
      </c>
      <c r="M2612" t="str">
        <f>VLOOKUP(交易處理資料__3[[#This Row],[人員代號]],團隊分組!$B$1:$C$52,2,FALSE)</f>
        <v>快速保養團隊B</v>
      </c>
      <c r="N2612">
        <f>IF(交易處理資料__3[[#This Row],[上班時間]]=0,0,交易處理資料__3[[#This Row],[售出工時]]/交易處理資料__3[[#This Row],[上班時間]])</f>
        <v>0.5183227624735729</v>
      </c>
      <c r="O2612" s="31" t="str">
        <f>IF(交易處理資料__3[[#This Row],[上班時間]]=0,"否","是")</f>
        <v>是</v>
      </c>
    </row>
    <row r="2613" spans="1:15" hidden="1">
      <c r="A2613" t="s">
        <v>75</v>
      </c>
      <c r="B2613" t="s">
        <v>35</v>
      </c>
      <c r="C2613">
        <v>1.52</v>
      </c>
      <c r="D2613">
        <v>2.56</v>
      </c>
      <c r="E2613" s="27">
        <v>59.375</v>
      </c>
      <c r="F2613">
        <v>6.41</v>
      </c>
      <c r="G2613">
        <v>3.58</v>
      </c>
      <c r="H2613">
        <v>9.99</v>
      </c>
      <c r="I2613">
        <v>64.16</v>
      </c>
      <c r="J2613">
        <v>15.22</v>
      </c>
      <c r="K2613" s="9">
        <v>45357</v>
      </c>
      <c r="L2613">
        <f xml:space="preserve"> (交易處理資料__3[[#This Row],[售出工時]] * 60) / 5</f>
        <v>18.240000000000002</v>
      </c>
      <c r="M2613" t="str">
        <f>VLOOKUP(交易處理資料__3[[#This Row],[人員代號]],團隊分組!$B$1:$C$52,2,FALSE)</f>
        <v>查修團隊B</v>
      </c>
      <c r="N2613">
        <f>IF(交易處理資料__3[[#This Row],[上班時間]]=0,0,交易處理資料__3[[#This Row],[售出工時]]/交易處理資料__3[[#This Row],[上班時間]])</f>
        <v>0.15215215215215214</v>
      </c>
      <c r="O2613" s="31" t="str">
        <f>IF(交易處理資料__3[[#This Row],[上班時間]]=0,"否","是")</f>
        <v>是</v>
      </c>
    </row>
    <row r="2614" spans="1:15" hidden="1">
      <c r="A2614" t="s">
        <v>75</v>
      </c>
      <c r="B2614" t="s">
        <v>36</v>
      </c>
      <c r="C2614">
        <v>4.2</v>
      </c>
      <c r="D2614">
        <v>6.97</v>
      </c>
      <c r="E2614" s="27">
        <v>60.258249640000003</v>
      </c>
      <c r="F2614">
        <v>9.52</v>
      </c>
      <c r="G2614">
        <v>0.5</v>
      </c>
      <c r="H2614">
        <v>10.02</v>
      </c>
      <c r="I2614">
        <v>95.01</v>
      </c>
      <c r="J2614">
        <v>41.92</v>
      </c>
      <c r="K2614" s="9">
        <v>45357</v>
      </c>
      <c r="L2614">
        <f xml:space="preserve"> (交易處理資料__3[[#This Row],[售出工時]] * 60) / 5</f>
        <v>50.4</v>
      </c>
      <c r="M2614" t="str">
        <f>VLOOKUP(交易處理資料__3[[#This Row],[人員代號]],團隊分組!$B$1:$C$52,2,FALSE)</f>
        <v>查修團隊B</v>
      </c>
      <c r="N2614">
        <f>IF(交易處理資料__3[[#This Row],[上班時間]]=0,0,交易處理資料__3[[#This Row],[售出工時]]/交易處理資料__3[[#This Row],[上班時間]])</f>
        <v>0.41916167664670662</v>
      </c>
      <c r="O2614" s="31" t="str">
        <f>IF(交易處理資料__3[[#This Row],[上班時間]]=0,"否","是")</f>
        <v>是</v>
      </c>
    </row>
    <row r="2615" spans="1:15" hidden="1">
      <c r="A2615" t="s">
        <v>75</v>
      </c>
      <c r="B2615" t="s">
        <v>37</v>
      </c>
      <c r="C2615">
        <v>5</v>
      </c>
      <c r="D2615">
        <v>8.1300000000000008</v>
      </c>
      <c r="E2615" s="27">
        <v>61.500615009999997</v>
      </c>
      <c r="F2615">
        <v>7.99</v>
      </c>
      <c r="G2615">
        <v>1.69</v>
      </c>
      <c r="H2615">
        <v>9.68</v>
      </c>
      <c r="I2615">
        <v>82.54</v>
      </c>
      <c r="J2615">
        <v>51.65</v>
      </c>
      <c r="K2615" s="9">
        <v>45357</v>
      </c>
      <c r="L2615">
        <f xml:space="preserve"> (交易處理資料__3[[#This Row],[售出工時]] * 60) / 5</f>
        <v>60</v>
      </c>
      <c r="M2615" t="str">
        <f>VLOOKUP(交易處理資料__3[[#This Row],[人員代號]],團隊分組!$B$1:$C$52,2,FALSE)</f>
        <v>查修團隊A</v>
      </c>
      <c r="N2615">
        <f>IF(交易處理資料__3[[#This Row],[上班時間]]=0,0,交易處理資料__3[[#This Row],[售出工時]]/交易處理資料__3[[#This Row],[上班時間]])</f>
        <v>0.51652892561983477</v>
      </c>
      <c r="O2615" s="31" t="str">
        <f>IF(交易處理資料__3[[#This Row],[上班時間]]=0,"否","是")</f>
        <v>是</v>
      </c>
    </row>
    <row r="2616" spans="1:15" hidden="1">
      <c r="A2616" t="s">
        <v>75</v>
      </c>
      <c r="B2616" t="s">
        <v>39</v>
      </c>
      <c r="C2616">
        <v>7.4166666670000003</v>
      </c>
      <c r="D2616">
        <v>8.33</v>
      </c>
      <c r="E2616" s="27">
        <v>89.035614249999995</v>
      </c>
      <c r="F2616">
        <v>7.33</v>
      </c>
      <c r="G2616">
        <v>2.66</v>
      </c>
      <c r="H2616">
        <v>9.99</v>
      </c>
      <c r="I2616">
        <v>73.37</v>
      </c>
      <c r="J2616">
        <v>74.239999999999995</v>
      </c>
      <c r="K2616" s="9">
        <v>45357</v>
      </c>
      <c r="L2616">
        <f xml:space="preserve"> (交易處理資料__3[[#This Row],[售出工時]] * 60) / 5</f>
        <v>89.000000004</v>
      </c>
      <c r="M2616" t="str">
        <f>VLOOKUP(交易處理資料__3[[#This Row],[人員代號]],團隊分組!$B$1:$C$52,2,FALSE)</f>
        <v>查修團隊A</v>
      </c>
      <c r="N2616">
        <f>IF(交易處理資料__3[[#This Row],[上班時間]]=0,0,交易處理資料__3[[#This Row],[售出工時]]/交易處理資料__3[[#This Row],[上班時間]])</f>
        <v>0.74240907577577575</v>
      </c>
      <c r="O2616" s="31" t="str">
        <f>IF(交易處理資料__3[[#This Row],[上班時間]]=0,"否","是")</f>
        <v>是</v>
      </c>
    </row>
    <row r="2617" spans="1:15" hidden="1">
      <c r="A2617" t="s">
        <v>75</v>
      </c>
      <c r="B2617" t="s">
        <v>41</v>
      </c>
      <c r="C2617">
        <v>12.25</v>
      </c>
      <c r="D2617">
        <v>8.52</v>
      </c>
      <c r="E2617" s="27">
        <v>143.7793427</v>
      </c>
      <c r="F2617">
        <v>10</v>
      </c>
      <c r="G2617">
        <v>1.01</v>
      </c>
      <c r="H2617">
        <v>11.01</v>
      </c>
      <c r="I2617">
        <v>90.83</v>
      </c>
      <c r="J2617">
        <v>111.26</v>
      </c>
      <c r="K2617" s="9">
        <v>45357</v>
      </c>
      <c r="L2617">
        <f xml:space="preserve"> (交易處理資料__3[[#This Row],[售出工時]] * 60) / 5</f>
        <v>147</v>
      </c>
      <c r="M2617" t="str">
        <f>VLOOKUP(交易處理資料__3[[#This Row],[人員代號]],團隊分組!$B$1:$C$52,2,FALSE)</f>
        <v>快速保養團隊A</v>
      </c>
      <c r="N2617">
        <f>IF(交易處理資料__3[[#This Row],[上班時間]]=0,0,交易處理資料__3[[#This Row],[售出工時]]/交易處理資料__3[[#This Row],[上班時間]])</f>
        <v>1.1126248864668484</v>
      </c>
      <c r="O2617" s="31" t="str">
        <f>IF(交易處理資料__3[[#This Row],[上班時間]]=0,"否","是")</f>
        <v>是</v>
      </c>
    </row>
    <row r="2618" spans="1:15" hidden="1">
      <c r="A2618" t="s">
        <v>75</v>
      </c>
      <c r="B2618" t="s">
        <v>42</v>
      </c>
      <c r="C2618">
        <v>4.0766666669999996</v>
      </c>
      <c r="D2618">
        <v>3.27</v>
      </c>
      <c r="E2618" s="27">
        <v>124.66870539999999</v>
      </c>
      <c r="F2618">
        <v>6.11</v>
      </c>
      <c r="G2618">
        <v>1.96</v>
      </c>
      <c r="H2618">
        <v>8.07</v>
      </c>
      <c r="I2618">
        <v>75.709999999999994</v>
      </c>
      <c r="J2618">
        <v>50.52</v>
      </c>
      <c r="K2618" s="9">
        <v>45357</v>
      </c>
      <c r="L2618">
        <f xml:space="preserve"> (交易處理資料__3[[#This Row],[售出工時]] * 60) / 5</f>
        <v>48.920000003999995</v>
      </c>
      <c r="M2618" t="str">
        <f>VLOOKUP(交易處理資料__3[[#This Row],[人員代號]],團隊分組!$B$1:$C$52,2,FALSE)</f>
        <v>快速保養團隊A</v>
      </c>
      <c r="N2618">
        <f>IF(交易處理資料__3[[#This Row],[上班時間]]=0,0,交易處理資料__3[[#This Row],[售出工時]]/交易處理資料__3[[#This Row],[上班時間]])</f>
        <v>0.50516315576208171</v>
      </c>
      <c r="O2618" s="31" t="str">
        <f>IF(交易處理資料__3[[#This Row],[上班時間]]=0,"否","是")</f>
        <v>是</v>
      </c>
    </row>
    <row r="2619" spans="1:15" hidden="1">
      <c r="A2619" t="s">
        <v>75</v>
      </c>
      <c r="B2619" t="s">
        <v>43</v>
      </c>
      <c r="C2619">
        <v>3.2</v>
      </c>
      <c r="D2619">
        <v>6.38</v>
      </c>
      <c r="E2619" s="27">
        <v>50.156739809999998</v>
      </c>
      <c r="F2619">
        <v>9.56</v>
      </c>
      <c r="G2619">
        <v>0.47</v>
      </c>
      <c r="H2619">
        <v>10.029999999999999</v>
      </c>
      <c r="I2619">
        <v>95.31</v>
      </c>
      <c r="J2619">
        <v>31.9</v>
      </c>
      <c r="K2619" s="9">
        <v>45357</v>
      </c>
      <c r="L2619">
        <f xml:space="preserve"> (交易處理資料__3[[#This Row],[售出工時]] * 60) / 5</f>
        <v>38.4</v>
      </c>
      <c r="M2619" t="str">
        <f>VLOOKUP(交易處理資料__3[[#This Row],[人員代號]],團隊分組!$B$1:$C$52,2,FALSE)</f>
        <v>查修團隊B</v>
      </c>
      <c r="N2619">
        <f>IF(交易處理資料__3[[#This Row],[上班時間]]=0,0,交易處理資料__3[[#This Row],[售出工時]]/交易處理資料__3[[#This Row],[上班時間]])</f>
        <v>0.31904287138584253</v>
      </c>
      <c r="O2619" s="31" t="str">
        <f>IF(交易處理資料__3[[#This Row],[上班時間]]=0,"否","是")</f>
        <v>是</v>
      </c>
    </row>
    <row r="2620" spans="1:15" hidden="1">
      <c r="A2620" t="s">
        <v>75</v>
      </c>
      <c r="B2620" t="s">
        <v>44</v>
      </c>
      <c r="C2620">
        <v>5.74</v>
      </c>
      <c r="D2620">
        <v>3.63</v>
      </c>
      <c r="E2620" s="27">
        <v>158.12672180000001</v>
      </c>
      <c r="F2620">
        <v>8.44</v>
      </c>
      <c r="G2620">
        <v>0.49</v>
      </c>
      <c r="H2620">
        <v>8.93</v>
      </c>
      <c r="I2620">
        <v>94.51</v>
      </c>
      <c r="J2620">
        <v>64.28</v>
      </c>
      <c r="K2620" s="9">
        <v>45357</v>
      </c>
      <c r="L2620">
        <f xml:space="preserve"> (交易處理資料__3[[#This Row],[售出工時]] * 60) / 5</f>
        <v>68.88000000000001</v>
      </c>
      <c r="M2620" t="str">
        <f>VLOOKUP(交易處理資料__3[[#This Row],[人員代號]],團隊分組!$B$1:$C$52,2,FALSE)</f>
        <v>快速保養團隊B</v>
      </c>
      <c r="N2620">
        <f>IF(交易處理資料__3[[#This Row],[上班時間]]=0,0,交易處理資料__3[[#This Row],[售出工時]]/交易處理資料__3[[#This Row],[上班時間]])</f>
        <v>0.64277715565509519</v>
      </c>
      <c r="O2620" s="31" t="str">
        <f>IF(交易處理資料__3[[#This Row],[上班時間]]=0,"否","是")</f>
        <v>是</v>
      </c>
    </row>
    <row r="2621" spans="1:15" hidden="1">
      <c r="A2621" t="s">
        <v>75</v>
      </c>
      <c r="B2621" t="s">
        <v>45</v>
      </c>
      <c r="C2621">
        <v>11</v>
      </c>
      <c r="D2621">
        <v>5.38</v>
      </c>
      <c r="E2621" s="27">
        <v>204.46096650000001</v>
      </c>
      <c r="F2621">
        <v>6.93</v>
      </c>
      <c r="G2621">
        <v>1.26</v>
      </c>
      <c r="H2621">
        <v>8.19</v>
      </c>
      <c r="I2621">
        <v>84.62</v>
      </c>
      <c r="J2621">
        <v>134.31</v>
      </c>
      <c r="K2621" s="9">
        <v>45357</v>
      </c>
      <c r="L2621">
        <f xml:space="preserve"> (交易處理資料__3[[#This Row],[售出工時]] * 60) / 5</f>
        <v>132</v>
      </c>
      <c r="M2621" t="str">
        <f>VLOOKUP(交易處理資料__3[[#This Row],[人員代號]],團隊分組!$B$1:$C$52,2,FALSE)</f>
        <v>快速保養團隊A</v>
      </c>
      <c r="N2621">
        <f>IF(交易處理資料__3[[#This Row],[上班時間]]=0,0,交易處理資料__3[[#This Row],[售出工時]]/交易處理資料__3[[#This Row],[上班時間]])</f>
        <v>1.3431013431013432</v>
      </c>
      <c r="O2621" s="31" t="str">
        <f>IF(交易處理資料__3[[#This Row],[上班時間]]=0,"否","是")</f>
        <v>是</v>
      </c>
    </row>
    <row r="2622" spans="1:15" hidden="1">
      <c r="A2622" t="s">
        <v>75</v>
      </c>
      <c r="B2622" t="s">
        <v>46</v>
      </c>
      <c r="C2622">
        <v>3.1666666669999999</v>
      </c>
      <c r="D2622">
        <v>5.87</v>
      </c>
      <c r="E2622" s="27">
        <v>53.946621239999999</v>
      </c>
      <c r="F2622">
        <v>7.9</v>
      </c>
      <c r="G2622">
        <v>1.63</v>
      </c>
      <c r="H2622">
        <v>9.5299999999999994</v>
      </c>
      <c r="I2622">
        <v>82.9</v>
      </c>
      <c r="J2622">
        <v>33.229999999999997</v>
      </c>
      <c r="K2622" s="9">
        <v>45357</v>
      </c>
      <c r="L2622">
        <f xml:space="preserve"> (交易處理資料__3[[#This Row],[售出工時]] * 60) / 5</f>
        <v>38.000000004</v>
      </c>
      <c r="M2622" t="str">
        <f>VLOOKUP(交易處理資料__3[[#This Row],[人員代號]],團隊分組!$B$1:$C$52,2,FALSE)</f>
        <v>查修團隊B</v>
      </c>
      <c r="N2622">
        <f>IF(交易處理資料__3[[#This Row],[上班時間]]=0,0,交易處理資料__3[[#This Row],[售出工時]]/交易處理資料__3[[#This Row],[上班時間]])</f>
        <v>0.33228401542497377</v>
      </c>
      <c r="O2622" s="31" t="str">
        <f>IF(交易處理資料__3[[#This Row],[上班時間]]=0,"否","是")</f>
        <v>是</v>
      </c>
    </row>
    <row r="2623" spans="1:15" hidden="1">
      <c r="A2623" t="s">
        <v>75</v>
      </c>
      <c r="B2623" t="s">
        <v>47</v>
      </c>
      <c r="C2623">
        <v>8.1666666669999994</v>
      </c>
      <c r="D2623">
        <v>7.4</v>
      </c>
      <c r="E2623" s="27">
        <v>110.3603604</v>
      </c>
      <c r="F2623">
        <v>7.28</v>
      </c>
      <c r="G2623">
        <v>0.75</v>
      </c>
      <c r="H2623">
        <v>8.0299999999999994</v>
      </c>
      <c r="I2623">
        <v>90.66</v>
      </c>
      <c r="J2623">
        <v>101.7</v>
      </c>
      <c r="K2623" s="9">
        <v>45357</v>
      </c>
      <c r="L2623">
        <f xml:space="preserve"> (交易處理資料__3[[#This Row],[售出工時]] * 60) / 5</f>
        <v>98.000000003999986</v>
      </c>
      <c r="M2623" t="str">
        <f>VLOOKUP(交易處理資料__3[[#This Row],[人員代號]],團隊分組!$B$1:$C$52,2,FALSE)</f>
        <v>查修團隊B</v>
      </c>
      <c r="N2623">
        <f>IF(交易處理資料__3[[#This Row],[上班時間]]=0,0,交易處理資料__3[[#This Row],[售出工時]]/交易處理資料__3[[#This Row],[上班時間]])</f>
        <v>1.0170195102117061</v>
      </c>
      <c r="O2623" s="31" t="str">
        <f>IF(交易處理資料__3[[#This Row],[上班時間]]=0,"否","是")</f>
        <v>是</v>
      </c>
    </row>
    <row r="2624" spans="1:15" hidden="1">
      <c r="A2624" t="s">
        <v>75</v>
      </c>
      <c r="B2624" t="s">
        <v>48</v>
      </c>
      <c r="C2624">
        <v>1</v>
      </c>
      <c r="D2624">
        <v>0.77</v>
      </c>
      <c r="E2624" s="27">
        <v>129.87012989999999</v>
      </c>
      <c r="F2624">
        <v>8.1</v>
      </c>
      <c r="G2624">
        <v>1.9</v>
      </c>
      <c r="H2624">
        <v>10</v>
      </c>
      <c r="I2624">
        <v>81</v>
      </c>
      <c r="J2624">
        <v>10</v>
      </c>
      <c r="K2624" s="9">
        <v>45357</v>
      </c>
      <c r="L2624">
        <f xml:space="preserve"> (交易處理資料__3[[#This Row],[售出工時]] * 60) / 5</f>
        <v>12</v>
      </c>
      <c r="M2624" t="str">
        <f>VLOOKUP(交易處理資料__3[[#This Row],[人員代號]],團隊分組!$B$1:$C$52,2,FALSE)</f>
        <v>查修團隊A</v>
      </c>
      <c r="N2624">
        <f>IF(交易處理資料__3[[#This Row],[上班時間]]=0,0,交易處理資料__3[[#This Row],[售出工時]]/交易處理資料__3[[#This Row],[上班時間]])</f>
        <v>0.1</v>
      </c>
      <c r="O2624" s="31" t="str">
        <f>IF(交易處理資料__3[[#This Row],[上班時間]]=0,"否","是")</f>
        <v>是</v>
      </c>
    </row>
    <row r="2625" spans="1:15" hidden="1">
      <c r="A2625" t="s">
        <v>75</v>
      </c>
      <c r="B2625" t="s">
        <v>49</v>
      </c>
      <c r="C2625">
        <v>4.91</v>
      </c>
      <c r="D2625">
        <v>4.37</v>
      </c>
      <c r="E2625" s="27">
        <v>112.3569794</v>
      </c>
      <c r="F2625">
        <v>8.74</v>
      </c>
      <c r="G2625">
        <v>0.83</v>
      </c>
      <c r="H2625">
        <v>9.57</v>
      </c>
      <c r="I2625">
        <v>91.33</v>
      </c>
      <c r="J2625">
        <v>51.31</v>
      </c>
      <c r="K2625" s="9">
        <v>45357</v>
      </c>
      <c r="L2625">
        <f xml:space="preserve"> (交易處理資料__3[[#This Row],[售出工時]] * 60) / 5</f>
        <v>58.92</v>
      </c>
      <c r="M2625" t="str">
        <f>VLOOKUP(交易處理資料__3[[#This Row],[人員代號]],團隊分組!$B$1:$C$52,2,FALSE)</f>
        <v>查修團隊A</v>
      </c>
      <c r="N2625">
        <f>IF(交易處理資料__3[[#This Row],[上班時間]]=0,0,交易處理資料__3[[#This Row],[售出工時]]/交易處理資料__3[[#This Row],[上班時間]])</f>
        <v>0.51306165099268553</v>
      </c>
      <c r="O2625" s="31" t="str">
        <f>IF(交易處理資料__3[[#This Row],[上班時間]]=0,"否","是")</f>
        <v>是</v>
      </c>
    </row>
    <row r="2626" spans="1:15" hidden="1">
      <c r="A2626" t="s">
        <v>75</v>
      </c>
      <c r="B2626" t="s">
        <v>50</v>
      </c>
      <c r="C2626">
        <v>10.28</v>
      </c>
      <c r="D2626">
        <v>5.13</v>
      </c>
      <c r="E2626" s="27">
        <v>200.38986349999999</v>
      </c>
      <c r="F2626">
        <v>7.49</v>
      </c>
      <c r="G2626">
        <v>0.51</v>
      </c>
      <c r="H2626">
        <v>8</v>
      </c>
      <c r="I2626">
        <v>93.63</v>
      </c>
      <c r="J2626">
        <v>128.5</v>
      </c>
      <c r="K2626" s="9">
        <v>45357</v>
      </c>
      <c r="L2626">
        <f xml:space="preserve"> (交易處理資料__3[[#This Row],[售出工時]] * 60) / 5</f>
        <v>123.35999999999999</v>
      </c>
      <c r="M2626" t="str">
        <f>VLOOKUP(交易處理資料__3[[#This Row],[人員代號]],團隊分組!$B$1:$C$52,2,FALSE)</f>
        <v>快速保養團隊B</v>
      </c>
      <c r="N2626">
        <f>IF(交易處理資料__3[[#This Row],[上班時間]]=0,0,交易處理資料__3[[#This Row],[售出工時]]/交易處理資料__3[[#This Row],[上班時間]])</f>
        <v>1.2849999999999999</v>
      </c>
      <c r="O2626" s="31" t="str">
        <f>IF(交易處理資料__3[[#This Row],[上班時間]]=0,"否","是")</f>
        <v>是</v>
      </c>
    </row>
    <row r="2627" spans="1:15" hidden="1">
      <c r="A2627" t="s">
        <v>75</v>
      </c>
      <c r="B2627" t="s">
        <v>51</v>
      </c>
      <c r="C2627">
        <v>0</v>
      </c>
      <c r="D2627">
        <v>0</v>
      </c>
      <c r="E2627" s="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 s="9">
        <v>45357</v>
      </c>
      <c r="L2627">
        <f xml:space="preserve"> (交易處理資料__3[[#This Row],[售出工時]] * 60) / 5</f>
        <v>0</v>
      </c>
      <c r="M2627" t="str">
        <f>VLOOKUP(交易處理資料__3[[#This Row],[人員代號]],團隊分組!$B$1:$C$52,2,FALSE)</f>
        <v>無效數據</v>
      </c>
      <c r="N2627">
        <f>IF(交易處理資料__3[[#This Row],[上班時間]]=0,0,交易處理資料__3[[#This Row],[售出工時]]/交易處理資料__3[[#This Row],[上班時間]])</f>
        <v>0</v>
      </c>
      <c r="O2627" s="31" t="str">
        <f>IF(交易處理資料__3[[#This Row],[上班時間]]=0,"否","是")</f>
        <v>否</v>
      </c>
    </row>
    <row r="2628" spans="1:15" hidden="1">
      <c r="A2628" t="s">
        <v>75</v>
      </c>
      <c r="B2628" t="s">
        <v>52</v>
      </c>
      <c r="C2628">
        <v>2</v>
      </c>
      <c r="D2628">
        <v>1.1200000000000001</v>
      </c>
      <c r="E2628" s="27">
        <v>178.57142859999999</v>
      </c>
      <c r="F2628">
        <v>6.92</v>
      </c>
      <c r="G2628">
        <v>1.1599999999999999</v>
      </c>
      <c r="H2628">
        <v>8.08</v>
      </c>
      <c r="I2628">
        <v>85.64</v>
      </c>
      <c r="J2628">
        <v>24.75</v>
      </c>
      <c r="K2628" s="9">
        <v>45357</v>
      </c>
      <c r="L2628">
        <f xml:space="preserve"> (交易處理資料__3[[#This Row],[售出工時]] * 60) / 5</f>
        <v>24</v>
      </c>
      <c r="M2628" t="str">
        <f>VLOOKUP(交易處理資料__3[[#This Row],[人員代號]],團隊分組!$B$1:$C$52,2,FALSE)</f>
        <v>查修團隊B</v>
      </c>
      <c r="N2628">
        <f>IF(交易處理資料__3[[#This Row],[上班時間]]=0,0,交易處理資料__3[[#This Row],[售出工時]]/交易處理資料__3[[#This Row],[上班時間]])</f>
        <v>0.24752475247524752</v>
      </c>
      <c r="O2628" s="31" t="str">
        <f>IF(交易處理資料__3[[#This Row],[上班時間]]=0,"否","是")</f>
        <v>是</v>
      </c>
    </row>
    <row r="2629" spans="1:15" hidden="1">
      <c r="A2629" t="s">
        <v>75</v>
      </c>
      <c r="B2629" t="s">
        <v>53</v>
      </c>
      <c r="C2629">
        <v>0.33333333300000001</v>
      </c>
      <c r="D2629">
        <v>1.28</v>
      </c>
      <c r="E2629" s="27">
        <v>26.041666670000001</v>
      </c>
      <c r="F2629">
        <v>9.48</v>
      </c>
      <c r="G2629">
        <v>0.5</v>
      </c>
      <c r="H2629">
        <v>9.98</v>
      </c>
      <c r="I2629">
        <v>94.99</v>
      </c>
      <c r="J2629">
        <v>3.34</v>
      </c>
      <c r="K2629" s="9">
        <v>45357</v>
      </c>
      <c r="L2629">
        <f xml:space="preserve"> (交易處理資料__3[[#This Row],[售出工時]] * 60) / 5</f>
        <v>3.9999999960000006</v>
      </c>
      <c r="M2629" t="str">
        <f>VLOOKUP(交易處理資料__3[[#This Row],[人員代號]],團隊分組!$B$1:$C$52,2,FALSE)</f>
        <v>查修團隊A</v>
      </c>
      <c r="N2629">
        <f>IF(交易處理資料__3[[#This Row],[上班時間]]=0,0,交易處理資料__3[[#This Row],[售出工時]]/交易處理資料__3[[#This Row],[上班時間]])</f>
        <v>3.3400133567134269E-2</v>
      </c>
      <c r="O2629" s="31" t="str">
        <f>IF(交易處理資料__3[[#This Row],[上班時間]]=0,"否","是")</f>
        <v>是</v>
      </c>
    </row>
    <row r="2630" spans="1:15" hidden="1">
      <c r="A2630" s="10" t="s">
        <v>73</v>
      </c>
      <c r="B2630" t="s">
        <v>1</v>
      </c>
      <c r="C2630">
        <v>0</v>
      </c>
      <c r="D2630">
        <v>0</v>
      </c>
      <c r="E2630" s="27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 s="9">
        <v>45358</v>
      </c>
      <c r="L2630">
        <f xml:space="preserve"> (交易處理資料__3[[#This Row],[售出工時]] * 60) / 5</f>
        <v>0</v>
      </c>
      <c r="M2630" t="str">
        <f>VLOOKUP(交易處理資料__3[[#This Row],[人員代號]],團隊分組!$B$1:$C$52,2,FALSE)</f>
        <v>噴漆維修組</v>
      </c>
      <c r="N2630">
        <f>IF(交易處理資料__3[[#This Row],[上班時間]]=0,0,交易處理資料__3[[#This Row],[售出工時]]/交易處理資料__3[[#This Row],[上班時間]])</f>
        <v>0</v>
      </c>
      <c r="O2630" s="31" t="str">
        <f>IF(交易處理資料__3[[#This Row],[上班時間]]=0,"否","是")</f>
        <v>否</v>
      </c>
    </row>
    <row r="2631" spans="1:15" hidden="1">
      <c r="A2631" s="10" t="s">
        <v>73</v>
      </c>
      <c r="B2631" t="s">
        <v>2</v>
      </c>
      <c r="C2631">
        <v>0</v>
      </c>
      <c r="D2631">
        <v>0</v>
      </c>
      <c r="E2631" s="27">
        <v>0</v>
      </c>
      <c r="F2631">
        <v>10.93</v>
      </c>
      <c r="G2631">
        <v>0.17</v>
      </c>
      <c r="H2631">
        <v>11.1</v>
      </c>
      <c r="I2631">
        <v>98.47</v>
      </c>
      <c r="J2631">
        <v>0</v>
      </c>
      <c r="K2631" s="9">
        <v>45358</v>
      </c>
      <c r="L2631">
        <f xml:space="preserve"> (交易處理資料__3[[#This Row],[售出工時]] * 60) / 5</f>
        <v>0</v>
      </c>
      <c r="M2631" t="str">
        <f>VLOOKUP(交易處理資料__3[[#This Row],[人員代號]],團隊分組!$B$1:$C$52,2,FALSE)</f>
        <v>噴漆維修組</v>
      </c>
      <c r="N2631">
        <f>IF(交易處理資料__3[[#This Row],[上班時間]]=0,0,交易處理資料__3[[#This Row],[售出工時]]/交易處理資料__3[[#This Row],[上班時間]])</f>
        <v>0</v>
      </c>
      <c r="O2631" s="31" t="str">
        <f>IF(交易處理資料__3[[#This Row],[上班時間]]=0,"否","是")</f>
        <v>是</v>
      </c>
    </row>
    <row r="2632" spans="1:15" hidden="1">
      <c r="A2632" s="10" t="s">
        <v>73</v>
      </c>
      <c r="B2632" t="s">
        <v>3</v>
      </c>
      <c r="C2632">
        <v>0</v>
      </c>
      <c r="D2632">
        <v>0</v>
      </c>
      <c r="E2632" s="27">
        <v>0</v>
      </c>
      <c r="F2632">
        <v>10.92</v>
      </c>
      <c r="G2632">
        <v>0.16</v>
      </c>
      <c r="H2632">
        <v>11.08</v>
      </c>
      <c r="I2632">
        <v>98.56</v>
      </c>
      <c r="J2632">
        <v>0</v>
      </c>
      <c r="K2632" s="9">
        <v>45358</v>
      </c>
      <c r="L2632">
        <f xml:space="preserve"> (交易處理資料__3[[#This Row],[售出工時]] * 60) / 5</f>
        <v>0</v>
      </c>
      <c r="M2632" t="str">
        <f>VLOOKUP(交易處理資料__3[[#This Row],[人員代號]],團隊分組!$B$1:$C$52,2,FALSE)</f>
        <v>噴漆維修組</v>
      </c>
      <c r="N2632">
        <f>IF(交易處理資料__3[[#This Row],[上班時間]]=0,0,交易處理資料__3[[#This Row],[售出工時]]/交易處理資料__3[[#This Row],[上班時間]])</f>
        <v>0</v>
      </c>
      <c r="O2632" s="31" t="str">
        <f>IF(交易處理資料__3[[#This Row],[上班時間]]=0,"否","是")</f>
        <v>是</v>
      </c>
    </row>
    <row r="2633" spans="1:15" hidden="1">
      <c r="A2633" s="10" t="s">
        <v>73</v>
      </c>
      <c r="B2633" t="s">
        <v>4</v>
      </c>
      <c r="C2633">
        <v>0.32</v>
      </c>
      <c r="D2633">
        <v>3.55</v>
      </c>
      <c r="E2633" s="27">
        <v>9.0140845069999997</v>
      </c>
      <c r="F2633">
        <v>9.5</v>
      </c>
      <c r="G2633">
        <v>0.53</v>
      </c>
      <c r="H2633">
        <v>10.029999999999999</v>
      </c>
      <c r="I2633">
        <v>94.72</v>
      </c>
      <c r="J2633">
        <v>3.19</v>
      </c>
      <c r="K2633" s="9">
        <v>45358</v>
      </c>
      <c r="L2633">
        <f xml:space="preserve"> (交易處理資料__3[[#This Row],[售出工時]] * 60) / 5</f>
        <v>3.84</v>
      </c>
      <c r="M2633" t="str">
        <f>VLOOKUP(交易處理資料__3[[#This Row],[人員代號]],團隊分組!$B$1:$C$52,2,FALSE)</f>
        <v>噴漆維修組</v>
      </c>
      <c r="N2633">
        <f>IF(交易處理資料__3[[#This Row],[上班時間]]=0,0,交易處理資料__3[[#This Row],[售出工時]]/交易處理資料__3[[#This Row],[上班時間]])</f>
        <v>3.1904287138584252E-2</v>
      </c>
      <c r="O2633" s="31" t="str">
        <f>IF(交易處理資料__3[[#This Row],[上班時間]]=0,"否","是")</f>
        <v>是</v>
      </c>
    </row>
    <row r="2634" spans="1:15" hidden="1">
      <c r="A2634" s="10" t="s">
        <v>73</v>
      </c>
      <c r="B2634" t="s">
        <v>6</v>
      </c>
      <c r="C2634">
        <v>0</v>
      </c>
      <c r="D2634">
        <v>0</v>
      </c>
      <c r="E2634" s="27">
        <v>0</v>
      </c>
      <c r="F2634">
        <v>10.92</v>
      </c>
      <c r="G2634">
        <v>0.17</v>
      </c>
      <c r="H2634">
        <v>11.09</v>
      </c>
      <c r="I2634">
        <v>98.47</v>
      </c>
      <c r="J2634">
        <v>0</v>
      </c>
      <c r="K2634" s="9">
        <v>45358</v>
      </c>
      <c r="L2634">
        <f xml:space="preserve"> (交易處理資料__3[[#This Row],[售出工時]] * 60) / 5</f>
        <v>0</v>
      </c>
      <c r="M2634" t="str">
        <f>VLOOKUP(交易處理資料__3[[#This Row],[人員代號]],團隊分組!$B$1:$C$52,2,FALSE)</f>
        <v>噴漆維修組</v>
      </c>
      <c r="N2634">
        <f>IF(交易處理資料__3[[#This Row],[上班時間]]=0,0,交易處理資料__3[[#This Row],[售出工時]]/交易處理資料__3[[#This Row],[上班時間]])</f>
        <v>0</v>
      </c>
      <c r="O2634" s="31" t="str">
        <f>IF(交易處理資料__3[[#This Row],[上班時間]]=0,"否","是")</f>
        <v>是</v>
      </c>
    </row>
    <row r="2635" spans="1:15" hidden="1">
      <c r="A2635" s="10" t="s">
        <v>73</v>
      </c>
      <c r="B2635" t="s">
        <v>7</v>
      </c>
      <c r="C2635">
        <v>5.67</v>
      </c>
      <c r="D2635">
        <v>9.2799999999999994</v>
      </c>
      <c r="E2635" s="27">
        <v>61.099137929999998</v>
      </c>
      <c r="F2635">
        <v>10.95</v>
      </c>
      <c r="G2635">
        <v>0.14000000000000001</v>
      </c>
      <c r="H2635">
        <v>11.09</v>
      </c>
      <c r="I2635">
        <v>98.74</v>
      </c>
      <c r="J2635">
        <v>51.13</v>
      </c>
      <c r="K2635" s="9">
        <v>45358</v>
      </c>
      <c r="L2635">
        <f xml:space="preserve"> (交易處理資料__3[[#This Row],[售出工時]] * 60) / 5</f>
        <v>68.039999999999992</v>
      </c>
      <c r="M2635" t="str">
        <f>VLOOKUP(交易處理資料__3[[#This Row],[人員代號]],團隊分組!$B$1:$C$52,2,FALSE)</f>
        <v>噴漆維修組</v>
      </c>
      <c r="N2635">
        <f>IF(交易處理資料__3[[#This Row],[上班時間]]=0,0,交易處理資料__3[[#This Row],[售出工時]]/交易處理資料__3[[#This Row],[上班時間]])</f>
        <v>0.5112714156898106</v>
      </c>
      <c r="O2635" s="31" t="str">
        <f>IF(交易處理資料__3[[#This Row],[上班時間]]=0,"否","是")</f>
        <v>是</v>
      </c>
    </row>
    <row r="2636" spans="1:15" hidden="1">
      <c r="A2636" s="10" t="s">
        <v>73</v>
      </c>
      <c r="B2636" t="s">
        <v>8</v>
      </c>
      <c r="C2636">
        <v>0.18</v>
      </c>
      <c r="D2636">
        <v>2.0499999999999998</v>
      </c>
      <c r="E2636" s="27">
        <v>8.7804878049999999</v>
      </c>
      <c r="F2636">
        <v>7.65</v>
      </c>
      <c r="G2636">
        <v>0.4</v>
      </c>
      <c r="H2636">
        <v>8.0500000000000007</v>
      </c>
      <c r="I2636">
        <v>95.03</v>
      </c>
      <c r="J2636">
        <v>2.2400000000000002</v>
      </c>
      <c r="K2636" s="9">
        <v>45358</v>
      </c>
      <c r="L2636">
        <f xml:space="preserve"> (交易處理資料__3[[#This Row],[售出工時]] * 60) / 5</f>
        <v>2.1599999999999997</v>
      </c>
      <c r="M2636" t="str">
        <f>VLOOKUP(交易處理資料__3[[#This Row],[人員代號]],團隊分組!$B$1:$C$52,2,FALSE)</f>
        <v>噴漆維修組</v>
      </c>
      <c r="N2636">
        <f>IF(交易處理資料__3[[#This Row],[上班時間]]=0,0,交易處理資料__3[[#This Row],[售出工時]]/交易處理資料__3[[#This Row],[上班時間]])</f>
        <v>2.2360248447204967E-2</v>
      </c>
      <c r="O2636" s="31" t="str">
        <f>IF(交易處理資料__3[[#This Row],[上班時間]]=0,"否","是")</f>
        <v>是</v>
      </c>
    </row>
    <row r="2637" spans="1:15" hidden="1">
      <c r="A2637" s="10" t="s">
        <v>73</v>
      </c>
      <c r="B2637" t="s">
        <v>9</v>
      </c>
      <c r="C2637">
        <v>0</v>
      </c>
      <c r="D2637">
        <v>0</v>
      </c>
      <c r="E2637" s="27">
        <v>0</v>
      </c>
      <c r="F2637">
        <v>9.5399999999999991</v>
      </c>
      <c r="G2637">
        <v>0.54</v>
      </c>
      <c r="H2637">
        <v>10.08</v>
      </c>
      <c r="I2637">
        <v>94.64</v>
      </c>
      <c r="J2637">
        <v>0</v>
      </c>
      <c r="K2637" s="9">
        <v>45358</v>
      </c>
      <c r="L2637">
        <f xml:space="preserve"> (交易處理資料__3[[#This Row],[售出工時]] * 60) / 5</f>
        <v>0</v>
      </c>
      <c r="M2637" t="str">
        <f>VLOOKUP(交易處理資料__3[[#This Row],[人員代號]],團隊分組!$B$1:$C$52,2,FALSE)</f>
        <v>噴漆維修組</v>
      </c>
      <c r="N2637">
        <f>IF(交易處理資料__3[[#This Row],[上班時間]]=0,0,交易處理資料__3[[#This Row],[售出工時]]/交易處理資料__3[[#This Row],[上班時間]])</f>
        <v>0</v>
      </c>
      <c r="O2637" s="31" t="str">
        <f>IF(交易處理資料__3[[#This Row],[上班時間]]=0,"否","是")</f>
        <v>是</v>
      </c>
    </row>
    <row r="2638" spans="1:15" hidden="1">
      <c r="A2638" t="s">
        <v>74</v>
      </c>
      <c r="B2638" t="s">
        <v>11</v>
      </c>
      <c r="C2638">
        <v>0</v>
      </c>
      <c r="D2638">
        <v>0</v>
      </c>
      <c r="E2638" s="27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 s="9">
        <v>45358</v>
      </c>
      <c r="L2638">
        <f xml:space="preserve"> (交易處理資料__3[[#This Row],[售出工時]] * 60) / 5</f>
        <v>0</v>
      </c>
      <c r="M2638" t="str">
        <f>VLOOKUP(交易處理資料__3[[#This Row],[人員代號]],團隊分組!$B$1:$C$52,2,FALSE)</f>
        <v>鈑金維修組</v>
      </c>
      <c r="N2638">
        <f>IF(交易處理資料__3[[#This Row],[上班時間]]=0,0,交易處理資料__3[[#This Row],[售出工時]]/交易處理資料__3[[#This Row],[上班時間]])</f>
        <v>0</v>
      </c>
      <c r="O2638" s="31" t="str">
        <f>IF(交易處理資料__3[[#This Row],[上班時間]]=0,"否","是")</f>
        <v>否</v>
      </c>
    </row>
    <row r="2639" spans="1:15" hidden="1">
      <c r="A2639" t="s">
        <v>74</v>
      </c>
      <c r="B2639" t="s">
        <v>13</v>
      </c>
      <c r="C2639">
        <v>0</v>
      </c>
      <c r="D2639">
        <v>0</v>
      </c>
      <c r="E2639" s="27">
        <v>0</v>
      </c>
      <c r="F2639">
        <v>7.09</v>
      </c>
      <c r="G2639">
        <v>1.0900000000000001</v>
      </c>
      <c r="H2639">
        <v>8.18</v>
      </c>
      <c r="I2639">
        <v>86.67</v>
      </c>
      <c r="J2639">
        <v>0</v>
      </c>
      <c r="K2639" s="9">
        <v>45358</v>
      </c>
      <c r="L2639">
        <f xml:space="preserve"> (交易處理資料__3[[#This Row],[售出工時]] * 60) / 5</f>
        <v>0</v>
      </c>
      <c r="M2639" t="str">
        <f>VLOOKUP(交易處理資料__3[[#This Row],[人員代號]],團隊分組!$B$1:$C$52,2,FALSE)</f>
        <v>鈑金維修組</v>
      </c>
      <c r="N2639">
        <f>IF(交易處理資料__3[[#This Row],[上班時間]]=0,0,交易處理資料__3[[#This Row],[售出工時]]/交易處理資料__3[[#This Row],[上班時間]])</f>
        <v>0</v>
      </c>
      <c r="O2639" s="31" t="str">
        <f>IF(交易處理資料__3[[#This Row],[上班時間]]=0,"否","是")</f>
        <v>是</v>
      </c>
    </row>
    <row r="2640" spans="1:15" hidden="1">
      <c r="A2640" t="s">
        <v>74</v>
      </c>
      <c r="B2640" t="s">
        <v>14</v>
      </c>
      <c r="C2640">
        <v>1.0833333329999999</v>
      </c>
      <c r="D2640">
        <v>1.63</v>
      </c>
      <c r="E2640" s="27">
        <v>66.462167690000001</v>
      </c>
      <c r="F2640">
        <v>6.4</v>
      </c>
      <c r="G2640">
        <v>1.77</v>
      </c>
      <c r="H2640">
        <v>8.17</v>
      </c>
      <c r="I2640">
        <v>78.34</v>
      </c>
      <c r="J2640">
        <v>13.26</v>
      </c>
      <c r="K2640" s="9">
        <v>45358</v>
      </c>
      <c r="L2640">
        <f xml:space="preserve"> (交易處理資料__3[[#This Row],[售出工時]] * 60) / 5</f>
        <v>12.999999996</v>
      </c>
      <c r="M2640" t="str">
        <f>VLOOKUP(交易處理資料__3[[#This Row],[人員代號]],團隊分組!$B$1:$C$52,2,FALSE)</f>
        <v>鈑金維修組</v>
      </c>
      <c r="N2640">
        <f>IF(交易處理資料__3[[#This Row],[上班時間]]=0,0,交易處理資料__3[[#This Row],[售出工時]]/交易處理資料__3[[#This Row],[上班時間]])</f>
        <v>0.13259893916768664</v>
      </c>
      <c r="O2640" s="31" t="str">
        <f>IF(交易處理資料__3[[#This Row],[上班時間]]=0,"否","是")</f>
        <v>是</v>
      </c>
    </row>
    <row r="2641" spans="1:15" hidden="1">
      <c r="A2641" t="s">
        <v>74</v>
      </c>
      <c r="B2641" t="s">
        <v>15</v>
      </c>
      <c r="C2641">
        <v>0</v>
      </c>
      <c r="D2641">
        <v>0</v>
      </c>
      <c r="E2641" s="27">
        <v>0</v>
      </c>
      <c r="F2641">
        <v>4.6399999999999997</v>
      </c>
      <c r="G2641">
        <v>3.53</v>
      </c>
      <c r="H2641">
        <v>8.17</v>
      </c>
      <c r="I2641">
        <v>56.79</v>
      </c>
      <c r="J2641">
        <v>0</v>
      </c>
      <c r="K2641" s="9">
        <v>45358</v>
      </c>
      <c r="L2641">
        <f xml:space="preserve"> (交易處理資料__3[[#This Row],[售出工時]] * 60) / 5</f>
        <v>0</v>
      </c>
      <c r="M2641" t="str">
        <f>VLOOKUP(交易處理資料__3[[#This Row],[人員代號]],團隊分組!$B$1:$C$52,2,FALSE)</f>
        <v>鈑金維修組</v>
      </c>
      <c r="N2641">
        <f>IF(交易處理資料__3[[#This Row],[上班時間]]=0,0,交易處理資料__3[[#This Row],[售出工時]]/交易處理資料__3[[#This Row],[上班時間]])</f>
        <v>0</v>
      </c>
      <c r="O2641" s="31" t="str">
        <f>IF(交易處理資料__3[[#This Row],[上班時間]]=0,"否","是")</f>
        <v>是</v>
      </c>
    </row>
    <row r="2642" spans="1:15" hidden="1">
      <c r="A2642" t="s">
        <v>75</v>
      </c>
      <c r="B2642" t="s">
        <v>20</v>
      </c>
      <c r="C2642">
        <v>0</v>
      </c>
      <c r="D2642">
        <v>0</v>
      </c>
      <c r="E2642" s="27">
        <v>0</v>
      </c>
      <c r="F2642">
        <v>1.1200000000000001</v>
      </c>
      <c r="G2642">
        <v>8.83</v>
      </c>
      <c r="H2642">
        <v>9.9499999999999993</v>
      </c>
      <c r="I2642">
        <v>11.26</v>
      </c>
      <c r="J2642">
        <v>0</v>
      </c>
      <c r="K2642" s="9">
        <v>45358</v>
      </c>
      <c r="L2642">
        <f xml:space="preserve"> (交易處理資料__3[[#This Row],[售出工時]] * 60) / 5</f>
        <v>0</v>
      </c>
      <c r="M2642" t="str">
        <f>VLOOKUP(交易處理資料__3[[#This Row],[人員代號]],團隊分組!$B$1:$C$52,2,FALSE)</f>
        <v>查修團隊B</v>
      </c>
      <c r="N2642">
        <f>IF(交易處理資料__3[[#This Row],[上班時間]]=0,0,交易處理資料__3[[#This Row],[售出工時]]/交易處理資料__3[[#This Row],[上班時間]])</f>
        <v>0</v>
      </c>
      <c r="O2642" s="31" t="str">
        <f>IF(交易處理資料__3[[#This Row],[上班時間]]=0,"否","是")</f>
        <v>是</v>
      </c>
    </row>
    <row r="2643" spans="1:15" hidden="1">
      <c r="A2643" t="s">
        <v>75</v>
      </c>
      <c r="B2643" t="s">
        <v>26</v>
      </c>
      <c r="C2643">
        <v>1</v>
      </c>
      <c r="D2643">
        <v>1.1000000000000001</v>
      </c>
      <c r="E2643" s="27">
        <v>90.909090910000003</v>
      </c>
      <c r="F2643">
        <v>4.66</v>
      </c>
      <c r="G2643">
        <v>5.32</v>
      </c>
      <c r="H2643">
        <v>9.98</v>
      </c>
      <c r="I2643">
        <v>46.69</v>
      </c>
      <c r="J2643">
        <v>10.02</v>
      </c>
      <c r="K2643" s="9">
        <v>45358</v>
      </c>
      <c r="L2643">
        <f xml:space="preserve"> (交易處理資料__3[[#This Row],[售出工時]] * 60) / 5</f>
        <v>12</v>
      </c>
      <c r="M2643" t="str">
        <f>VLOOKUP(交易處理資料__3[[#This Row],[人員代號]],團隊分組!$B$1:$C$52,2,FALSE)</f>
        <v>查修團隊B</v>
      </c>
      <c r="N2643">
        <f>IF(交易處理資料__3[[#This Row],[上班時間]]=0,0,交易處理資料__3[[#This Row],[售出工時]]/交易處理資料__3[[#This Row],[上班時間]])</f>
        <v>0.1002004008016032</v>
      </c>
      <c r="O2643" s="31" t="str">
        <f>IF(交易處理資料__3[[#This Row],[上班時間]]=0,"否","是")</f>
        <v>是</v>
      </c>
    </row>
    <row r="2644" spans="1:15" hidden="1">
      <c r="A2644" t="s">
        <v>75</v>
      </c>
      <c r="B2644" t="s">
        <v>27</v>
      </c>
      <c r="C2644">
        <v>4.33</v>
      </c>
      <c r="D2644">
        <v>4.87</v>
      </c>
      <c r="E2644" s="27">
        <v>88.911704310000005</v>
      </c>
      <c r="F2644">
        <v>9.84</v>
      </c>
      <c r="G2644">
        <v>0.25</v>
      </c>
      <c r="H2644">
        <v>10.09</v>
      </c>
      <c r="I2644">
        <v>97.52</v>
      </c>
      <c r="J2644">
        <v>42.91</v>
      </c>
      <c r="K2644" s="9">
        <v>45358</v>
      </c>
      <c r="L2644">
        <f xml:space="preserve"> (交易處理資料__3[[#This Row],[售出工時]] * 60) / 5</f>
        <v>51.96</v>
      </c>
      <c r="M2644" t="str">
        <f>VLOOKUP(交易處理資料__3[[#This Row],[人員代號]],團隊分組!$B$1:$C$52,2,FALSE)</f>
        <v>快速保養團隊B</v>
      </c>
      <c r="N2644">
        <f>IF(交易處理資料__3[[#This Row],[上班時間]]=0,0,交易處理資料__3[[#This Row],[售出工時]]/交易處理資料__3[[#This Row],[上班時間]])</f>
        <v>0.42913776015857286</v>
      </c>
      <c r="O2644" s="31" t="str">
        <f>IF(交易處理資料__3[[#This Row],[上班時間]]=0,"否","是")</f>
        <v>是</v>
      </c>
    </row>
    <row r="2645" spans="1:15" hidden="1">
      <c r="A2645" t="s">
        <v>75</v>
      </c>
      <c r="B2645" t="s">
        <v>28</v>
      </c>
      <c r="C2645">
        <v>12.91666667</v>
      </c>
      <c r="D2645">
        <v>9.4</v>
      </c>
      <c r="E2645" s="27">
        <v>137.41134750000001</v>
      </c>
      <c r="F2645">
        <v>8.82</v>
      </c>
      <c r="G2645">
        <v>0.68</v>
      </c>
      <c r="H2645">
        <v>9.5</v>
      </c>
      <c r="I2645">
        <v>92.84</v>
      </c>
      <c r="J2645">
        <v>135.96</v>
      </c>
      <c r="K2645" s="9">
        <v>45358</v>
      </c>
      <c r="L2645">
        <f xml:space="preserve"> (交易處理資料__3[[#This Row],[售出工時]] * 60) / 5</f>
        <v>155.00000003999997</v>
      </c>
      <c r="M2645" t="str">
        <f>VLOOKUP(交易處理資料__3[[#This Row],[人員代號]],團隊分組!$B$1:$C$52,2,FALSE)</f>
        <v>快速保養團隊A</v>
      </c>
      <c r="N2645">
        <f>IF(交易處理資料__3[[#This Row],[上班時間]]=0,0,交易處理資料__3[[#This Row],[售出工時]]/交易處理資料__3[[#This Row],[上班時間]])</f>
        <v>1.3596491231578947</v>
      </c>
      <c r="O2645" s="31" t="str">
        <f>IF(交易處理資料__3[[#This Row],[上班時間]]=0,"否","是")</f>
        <v>是</v>
      </c>
    </row>
    <row r="2646" spans="1:15" hidden="1">
      <c r="A2646" t="s">
        <v>75</v>
      </c>
      <c r="B2646" t="s">
        <v>30</v>
      </c>
      <c r="C2646">
        <v>4.51</v>
      </c>
      <c r="D2646">
        <v>3.95</v>
      </c>
      <c r="E2646" s="27">
        <v>114.17721520000001</v>
      </c>
      <c r="F2646">
        <v>9.82</v>
      </c>
      <c r="G2646">
        <v>0.28000000000000003</v>
      </c>
      <c r="H2646">
        <v>10.1</v>
      </c>
      <c r="I2646">
        <v>97.23</v>
      </c>
      <c r="J2646">
        <v>44.65</v>
      </c>
      <c r="K2646" s="9">
        <v>45358</v>
      </c>
      <c r="L2646">
        <f xml:space="preserve"> (交易處理資料__3[[#This Row],[售出工時]] * 60) / 5</f>
        <v>54.11999999999999</v>
      </c>
      <c r="M2646" t="str">
        <f>VLOOKUP(交易處理資料__3[[#This Row],[人員代號]],團隊分組!$B$1:$C$52,2,FALSE)</f>
        <v>快速保養團隊B</v>
      </c>
      <c r="N2646">
        <f>IF(交易處理資料__3[[#This Row],[上班時間]]=0,0,交易處理資料__3[[#This Row],[售出工時]]/交易處理資料__3[[#This Row],[上班時間]])</f>
        <v>0.44653465346534654</v>
      </c>
      <c r="O2646" s="31" t="str">
        <f>IF(交易處理資料__3[[#This Row],[上班時間]]=0,"否","是")</f>
        <v>是</v>
      </c>
    </row>
    <row r="2647" spans="1:15">
      <c r="A2647" t="s">
        <v>75</v>
      </c>
      <c r="B2647" t="s">
        <v>33</v>
      </c>
      <c r="C2647">
        <v>9.3333333330000006</v>
      </c>
      <c r="D2647">
        <v>6.56</v>
      </c>
      <c r="E2647" s="27">
        <v>142.27642280000001</v>
      </c>
      <c r="F2647">
        <v>6.66</v>
      </c>
      <c r="G2647">
        <v>2.91</v>
      </c>
      <c r="H2647">
        <v>9.57</v>
      </c>
      <c r="I2647">
        <v>69.59</v>
      </c>
      <c r="J2647">
        <v>97.53</v>
      </c>
      <c r="K2647" s="9">
        <v>45358</v>
      </c>
      <c r="L2647">
        <f xml:space="preserve"> (交易處理資料__3[[#This Row],[售出工時]] * 60) / 5</f>
        <v>111.999999996</v>
      </c>
      <c r="M2647" t="str">
        <f>VLOOKUP(交易處理資料__3[[#This Row],[人員代號]],團隊分組!$B$1:$C$52,2,FALSE)</f>
        <v>快速保養團隊B</v>
      </c>
      <c r="N2647">
        <f>IF(交易處理資料__3[[#This Row],[上班時間]]=0,0,交易處理資料__3[[#This Row],[售出工時]]/交易處理資料__3[[#This Row],[上班時間]])</f>
        <v>0.97526994075235107</v>
      </c>
      <c r="O2647" s="31" t="str">
        <f>IF(交易處理資料__3[[#This Row],[上班時間]]=0,"否","是")</f>
        <v>是</v>
      </c>
    </row>
    <row r="2648" spans="1:15" hidden="1">
      <c r="A2648" t="s">
        <v>75</v>
      </c>
      <c r="B2648" t="s">
        <v>34</v>
      </c>
      <c r="C2648">
        <v>7</v>
      </c>
      <c r="D2648">
        <v>4.13</v>
      </c>
      <c r="E2648" s="27">
        <v>169.4915254</v>
      </c>
      <c r="F2648">
        <v>8.18</v>
      </c>
      <c r="G2648">
        <v>0.32</v>
      </c>
      <c r="H2648">
        <v>8.5</v>
      </c>
      <c r="I2648">
        <v>96.24</v>
      </c>
      <c r="J2648">
        <v>82.35</v>
      </c>
      <c r="K2648" s="9">
        <v>45358</v>
      </c>
      <c r="L2648">
        <f xml:space="preserve"> (交易處理資料__3[[#This Row],[售出工時]] * 60) / 5</f>
        <v>84</v>
      </c>
      <c r="M2648" t="str">
        <f>VLOOKUP(交易處理資料__3[[#This Row],[人員代號]],團隊分組!$B$1:$C$52,2,FALSE)</f>
        <v>快速保養團隊A</v>
      </c>
      <c r="N2648">
        <f>IF(交易處理資料__3[[#This Row],[上班時間]]=0,0,交易處理資料__3[[#This Row],[售出工時]]/交易處理資料__3[[#This Row],[上班時間]])</f>
        <v>0.82352941176470584</v>
      </c>
      <c r="O2648" s="31" t="str">
        <f>IF(交易處理資料__3[[#This Row],[上班時間]]=0,"否","是")</f>
        <v>是</v>
      </c>
    </row>
    <row r="2649" spans="1:15" hidden="1">
      <c r="A2649" t="s">
        <v>75</v>
      </c>
      <c r="B2649" t="s">
        <v>35</v>
      </c>
      <c r="C2649">
        <v>3.6666666669999999</v>
      </c>
      <c r="D2649">
        <v>7.42</v>
      </c>
      <c r="E2649" s="27">
        <v>49.415992809999999</v>
      </c>
      <c r="F2649">
        <v>5.95</v>
      </c>
      <c r="G2649">
        <v>4.01</v>
      </c>
      <c r="H2649">
        <v>9.9600000000000009</v>
      </c>
      <c r="I2649">
        <v>59.74</v>
      </c>
      <c r="J2649">
        <v>36.81</v>
      </c>
      <c r="K2649" s="9">
        <v>45358</v>
      </c>
      <c r="L2649">
        <f xml:space="preserve"> (交易處理資料__3[[#This Row],[售出工時]] * 60) / 5</f>
        <v>44.000000004</v>
      </c>
      <c r="M2649" t="str">
        <f>VLOOKUP(交易處理資料__3[[#This Row],[人員代號]],團隊分組!$B$1:$C$52,2,FALSE)</f>
        <v>查修團隊B</v>
      </c>
      <c r="N2649">
        <f>IF(交易處理資料__3[[#This Row],[上班時間]]=0,0,交易處理資料__3[[#This Row],[售出工時]]/交易處理資料__3[[#This Row],[上班時間]])</f>
        <v>0.36813922359437745</v>
      </c>
      <c r="O2649" s="31" t="str">
        <f>IF(交易處理資料__3[[#This Row],[上班時間]]=0,"否","是")</f>
        <v>是</v>
      </c>
    </row>
    <row r="2650" spans="1:15" hidden="1">
      <c r="A2650" t="s">
        <v>75</v>
      </c>
      <c r="B2650" t="s">
        <v>36</v>
      </c>
      <c r="C2650">
        <v>0.75</v>
      </c>
      <c r="D2650">
        <v>0.01</v>
      </c>
      <c r="E2650" s="27">
        <v>7500</v>
      </c>
      <c r="F2650">
        <v>7.32</v>
      </c>
      <c r="G2650">
        <v>0.73</v>
      </c>
      <c r="H2650">
        <v>8.0500000000000007</v>
      </c>
      <c r="I2650">
        <v>90.93</v>
      </c>
      <c r="J2650">
        <v>9.32</v>
      </c>
      <c r="K2650" s="9">
        <v>45358</v>
      </c>
      <c r="L2650">
        <f xml:space="preserve"> (交易處理資料__3[[#This Row],[售出工時]] * 60) / 5</f>
        <v>9</v>
      </c>
      <c r="M2650" t="str">
        <f>VLOOKUP(交易處理資料__3[[#This Row],[人員代號]],團隊分組!$B$1:$C$52,2,FALSE)</f>
        <v>查修團隊B</v>
      </c>
      <c r="N2650">
        <f>IF(交易處理資料__3[[#This Row],[上班時間]]=0,0,交易處理資料__3[[#This Row],[售出工時]]/交易處理資料__3[[#This Row],[上班時間]])</f>
        <v>9.3167701863354033E-2</v>
      </c>
      <c r="O2650" s="31" t="str">
        <f>IF(交易處理資料__3[[#This Row],[上班時間]]=0,"否","是")</f>
        <v>是</v>
      </c>
    </row>
    <row r="2651" spans="1:15" hidden="1">
      <c r="A2651" t="s">
        <v>75</v>
      </c>
      <c r="B2651" t="s">
        <v>40</v>
      </c>
      <c r="C2651">
        <v>7.8333333329999997</v>
      </c>
      <c r="D2651">
        <v>7.1</v>
      </c>
      <c r="E2651" s="27">
        <v>110.3286385</v>
      </c>
      <c r="F2651">
        <v>5.98</v>
      </c>
      <c r="G2651">
        <v>2.15</v>
      </c>
      <c r="H2651">
        <v>8.1300000000000008</v>
      </c>
      <c r="I2651">
        <v>73.55</v>
      </c>
      <c r="J2651">
        <v>96.35</v>
      </c>
      <c r="K2651" s="9">
        <v>45358</v>
      </c>
      <c r="L2651">
        <f xml:space="preserve"> (交易處理資料__3[[#This Row],[售出工時]] * 60) / 5</f>
        <v>93.999999996</v>
      </c>
      <c r="M2651" t="str">
        <f>VLOOKUP(交易處理資料__3[[#This Row],[人員代號]],團隊分組!$B$1:$C$52,2,FALSE)</f>
        <v>查修團隊A</v>
      </c>
      <c r="N2651">
        <f>IF(交易處理資料__3[[#This Row],[上班時間]]=0,0,交易處理資料__3[[#This Row],[售出工時]]/交易處理資料__3[[#This Row],[上班時間]])</f>
        <v>0.96350963505535037</v>
      </c>
      <c r="O2651" s="31" t="str">
        <f>IF(交易處理資料__3[[#This Row],[上班時間]]=0,"否","是")</f>
        <v>是</v>
      </c>
    </row>
    <row r="2652" spans="1:15" hidden="1">
      <c r="A2652" t="s">
        <v>75</v>
      </c>
      <c r="B2652" t="s">
        <v>41</v>
      </c>
      <c r="C2652">
        <v>18.25</v>
      </c>
      <c r="D2652">
        <v>10.01</v>
      </c>
      <c r="E2652" s="27">
        <v>182.3176823</v>
      </c>
      <c r="F2652">
        <v>9.93</v>
      </c>
      <c r="G2652">
        <v>0.6</v>
      </c>
      <c r="H2652">
        <v>10.53</v>
      </c>
      <c r="I2652">
        <v>94.3</v>
      </c>
      <c r="J2652">
        <v>173.31</v>
      </c>
      <c r="K2652" s="9">
        <v>45358</v>
      </c>
      <c r="L2652">
        <f xml:space="preserve"> (交易處理資料__3[[#This Row],[售出工時]] * 60) / 5</f>
        <v>219</v>
      </c>
      <c r="M2652" t="str">
        <f>VLOOKUP(交易處理資料__3[[#This Row],[人員代號]],團隊分組!$B$1:$C$52,2,FALSE)</f>
        <v>快速保養團隊A</v>
      </c>
      <c r="N2652">
        <f>IF(交易處理資料__3[[#This Row],[上班時間]]=0,0,交易處理資料__3[[#This Row],[售出工時]]/交易處理資料__3[[#This Row],[上班時間]])</f>
        <v>1.7331433998100665</v>
      </c>
      <c r="O2652" s="31" t="str">
        <f>IF(交易處理資料__3[[#This Row],[上班時間]]=0,"否","是")</f>
        <v>是</v>
      </c>
    </row>
    <row r="2653" spans="1:15" hidden="1">
      <c r="A2653" t="s">
        <v>75</v>
      </c>
      <c r="B2653" t="s">
        <v>43</v>
      </c>
      <c r="C2653">
        <v>0</v>
      </c>
      <c r="D2653">
        <v>0</v>
      </c>
      <c r="E2653" s="27">
        <v>0</v>
      </c>
      <c r="F2653">
        <v>7.36</v>
      </c>
      <c r="G2653">
        <v>0.71</v>
      </c>
      <c r="H2653">
        <v>8.07</v>
      </c>
      <c r="I2653">
        <v>91.2</v>
      </c>
      <c r="J2653">
        <v>0</v>
      </c>
      <c r="K2653" s="9">
        <v>45358</v>
      </c>
      <c r="L2653">
        <f xml:space="preserve"> (交易處理資料__3[[#This Row],[售出工時]] * 60) / 5</f>
        <v>0</v>
      </c>
      <c r="M2653" t="str">
        <f>VLOOKUP(交易處理資料__3[[#This Row],[人員代號]],團隊分組!$B$1:$C$52,2,FALSE)</f>
        <v>查修團隊B</v>
      </c>
      <c r="N2653">
        <f>IF(交易處理資料__3[[#This Row],[上班時間]]=0,0,交易處理資料__3[[#This Row],[售出工時]]/交易處理資料__3[[#This Row],[上班時間]])</f>
        <v>0</v>
      </c>
      <c r="O2653" s="31" t="str">
        <f>IF(交易處理資料__3[[#This Row],[上班時間]]=0,"否","是")</f>
        <v>是</v>
      </c>
    </row>
    <row r="2654" spans="1:15" hidden="1">
      <c r="A2654" t="s">
        <v>75</v>
      </c>
      <c r="B2654" t="s">
        <v>45</v>
      </c>
      <c r="C2654">
        <v>12.91666667</v>
      </c>
      <c r="D2654">
        <v>6.13</v>
      </c>
      <c r="E2654" s="27">
        <v>210.71234369999999</v>
      </c>
      <c r="F2654">
        <v>7.78</v>
      </c>
      <c r="G2654">
        <v>0.44</v>
      </c>
      <c r="H2654">
        <v>8.2200000000000006</v>
      </c>
      <c r="I2654">
        <v>94.65</v>
      </c>
      <c r="J2654">
        <v>157.13999999999999</v>
      </c>
      <c r="K2654" s="9">
        <v>45358</v>
      </c>
      <c r="L2654">
        <f xml:space="preserve"> (交易處理資料__3[[#This Row],[售出工時]] * 60) / 5</f>
        <v>155.00000003999997</v>
      </c>
      <c r="M2654" t="str">
        <f>VLOOKUP(交易處理資料__3[[#This Row],[人員代號]],團隊分組!$B$1:$C$52,2,FALSE)</f>
        <v>快速保養團隊A</v>
      </c>
      <c r="N2654">
        <f>IF(交易處理資料__3[[#This Row],[上班時間]]=0,0,交易處理資料__3[[#This Row],[售出工時]]/交易處理資料__3[[#This Row],[上班時間]])</f>
        <v>1.5713706411192212</v>
      </c>
      <c r="O2654" s="31" t="str">
        <f>IF(交易處理資料__3[[#This Row],[上班時間]]=0,"否","是")</f>
        <v>是</v>
      </c>
    </row>
    <row r="2655" spans="1:15" hidden="1">
      <c r="A2655" t="s">
        <v>75</v>
      </c>
      <c r="B2655" t="s">
        <v>47</v>
      </c>
      <c r="C2655">
        <v>3.5</v>
      </c>
      <c r="D2655">
        <v>5.2</v>
      </c>
      <c r="E2655" s="27">
        <v>67.307692309999993</v>
      </c>
      <c r="F2655">
        <v>6.65</v>
      </c>
      <c r="G2655">
        <v>1.36</v>
      </c>
      <c r="H2655">
        <v>8.01</v>
      </c>
      <c r="I2655">
        <v>83.02</v>
      </c>
      <c r="J2655">
        <v>43.7</v>
      </c>
      <c r="K2655" s="9">
        <v>45358</v>
      </c>
      <c r="L2655">
        <f xml:space="preserve"> (交易處理資料__3[[#This Row],[售出工時]] * 60) / 5</f>
        <v>42</v>
      </c>
      <c r="M2655" t="str">
        <f>VLOOKUP(交易處理資料__3[[#This Row],[人員代號]],團隊分組!$B$1:$C$52,2,FALSE)</f>
        <v>查修團隊B</v>
      </c>
      <c r="N2655">
        <f>IF(交易處理資料__3[[#This Row],[上班時間]]=0,0,交易處理資料__3[[#This Row],[售出工時]]/交易處理資料__3[[#This Row],[上班時間]])</f>
        <v>0.43695380774032461</v>
      </c>
      <c r="O2655" s="31" t="str">
        <f>IF(交易處理資料__3[[#This Row],[上班時間]]=0,"否","是")</f>
        <v>是</v>
      </c>
    </row>
    <row r="2656" spans="1:15" hidden="1">
      <c r="A2656" t="s">
        <v>75</v>
      </c>
      <c r="B2656" t="s">
        <v>53</v>
      </c>
      <c r="C2656">
        <v>3.0433333330000001</v>
      </c>
      <c r="D2656">
        <v>2.58</v>
      </c>
      <c r="E2656" s="27">
        <v>117.9586563</v>
      </c>
      <c r="F2656">
        <v>8.67</v>
      </c>
      <c r="G2656">
        <v>1.44</v>
      </c>
      <c r="H2656">
        <v>10.11</v>
      </c>
      <c r="I2656">
        <v>85.76</v>
      </c>
      <c r="J2656">
        <v>30.1</v>
      </c>
      <c r="K2656" s="9">
        <v>45358</v>
      </c>
      <c r="L2656">
        <f xml:space="preserve"> (交易處理資料__3[[#This Row],[售出工時]] * 60) / 5</f>
        <v>36.519999996000003</v>
      </c>
      <c r="M2656" t="str">
        <f>VLOOKUP(交易處理資料__3[[#This Row],[人員代號]],團隊分組!$B$1:$C$52,2,FALSE)</f>
        <v>查修團隊A</v>
      </c>
      <c r="N2656">
        <f>IF(交易處理資料__3[[#This Row],[上班時間]]=0,0,交易處理資料__3[[#This Row],[售出工時]]/交易處理資料__3[[#This Row],[上班時間]])</f>
        <v>0.30102209030662713</v>
      </c>
      <c r="O2656" s="31" t="str">
        <f>IF(交易處理資料__3[[#This Row],[上班時間]]=0,"否","是")</f>
        <v>是</v>
      </c>
    </row>
    <row r="2657" spans="1:15" hidden="1">
      <c r="A2657" s="10" t="s">
        <v>73</v>
      </c>
      <c r="B2657" t="s">
        <v>1</v>
      </c>
      <c r="C2657">
        <v>5.0999999999999996</v>
      </c>
      <c r="D2657">
        <v>7.48</v>
      </c>
      <c r="E2657" s="27">
        <v>68.181818179999993</v>
      </c>
      <c r="F2657">
        <v>1.4</v>
      </c>
      <c r="G2657">
        <v>6.64</v>
      </c>
      <c r="H2657">
        <v>8.0399999999999991</v>
      </c>
      <c r="I2657">
        <v>17.41</v>
      </c>
      <c r="J2657">
        <v>63.43</v>
      </c>
      <c r="K2657" s="9">
        <v>45359</v>
      </c>
      <c r="L2657">
        <f xml:space="preserve"> (交易處理資料__3[[#This Row],[售出工時]] * 60) / 5</f>
        <v>61.2</v>
      </c>
      <c r="M2657" t="str">
        <f>VLOOKUP(交易處理資料__3[[#This Row],[人員代號]],團隊分組!$B$1:$C$52,2,FALSE)</f>
        <v>噴漆維修組</v>
      </c>
      <c r="N2657">
        <f>IF(交易處理資料__3[[#This Row],[上班時間]]=0,0,交易處理資料__3[[#This Row],[售出工時]]/交易處理資料__3[[#This Row],[上班時間]])</f>
        <v>0.63432835820895528</v>
      </c>
      <c r="O2657" s="31" t="str">
        <f>IF(交易處理資料__3[[#This Row],[上班時間]]=0,"否","是")</f>
        <v>是</v>
      </c>
    </row>
    <row r="2658" spans="1:15" hidden="1">
      <c r="A2658" s="10" t="s">
        <v>73</v>
      </c>
      <c r="B2658" t="s">
        <v>4</v>
      </c>
      <c r="C2658">
        <v>1.88</v>
      </c>
      <c r="D2658">
        <v>5.56</v>
      </c>
      <c r="E2658" s="27">
        <v>33.812949639999999</v>
      </c>
      <c r="F2658">
        <v>1.42</v>
      </c>
      <c r="G2658">
        <v>6.65</v>
      </c>
      <c r="H2658">
        <v>8.07</v>
      </c>
      <c r="I2658">
        <v>17.600000000000001</v>
      </c>
      <c r="J2658">
        <v>23.3</v>
      </c>
      <c r="K2658" s="9">
        <v>45359</v>
      </c>
      <c r="L2658">
        <f xml:space="preserve"> (交易處理資料__3[[#This Row],[售出工時]] * 60) / 5</f>
        <v>22.56</v>
      </c>
      <c r="M2658" t="str">
        <f>VLOOKUP(交易處理資料__3[[#This Row],[人員代號]],團隊分組!$B$1:$C$52,2,FALSE)</f>
        <v>噴漆維修組</v>
      </c>
      <c r="N2658">
        <f>IF(交易處理資料__3[[#This Row],[上班時間]]=0,0,交易處理資料__3[[#This Row],[售出工時]]/交易處理資料__3[[#This Row],[上班時間]])</f>
        <v>0.23296158612143741</v>
      </c>
      <c r="O2658" s="31" t="str">
        <f>IF(交易處理資料__3[[#This Row],[上班時間]]=0,"否","是")</f>
        <v>是</v>
      </c>
    </row>
    <row r="2659" spans="1:15" hidden="1">
      <c r="A2659" s="10" t="s">
        <v>73</v>
      </c>
      <c r="B2659" t="s">
        <v>8</v>
      </c>
      <c r="C2659">
        <v>1.88</v>
      </c>
      <c r="D2659">
        <v>5.56</v>
      </c>
      <c r="E2659" s="27">
        <v>33.812949639999999</v>
      </c>
      <c r="F2659">
        <v>1.4</v>
      </c>
      <c r="G2659">
        <v>6.67</v>
      </c>
      <c r="H2659">
        <v>8.07</v>
      </c>
      <c r="I2659">
        <v>17.350000000000001</v>
      </c>
      <c r="J2659">
        <v>23.3</v>
      </c>
      <c r="K2659" s="9">
        <v>45359</v>
      </c>
      <c r="L2659">
        <f xml:space="preserve"> (交易處理資料__3[[#This Row],[售出工時]] * 60) / 5</f>
        <v>22.56</v>
      </c>
      <c r="M2659" t="str">
        <f>VLOOKUP(交易處理資料__3[[#This Row],[人員代號]],團隊分組!$B$1:$C$52,2,FALSE)</f>
        <v>噴漆維修組</v>
      </c>
      <c r="N2659">
        <f>IF(交易處理資料__3[[#This Row],[上班時間]]=0,0,交易處理資料__3[[#This Row],[售出工時]]/交易處理資料__3[[#This Row],[上班時間]])</f>
        <v>0.23296158612143741</v>
      </c>
      <c r="O2659" s="31" t="str">
        <f>IF(交易處理資料__3[[#This Row],[上班時間]]=0,"否","是")</f>
        <v>是</v>
      </c>
    </row>
    <row r="2660" spans="1:15" hidden="1">
      <c r="A2660" t="s">
        <v>74</v>
      </c>
      <c r="B2660" t="s">
        <v>11</v>
      </c>
      <c r="C2660">
        <v>0</v>
      </c>
      <c r="D2660">
        <v>0</v>
      </c>
      <c r="E2660" s="27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 s="9">
        <v>45359</v>
      </c>
      <c r="L2660">
        <f xml:space="preserve"> (交易處理資料__3[[#This Row],[售出工時]] * 60) / 5</f>
        <v>0</v>
      </c>
      <c r="M2660" t="str">
        <f>VLOOKUP(交易處理資料__3[[#This Row],[人員代號]],團隊分組!$B$1:$C$52,2,FALSE)</f>
        <v>鈑金維修組</v>
      </c>
      <c r="N2660">
        <f>IF(交易處理資料__3[[#This Row],[上班時間]]=0,0,交易處理資料__3[[#This Row],[售出工時]]/交易處理資料__3[[#This Row],[上班時間]])</f>
        <v>0</v>
      </c>
      <c r="O2660" s="31" t="str">
        <f>IF(交易處理資料__3[[#This Row],[上班時間]]=0,"否","是")</f>
        <v>否</v>
      </c>
    </row>
    <row r="2661" spans="1:15" hidden="1">
      <c r="A2661" t="s">
        <v>74</v>
      </c>
      <c r="B2661" t="s">
        <v>12</v>
      </c>
      <c r="C2661">
        <v>9.8333333330000006</v>
      </c>
      <c r="D2661">
        <v>6.86</v>
      </c>
      <c r="E2661" s="27">
        <v>143.3430515</v>
      </c>
      <c r="F2661">
        <v>7.72</v>
      </c>
      <c r="G2661">
        <v>0.38</v>
      </c>
      <c r="H2661">
        <v>8.1</v>
      </c>
      <c r="I2661">
        <v>95.31</v>
      </c>
      <c r="J2661">
        <v>121.4</v>
      </c>
      <c r="K2661" s="9">
        <v>45359</v>
      </c>
      <c r="L2661">
        <f xml:space="preserve"> (交易處理資料__3[[#This Row],[售出工時]] * 60) / 5</f>
        <v>117.999999996</v>
      </c>
      <c r="M2661" t="str">
        <f>VLOOKUP(交易處理資料__3[[#This Row],[人員代號]],團隊分組!$B$1:$C$52,2,FALSE)</f>
        <v>鈑金維修組</v>
      </c>
      <c r="N2661">
        <f>IF(交易處理資料__3[[#This Row],[上班時間]]=0,0,交易處理資料__3[[#This Row],[售出工時]]/交易處理資料__3[[#This Row],[上班時間]])</f>
        <v>1.213991769506173</v>
      </c>
      <c r="O2661" s="31" t="str">
        <f>IF(交易處理資料__3[[#This Row],[上班時間]]=0,"否","是")</f>
        <v>是</v>
      </c>
    </row>
    <row r="2662" spans="1:15" hidden="1">
      <c r="A2662" t="s">
        <v>74</v>
      </c>
      <c r="B2662" t="s">
        <v>13</v>
      </c>
      <c r="C2662">
        <v>9.7066666670000004</v>
      </c>
      <c r="D2662">
        <v>7.33</v>
      </c>
      <c r="E2662" s="27">
        <v>132.42382900000001</v>
      </c>
      <c r="F2662">
        <v>7.54</v>
      </c>
      <c r="G2662">
        <v>0.52</v>
      </c>
      <c r="H2662">
        <v>8.06</v>
      </c>
      <c r="I2662">
        <v>93.55</v>
      </c>
      <c r="J2662">
        <v>120.43</v>
      </c>
      <c r="K2662" s="9">
        <v>45359</v>
      </c>
      <c r="L2662">
        <f xml:space="preserve"> (交易處理資料__3[[#This Row],[售出工時]] * 60) / 5</f>
        <v>116.480000004</v>
      </c>
      <c r="M2662" t="str">
        <f>VLOOKUP(交易處理資料__3[[#This Row],[人員代號]],團隊分組!$B$1:$C$52,2,FALSE)</f>
        <v>鈑金維修組</v>
      </c>
      <c r="N2662">
        <f>IF(交易處理資料__3[[#This Row],[上班時間]]=0,0,交易處理資料__3[[#This Row],[售出工時]]/交易處理資料__3[[#This Row],[上班時間]])</f>
        <v>1.2043010753101737</v>
      </c>
      <c r="O2662" s="31" t="str">
        <f>IF(交易處理資料__3[[#This Row],[上班時間]]=0,"否","是")</f>
        <v>是</v>
      </c>
    </row>
    <row r="2663" spans="1:15" hidden="1">
      <c r="A2663" t="s">
        <v>74</v>
      </c>
      <c r="B2663" t="s">
        <v>15</v>
      </c>
      <c r="C2663">
        <v>10.286666670000001</v>
      </c>
      <c r="D2663">
        <v>7.82</v>
      </c>
      <c r="E2663" s="27">
        <v>131.54305199999999</v>
      </c>
      <c r="F2663">
        <v>7.55</v>
      </c>
      <c r="G2663">
        <v>0.52</v>
      </c>
      <c r="H2663">
        <v>8.07</v>
      </c>
      <c r="I2663">
        <v>93.56</v>
      </c>
      <c r="J2663">
        <v>127.47</v>
      </c>
      <c r="K2663" s="9">
        <v>45359</v>
      </c>
      <c r="L2663">
        <f xml:space="preserve"> (交易處理資料__3[[#This Row],[售出工時]] * 60) / 5</f>
        <v>123.44000004000002</v>
      </c>
      <c r="M2663" t="str">
        <f>VLOOKUP(交易處理資料__3[[#This Row],[人員代號]],團隊分組!$B$1:$C$52,2,FALSE)</f>
        <v>鈑金維修組</v>
      </c>
      <c r="N2663">
        <f>IF(交易處理資料__3[[#This Row],[上班時間]]=0,0,交易處理資料__3[[#This Row],[售出工時]]/交易處理資料__3[[#This Row],[上班時間]])</f>
        <v>1.2746798847583642</v>
      </c>
      <c r="O2663" s="31" t="str">
        <f>IF(交易處理資料__3[[#This Row],[上班時間]]=0,"否","是")</f>
        <v>是</v>
      </c>
    </row>
    <row r="2664" spans="1:15" hidden="1">
      <c r="A2664" t="s">
        <v>75</v>
      </c>
      <c r="B2664" t="s">
        <v>18</v>
      </c>
      <c r="C2664">
        <v>1.49</v>
      </c>
      <c r="D2664">
        <v>2.62</v>
      </c>
      <c r="E2664" s="27">
        <v>56.870229010000003</v>
      </c>
      <c r="F2664">
        <v>6.94</v>
      </c>
      <c r="G2664">
        <v>1.25</v>
      </c>
      <c r="H2664">
        <v>8.19</v>
      </c>
      <c r="I2664">
        <v>84.74</v>
      </c>
      <c r="J2664">
        <v>18.190000000000001</v>
      </c>
      <c r="K2664" s="9">
        <v>45359</v>
      </c>
      <c r="L2664">
        <f xml:space="preserve"> (交易處理資料__3[[#This Row],[售出工時]] * 60) / 5</f>
        <v>17.880000000000003</v>
      </c>
      <c r="M2664" t="str">
        <f>VLOOKUP(交易處理資料__3[[#This Row],[人員代號]],團隊分組!$B$1:$C$52,2,FALSE)</f>
        <v>查修團隊B</v>
      </c>
      <c r="N2664">
        <f>IF(交易處理資料__3[[#This Row],[上班時間]]=0,0,交易處理資料__3[[#This Row],[售出工時]]/交易處理資料__3[[#This Row],[上班時間]])</f>
        <v>0.18192918192918195</v>
      </c>
      <c r="O2664" s="31" t="str">
        <f>IF(交易處理資料__3[[#This Row],[上班時間]]=0,"否","是")</f>
        <v>是</v>
      </c>
    </row>
    <row r="2665" spans="1:15" hidden="1">
      <c r="A2665" t="s">
        <v>75</v>
      </c>
      <c r="B2665" t="s">
        <v>20</v>
      </c>
      <c r="C2665">
        <v>0</v>
      </c>
      <c r="D2665">
        <v>0</v>
      </c>
      <c r="E2665" s="27">
        <v>0</v>
      </c>
      <c r="F2665">
        <v>1.92</v>
      </c>
      <c r="G2665">
        <v>6.38</v>
      </c>
      <c r="H2665">
        <v>8.3000000000000007</v>
      </c>
      <c r="I2665">
        <v>23.13</v>
      </c>
      <c r="J2665">
        <v>0</v>
      </c>
      <c r="K2665" s="9">
        <v>45359</v>
      </c>
      <c r="L2665">
        <f xml:space="preserve"> (交易處理資料__3[[#This Row],[售出工時]] * 60) / 5</f>
        <v>0</v>
      </c>
      <c r="M2665" t="str">
        <f>VLOOKUP(交易處理資料__3[[#This Row],[人員代號]],團隊分組!$B$1:$C$52,2,FALSE)</f>
        <v>查修團隊B</v>
      </c>
      <c r="N2665">
        <f>IF(交易處理資料__3[[#This Row],[上班時間]]=0,0,交易處理資料__3[[#This Row],[售出工時]]/交易處理資料__3[[#This Row],[上班時間]])</f>
        <v>0</v>
      </c>
      <c r="O2665" s="31" t="str">
        <f>IF(交易處理資料__3[[#This Row],[上班時間]]=0,"否","是")</f>
        <v>是</v>
      </c>
    </row>
    <row r="2666" spans="1:15" hidden="1">
      <c r="A2666" t="s">
        <v>75</v>
      </c>
      <c r="B2666" t="s">
        <v>24</v>
      </c>
      <c r="C2666">
        <v>11.33333333</v>
      </c>
      <c r="D2666">
        <v>6.61</v>
      </c>
      <c r="E2666" s="27">
        <v>171.45738779999999</v>
      </c>
      <c r="F2666">
        <v>6.86</v>
      </c>
      <c r="G2666">
        <v>1.03</v>
      </c>
      <c r="H2666">
        <v>7.89</v>
      </c>
      <c r="I2666">
        <v>86.95</v>
      </c>
      <c r="J2666">
        <v>143.63999999999999</v>
      </c>
      <c r="K2666" s="9">
        <v>45359</v>
      </c>
      <c r="L2666">
        <f xml:space="preserve"> (交易處理資料__3[[#This Row],[售出工時]] * 60) / 5</f>
        <v>135.99999996000003</v>
      </c>
      <c r="M2666" t="str">
        <f>VLOOKUP(交易處理資料__3[[#This Row],[人員代號]],團隊分組!$B$1:$C$52,2,FALSE)</f>
        <v>快速保養團隊A</v>
      </c>
      <c r="N2666">
        <f>IF(交易處理資料__3[[#This Row],[上班時間]]=0,0,交易處理資料__3[[#This Row],[售出工時]]/交易處理資料__3[[#This Row],[上班時間]])</f>
        <v>1.4364174055766794</v>
      </c>
      <c r="O2666" s="31" t="str">
        <f>IF(交易處理資料__3[[#This Row],[上班時間]]=0,"否","是")</f>
        <v>是</v>
      </c>
    </row>
    <row r="2667" spans="1:15" hidden="1">
      <c r="A2667" t="s">
        <v>75</v>
      </c>
      <c r="B2667" t="s">
        <v>26</v>
      </c>
      <c r="C2667">
        <v>0.99</v>
      </c>
      <c r="D2667">
        <v>3.17</v>
      </c>
      <c r="E2667" s="27">
        <v>31.230283910000001</v>
      </c>
      <c r="F2667">
        <v>3.08</v>
      </c>
      <c r="G2667">
        <v>5.1100000000000003</v>
      </c>
      <c r="H2667">
        <v>8.19</v>
      </c>
      <c r="I2667">
        <v>37.61</v>
      </c>
      <c r="J2667">
        <v>12.09</v>
      </c>
      <c r="K2667" s="9">
        <v>45359</v>
      </c>
      <c r="L2667">
        <f xml:space="preserve"> (交易處理資料__3[[#This Row],[售出工時]] * 60) / 5</f>
        <v>11.879999999999999</v>
      </c>
      <c r="M2667" t="str">
        <f>VLOOKUP(交易處理資料__3[[#This Row],[人員代號]],團隊分組!$B$1:$C$52,2,FALSE)</f>
        <v>查修團隊B</v>
      </c>
      <c r="N2667">
        <f>IF(交易處理資料__3[[#This Row],[上班時間]]=0,0,交易處理資料__3[[#This Row],[售出工時]]/交易處理資料__3[[#This Row],[上班時間]])</f>
        <v>0.12087912087912088</v>
      </c>
      <c r="O2667" s="31" t="str">
        <f>IF(交易處理資料__3[[#This Row],[上班時間]]=0,"否","是")</f>
        <v>是</v>
      </c>
    </row>
    <row r="2668" spans="1:15" hidden="1">
      <c r="A2668" t="s">
        <v>75</v>
      </c>
      <c r="B2668" t="s">
        <v>28</v>
      </c>
      <c r="C2668">
        <v>12.16666667</v>
      </c>
      <c r="D2668">
        <v>5.99</v>
      </c>
      <c r="E2668" s="27">
        <v>203.11630500000001</v>
      </c>
      <c r="F2668">
        <v>5.99</v>
      </c>
      <c r="G2668">
        <v>2</v>
      </c>
      <c r="H2668">
        <v>7.99</v>
      </c>
      <c r="I2668">
        <v>74.97</v>
      </c>
      <c r="J2668">
        <v>152.27000000000001</v>
      </c>
      <c r="K2668" s="9">
        <v>45359</v>
      </c>
      <c r="L2668">
        <f xml:space="preserve"> (交易處理資料__3[[#This Row],[售出工時]] * 60) / 5</f>
        <v>146.00000003999997</v>
      </c>
      <c r="M2668" t="str">
        <f>VLOOKUP(交易處理資料__3[[#This Row],[人員代號]],團隊分組!$B$1:$C$52,2,FALSE)</f>
        <v>快速保養團隊A</v>
      </c>
      <c r="N2668">
        <f>IF(交易處理資料__3[[#This Row],[上班時間]]=0,0,交易處理資料__3[[#This Row],[售出工時]]/交易處理資料__3[[#This Row],[上班時間]])</f>
        <v>1.5227367546933666</v>
      </c>
      <c r="O2668" s="31" t="str">
        <f>IF(交易處理資料__3[[#This Row],[上班時間]]=0,"否","是")</f>
        <v>是</v>
      </c>
    </row>
    <row r="2669" spans="1:15" hidden="1">
      <c r="A2669" t="s">
        <v>75</v>
      </c>
      <c r="B2669" t="s">
        <v>30</v>
      </c>
      <c r="C2669">
        <v>11.71666667</v>
      </c>
      <c r="D2669">
        <v>5.7</v>
      </c>
      <c r="E2669" s="27">
        <v>205.55555559999999</v>
      </c>
      <c r="F2669">
        <v>6.69</v>
      </c>
      <c r="G2669">
        <v>1.3</v>
      </c>
      <c r="H2669">
        <v>7.99</v>
      </c>
      <c r="I2669">
        <v>83.73</v>
      </c>
      <c r="J2669">
        <v>146.63999999999999</v>
      </c>
      <c r="K2669" s="9">
        <v>45359</v>
      </c>
      <c r="L2669">
        <f xml:space="preserve"> (交易處理資料__3[[#This Row],[售出工時]] * 60) / 5</f>
        <v>140.60000004</v>
      </c>
      <c r="M2669" t="str">
        <f>VLOOKUP(交易處理資料__3[[#This Row],[人員代號]],團隊分組!$B$1:$C$52,2,FALSE)</f>
        <v>快速保養團隊B</v>
      </c>
      <c r="N2669">
        <f>IF(交易處理資料__3[[#This Row],[上班時間]]=0,0,交易處理資料__3[[#This Row],[售出工時]]/交易處理資料__3[[#This Row],[上班時間]])</f>
        <v>1.4664163541927409</v>
      </c>
      <c r="O2669" s="31" t="str">
        <f>IF(交易處理資料__3[[#This Row],[上班時間]]=0,"否","是")</f>
        <v>是</v>
      </c>
    </row>
    <row r="2670" spans="1:15">
      <c r="A2670" t="s">
        <v>75</v>
      </c>
      <c r="B2670" t="s">
        <v>33</v>
      </c>
      <c r="C2670">
        <v>7.02</v>
      </c>
      <c r="D2670">
        <v>7.13</v>
      </c>
      <c r="E2670" s="27">
        <v>98.457222999999999</v>
      </c>
      <c r="F2670">
        <v>8.2899999999999991</v>
      </c>
      <c r="G2670">
        <v>1.32</v>
      </c>
      <c r="H2670">
        <v>9.61</v>
      </c>
      <c r="I2670">
        <v>86.26</v>
      </c>
      <c r="J2670">
        <v>73.05</v>
      </c>
      <c r="K2670" s="9">
        <v>45359</v>
      </c>
      <c r="L2670">
        <f xml:space="preserve"> (交易處理資料__3[[#This Row],[售出工時]] * 60) / 5</f>
        <v>84.24</v>
      </c>
      <c r="M2670" t="str">
        <f>VLOOKUP(交易處理資料__3[[#This Row],[人員代號]],團隊分組!$B$1:$C$52,2,FALSE)</f>
        <v>快速保養團隊B</v>
      </c>
      <c r="N2670">
        <f>IF(交易處理資料__3[[#This Row],[上班時間]]=0,0,交易處理資料__3[[#This Row],[售出工時]]/交易處理資料__3[[#This Row],[上班時間]])</f>
        <v>0.73048907388137352</v>
      </c>
      <c r="O2670" s="31" t="str">
        <f>IF(交易處理資料__3[[#This Row],[上班時間]]=0,"否","是")</f>
        <v>是</v>
      </c>
    </row>
    <row r="2671" spans="1:15" hidden="1">
      <c r="A2671" t="s">
        <v>75</v>
      </c>
      <c r="B2671" t="s">
        <v>35</v>
      </c>
      <c r="C2671">
        <v>8.3333332999999996E-2</v>
      </c>
      <c r="D2671">
        <v>1.02</v>
      </c>
      <c r="E2671" s="27">
        <v>8.1699346409999993</v>
      </c>
      <c r="F2671">
        <v>6.47</v>
      </c>
      <c r="G2671">
        <v>1.82</v>
      </c>
      <c r="H2671">
        <v>8.2899999999999991</v>
      </c>
      <c r="I2671">
        <v>78.05</v>
      </c>
      <c r="J2671">
        <v>1.01</v>
      </c>
      <c r="K2671" s="9">
        <v>45359</v>
      </c>
      <c r="L2671">
        <f xml:space="preserve"> (交易處理資料__3[[#This Row],[售出工時]] * 60) / 5</f>
        <v>0.999999996</v>
      </c>
      <c r="M2671" t="str">
        <f>VLOOKUP(交易處理資料__3[[#This Row],[人員代號]],團隊分組!$B$1:$C$52,2,FALSE)</f>
        <v>查修團隊B</v>
      </c>
      <c r="N2671">
        <f>IF(交易處理資料__3[[#This Row],[上班時間]]=0,0,交易處理資料__3[[#This Row],[售出工時]]/交易處理資料__3[[#This Row],[上班時間]])</f>
        <v>1.0052271773220748E-2</v>
      </c>
      <c r="O2671" s="31" t="str">
        <f>IF(交易處理資料__3[[#This Row],[上班時間]]=0,"否","是")</f>
        <v>是</v>
      </c>
    </row>
    <row r="2672" spans="1:15" hidden="1">
      <c r="A2672" t="s">
        <v>75</v>
      </c>
      <c r="B2672" t="s">
        <v>36</v>
      </c>
      <c r="C2672">
        <v>3.9266666670000001</v>
      </c>
      <c r="D2672">
        <v>4.9400000000000004</v>
      </c>
      <c r="E2672" s="27">
        <v>79.487179490000003</v>
      </c>
      <c r="F2672">
        <v>7.84</v>
      </c>
      <c r="G2672">
        <v>0.38</v>
      </c>
      <c r="H2672">
        <v>8.2200000000000006</v>
      </c>
      <c r="I2672">
        <v>95.38</v>
      </c>
      <c r="J2672">
        <v>47.77</v>
      </c>
      <c r="K2672" s="9">
        <v>45359</v>
      </c>
      <c r="L2672">
        <f xml:space="preserve"> (交易處理資料__3[[#This Row],[售出工時]] * 60) / 5</f>
        <v>47.120000004000005</v>
      </c>
      <c r="M2672" t="str">
        <f>VLOOKUP(交易處理資料__3[[#This Row],[人員代號]],團隊分組!$B$1:$C$52,2,FALSE)</f>
        <v>查修團隊B</v>
      </c>
      <c r="N2672">
        <f>IF(交易處理資料__3[[#This Row],[上班時間]]=0,0,交易處理資料__3[[#This Row],[售出工時]]/交易處理資料__3[[#This Row],[上班時間]])</f>
        <v>0.47769667481751821</v>
      </c>
      <c r="O2672" s="31" t="str">
        <f>IF(交易處理資料__3[[#This Row],[上班時間]]=0,"否","是")</f>
        <v>是</v>
      </c>
    </row>
    <row r="2673" spans="1:15" hidden="1">
      <c r="A2673" t="s">
        <v>75</v>
      </c>
      <c r="B2673" t="s">
        <v>37</v>
      </c>
      <c r="C2673">
        <v>5.5</v>
      </c>
      <c r="D2673">
        <v>4.6900000000000004</v>
      </c>
      <c r="E2673" s="27">
        <v>117.2707889</v>
      </c>
      <c r="F2673">
        <v>4.32</v>
      </c>
      <c r="G2673">
        <v>3.81</v>
      </c>
      <c r="H2673">
        <v>8.1300000000000008</v>
      </c>
      <c r="I2673">
        <v>53.14</v>
      </c>
      <c r="J2673">
        <v>67.650000000000006</v>
      </c>
      <c r="K2673" s="9">
        <v>45359</v>
      </c>
      <c r="L2673">
        <f xml:space="preserve"> (交易處理資料__3[[#This Row],[售出工時]] * 60) / 5</f>
        <v>66</v>
      </c>
      <c r="M2673" t="str">
        <f>VLOOKUP(交易處理資料__3[[#This Row],[人員代號]],團隊分組!$B$1:$C$52,2,FALSE)</f>
        <v>查修團隊A</v>
      </c>
      <c r="N2673">
        <f>IF(交易處理資料__3[[#This Row],[上班時間]]=0,0,交易處理資料__3[[#This Row],[售出工時]]/交易處理資料__3[[#This Row],[上班時間]])</f>
        <v>0.67650676506765062</v>
      </c>
      <c r="O2673" s="31" t="str">
        <f>IF(交易處理資料__3[[#This Row],[上班時間]]=0,"否","是")</f>
        <v>是</v>
      </c>
    </row>
    <row r="2674" spans="1:15" hidden="1">
      <c r="A2674" t="s">
        <v>75</v>
      </c>
      <c r="B2674" t="s">
        <v>38</v>
      </c>
      <c r="C2674">
        <v>12.58333333</v>
      </c>
      <c r="D2674">
        <v>7.93</v>
      </c>
      <c r="E2674" s="27">
        <v>158.68011770000001</v>
      </c>
      <c r="F2674">
        <v>7.12</v>
      </c>
      <c r="G2674">
        <v>1.1000000000000001</v>
      </c>
      <c r="H2674">
        <v>8.2200000000000006</v>
      </c>
      <c r="I2674">
        <v>86.62</v>
      </c>
      <c r="J2674">
        <v>153.08000000000001</v>
      </c>
      <c r="K2674" s="9">
        <v>45359</v>
      </c>
      <c r="L2674">
        <f xml:space="preserve"> (交易處理資料__3[[#This Row],[售出工時]] * 60) / 5</f>
        <v>150.99999996000003</v>
      </c>
      <c r="M2674" t="str">
        <f>VLOOKUP(交易處理資料__3[[#This Row],[人員代號]],團隊分組!$B$1:$C$52,2,FALSE)</f>
        <v>快速保養團隊A</v>
      </c>
      <c r="N2674">
        <f>IF(交易處理資料__3[[#This Row],[上班時間]]=0,0,交易處理資料__3[[#This Row],[售出工時]]/交易處理資料__3[[#This Row],[上班時間]])</f>
        <v>1.5308191399026763</v>
      </c>
      <c r="O2674" s="31" t="str">
        <f>IF(交易處理資料__3[[#This Row],[上班時間]]=0,"否","是")</f>
        <v>是</v>
      </c>
    </row>
    <row r="2675" spans="1:15" hidden="1">
      <c r="A2675" t="s">
        <v>75</v>
      </c>
      <c r="B2675" t="s">
        <v>39</v>
      </c>
      <c r="C2675">
        <v>2.91</v>
      </c>
      <c r="D2675">
        <v>1.83</v>
      </c>
      <c r="E2675" s="27">
        <v>159.0163934</v>
      </c>
      <c r="F2675">
        <v>3.58</v>
      </c>
      <c r="G2675">
        <v>4.58</v>
      </c>
      <c r="H2675">
        <v>8.16</v>
      </c>
      <c r="I2675">
        <v>43.87</v>
      </c>
      <c r="J2675">
        <v>35.659999999999997</v>
      </c>
      <c r="K2675" s="9">
        <v>45359</v>
      </c>
      <c r="L2675">
        <f xml:space="preserve"> (交易處理資料__3[[#This Row],[售出工時]] * 60) / 5</f>
        <v>34.92</v>
      </c>
      <c r="M2675" t="str">
        <f>VLOOKUP(交易處理資料__3[[#This Row],[人員代號]],團隊分組!$B$1:$C$52,2,FALSE)</f>
        <v>查修團隊A</v>
      </c>
      <c r="N2675">
        <f>IF(交易處理資料__3[[#This Row],[上班時間]]=0,0,交易處理資料__3[[#This Row],[售出工時]]/交易處理資料__3[[#This Row],[上班時間]])</f>
        <v>0.35661764705882354</v>
      </c>
      <c r="O2675" s="31" t="str">
        <f>IF(交易處理資料__3[[#This Row],[上班時間]]=0,"否","是")</f>
        <v>是</v>
      </c>
    </row>
    <row r="2676" spans="1:15" hidden="1">
      <c r="A2676" t="s">
        <v>75</v>
      </c>
      <c r="B2676" t="s">
        <v>40</v>
      </c>
      <c r="C2676">
        <v>4.5833333329999997</v>
      </c>
      <c r="D2676">
        <v>5.18</v>
      </c>
      <c r="E2676" s="27">
        <v>88.481338480000005</v>
      </c>
      <c r="F2676">
        <v>6.37</v>
      </c>
      <c r="G2676">
        <v>1.78</v>
      </c>
      <c r="H2676">
        <v>8.15</v>
      </c>
      <c r="I2676">
        <v>78.16</v>
      </c>
      <c r="J2676">
        <v>56.24</v>
      </c>
      <c r="K2676" s="9">
        <v>45359</v>
      </c>
      <c r="L2676">
        <f xml:space="preserve"> (交易處理資料__3[[#This Row],[售出工時]] * 60) / 5</f>
        <v>54.999999996</v>
      </c>
      <c r="M2676" t="str">
        <f>VLOOKUP(交易處理資料__3[[#This Row],[人員代號]],團隊分組!$B$1:$C$52,2,FALSE)</f>
        <v>查修團隊A</v>
      </c>
      <c r="N2676">
        <f>IF(交易處理資料__3[[#This Row],[上班時間]]=0,0,交易處理資料__3[[#This Row],[售出工時]]/交易處理資料__3[[#This Row],[上班時間]])</f>
        <v>0.56237218809815948</v>
      </c>
      <c r="O2676" s="31" t="str">
        <f>IF(交易處理資料__3[[#This Row],[上班時間]]=0,"否","是")</f>
        <v>是</v>
      </c>
    </row>
    <row r="2677" spans="1:15" hidden="1">
      <c r="A2677" t="s">
        <v>75</v>
      </c>
      <c r="B2677" t="s">
        <v>43</v>
      </c>
      <c r="C2677">
        <v>5.25</v>
      </c>
      <c r="D2677">
        <v>7.07</v>
      </c>
      <c r="E2677" s="27">
        <v>74.257425740000002</v>
      </c>
      <c r="F2677">
        <v>8.06</v>
      </c>
      <c r="G2677">
        <v>0.17</v>
      </c>
      <c r="H2677">
        <v>8.23</v>
      </c>
      <c r="I2677">
        <v>97.93</v>
      </c>
      <c r="J2677">
        <v>63.79</v>
      </c>
      <c r="K2677" s="9">
        <v>45359</v>
      </c>
      <c r="L2677">
        <f xml:space="preserve"> (交易處理資料__3[[#This Row],[售出工時]] * 60) / 5</f>
        <v>63</v>
      </c>
      <c r="M2677" t="str">
        <f>VLOOKUP(交易處理資料__3[[#This Row],[人員代號]],團隊分組!$B$1:$C$52,2,FALSE)</f>
        <v>查修團隊B</v>
      </c>
      <c r="N2677">
        <f>IF(交易處理資料__3[[#This Row],[上班時間]]=0,0,交易處理資料__3[[#This Row],[售出工時]]/交易處理資料__3[[#This Row],[上班時間]])</f>
        <v>0.63791008505467794</v>
      </c>
      <c r="O2677" s="31" t="str">
        <f>IF(交易處理資料__3[[#This Row],[上班時間]]=0,"否","是")</f>
        <v>是</v>
      </c>
    </row>
    <row r="2678" spans="1:15" hidden="1">
      <c r="A2678" t="s">
        <v>75</v>
      </c>
      <c r="B2678" t="s">
        <v>45</v>
      </c>
      <c r="C2678">
        <v>15.473333330000001</v>
      </c>
      <c r="D2678">
        <v>7.61</v>
      </c>
      <c r="E2678" s="27">
        <v>203.32895310000001</v>
      </c>
      <c r="F2678">
        <v>6.03</v>
      </c>
      <c r="G2678">
        <v>2.12</v>
      </c>
      <c r="H2678">
        <v>8.15</v>
      </c>
      <c r="I2678">
        <v>73.989999999999995</v>
      </c>
      <c r="J2678">
        <v>189.86</v>
      </c>
      <c r="K2678" s="9">
        <v>45359</v>
      </c>
      <c r="L2678">
        <f xml:space="preserve"> (交易處理資料__3[[#This Row],[售出工時]] * 60) / 5</f>
        <v>185.67999996</v>
      </c>
      <c r="M2678" t="str">
        <f>VLOOKUP(交易處理資料__3[[#This Row],[人員代號]],團隊分組!$B$1:$C$52,2,FALSE)</f>
        <v>快速保養團隊A</v>
      </c>
      <c r="N2678">
        <f>IF(交易處理資料__3[[#This Row],[上班時間]]=0,0,交易處理資料__3[[#This Row],[售出工時]]/交易處理資料__3[[#This Row],[上班時間]])</f>
        <v>1.8985685067484663</v>
      </c>
      <c r="O2678" s="31" t="str">
        <f>IF(交易處理資料__3[[#This Row],[上班時間]]=0,"否","是")</f>
        <v>是</v>
      </c>
    </row>
    <row r="2679" spans="1:15" hidden="1">
      <c r="A2679" t="s">
        <v>75</v>
      </c>
      <c r="B2679" t="s">
        <v>47</v>
      </c>
      <c r="C2679">
        <v>2.5</v>
      </c>
      <c r="D2679">
        <v>4.05</v>
      </c>
      <c r="E2679" s="27">
        <v>61.728395059999997</v>
      </c>
      <c r="F2679">
        <v>6.05</v>
      </c>
      <c r="G2679">
        <v>2.13</v>
      </c>
      <c r="H2679">
        <v>8.18</v>
      </c>
      <c r="I2679">
        <v>73.959999999999994</v>
      </c>
      <c r="J2679">
        <v>30.56</v>
      </c>
      <c r="K2679" s="9">
        <v>45359</v>
      </c>
      <c r="L2679">
        <f xml:space="preserve"> (交易處理資料__3[[#This Row],[售出工時]] * 60) / 5</f>
        <v>30</v>
      </c>
      <c r="M2679" t="str">
        <f>VLOOKUP(交易處理資料__3[[#This Row],[人員代號]],團隊分組!$B$1:$C$52,2,FALSE)</f>
        <v>查修團隊B</v>
      </c>
      <c r="N2679">
        <f>IF(交易處理資料__3[[#This Row],[上班時間]]=0,0,交易處理資料__3[[#This Row],[售出工時]]/交易處理資料__3[[#This Row],[上班時間]])</f>
        <v>0.30562347188264061</v>
      </c>
      <c r="O2679" s="31" t="str">
        <f>IF(交易處理資料__3[[#This Row],[上班時間]]=0,"否","是")</f>
        <v>是</v>
      </c>
    </row>
    <row r="2680" spans="1:15" hidden="1">
      <c r="A2680" t="s">
        <v>75</v>
      </c>
      <c r="B2680" t="s">
        <v>49</v>
      </c>
      <c r="C2680">
        <v>4.346666667</v>
      </c>
      <c r="D2680">
        <v>4.54</v>
      </c>
      <c r="E2680" s="27">
        <v>95.741556529999997</v>
      </c>
      <c r="F2680">
        <v>8.15</v>
      </c>
      <c r="G2680">
        <v>0.02</v>
      </c>
      <c r="H2680">
        <v>8.17</v>
      </c>
      <c r="I2680">
        <v>99.76</v>
      </c>
      <c r="J2680">
        <v>53.2</v>
      </c>
      <c r="K2680" s="9">
        <v>45359</v>
      </c>
      <c r="L2680">
        <f xml:space="preserve"> (交易處理資料__3[[#This Row],[售出工時]] * 60) / 5</f>
        <v>52.160000004000004</v>
      </c>
      <c r="M2680" t="str">
        <f>VLOOKUP(交易處理資料__3[[#This Row],[人員代號]],團隊分組!$B$1:$C$52,2,FALSE)</f>
        <v>查修團隊A</v>
      </c>
      <c r="N2680">
        <f>IF(交易處理資料__3[[#This Row],[上班時間]]=0,0,交易處理資料__3[[#This Row],[售出工時]]/交易處理資料__3[[#This Row],[上班時間]])</f>
        <v>0.53202774381884943</v>
      </c>
      <c r="O2680" s="31" t="str">
        <f>IF(交易處理資料__3[[#This Row],[上班時間]]=0,"否","是")</f>
        <v>是</v>
      </c>
    </row>
    <row r="2681" spans="1:15" hidden="1">
      <c r="A2681" t="s">
        <v>75</v>
      </c>
      <c r="B2681" t="s">
        <v>50</v>
      </c>
      <c r="C2681">
        <v>5.0999999999999996</v>
      </c>
      <c r="D2681">
        <v>4.96</v>
      </c>
      <c r="E2681" s="27">
        <v>102.82258059999999</v>
      </c>
      <c r="F2681">
        <v>7.94</v>
      </c>
      <c r="G2681">
        <v>7.0000000000000007E-2</v>
      </c>
      <c r="H2681">
        <v>8.01</v>
      </c>
      <c r="I2681">
        <v>99.13</v>
      </c>
      <c r="J2681">
        <v>63.67</v>
      </c>
      <c r="K2681" s="9">
        <v>45359</v>
      </c>
      <c r="L2681">
        <f xml:space="preserve"> (交易處理資料__3[[#This Row],[售出工時]] * 60) / 5</f>
        <v>61.2</v>
      </c>
      <c r="M2681" t="str">
        <f>VLOOKUP(交易處理資料__3[[#This Row],[人員代號]],團隊分組!$B$1:$C$52,2,FALSE)</f>
        <v>快速保養團隊B</v>
      </c>
      <c r="N2681">
        <f>IF(交易處理資料__3[[#This Row],[上班時間]]=0,0,交易處理資料__3[[#This Row],[售出工時]]/交易處理資料__3[[#This Row],[上班時間]])</f>
        <v>0.63670411985018727</v>
      </c>
      <c r="O2681" s="31" t="str">
        <f>IF(交易處理資料__3[[#This Row],[上班時間]]=0,"否","是")</f>
        <v>是</v>
      </c>
    </row>
    <row r="2682" spans="1:15" hidden="1">
      <c r="A2682" t="s">
        <v>75</v>
      </c>
      <c r="B2682" t="s">
        <v>51</v>
      </c>
      <c r="C2682">
        <v>0</v>
      </c>
      <c r="D2682">
        <v>0</v>
      </c>
      <c r="E2682" s="27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 s="9">
        <v>45359</v>
      </c>
      <c r="L2682">
        <f xml:space="preserve"> (交易處理資料__3[[#This Row],[售出工時]] * 60) / 5</f>
        <v>0</v>
      </c>
      <c r="M2682" t="str">
        <f>VLOOKUP(交易處理資料__3[[#This Row],[人員代號]],團隊分組!$B$1:$C$52,2,FALSE)</f>
        <v>無效數據</v>
      </c>
      <c r="N2682">
        <f>IF(交易處理資料__3[[#This Row],[上班時間]]=0,0,交易處理資料__3[[#This Row],[售出工時]]/交易處理資料__3[[#This Row],[上班時間]])</f>
        <v>0</v>
      </c>
      <c r="O2682" s="31" t="str">
        <f>IF(交易處理資料__3[[#This Row],[上班時間]]=0,"否","是")</f>
        <v>否</v>
      </c>
    </row>
    <row r="2683" spans="1:15" hidden="1">
      <c r="A2683" s="10" t="s">
        <v>73</v>
      </c>
      <c r="B2683" t="s">
        <v>2</v>
      </c>
      <c r="C2683">
        <v>0</v>
      </c>
      <c r="D2683">
        <v>0</v>
      </c>
      <c r="E2683" s="27">
        <v>0</v>
      </c>
      <c r="F2683">
        <v>4.3</v>
      </c>
      <c r="G2683">
        <v>4.01</v>
      </c>
      <c r="H2683">
        <v>8.31</v>
      </c>
      <c r="I2683">
        <v>51.74</v>
      </c>
      <c r="J2683">
        <v>0</v>
      </c>
      <c r="K2683" s="9">
        <v>45360</v>
      </c>
      <c r="L2683">
        <f xml:space="preserve"> (交易處理資料__3[[#This Row],[售出工時]] * 60) / 5</f>
        <v>0</v>
      </c>
      <c r="M2683" t="str">
        <f>VLOOKUP(交易處理資料__3[[#This Row],[人員代號]],團隊分組!$B$1:$C$52,2,FALSE)</f>
        <v>噴漆維修組</v>
      </c>
      <c r="N2683">
        <f>IF(交易處理資料__3[[#This Row],[上班時間]]=0,0,交易處理資料__3[[#This Row],[售出工時]]/交易處理資料__3[[#This Row],[上班時間]])</f>
        <v>0</v>
      </c>
      <c r="O2683" s="31" t="str">
        <f>IF(交易處理資料__3[[#This Row],[上班時間]]=0,"否","是")</f>
        <v>是</v>
      </c>
    </row>
    <row r="2684" spans="1:15" hidden="1">
      <c r="A2684" s="10" t="s">
        <v>73</v>
      </c>
      <c r="B2684" t="s">
        <v>3</v>
      </c>
      <c r="C2684">
        <v>0</v>
      </c>
      <c r="D2684">
        <v>0</v>
      </c>
      <c r="E2684" s="27">
        <v>0</v>
      </c>
      <c r="F2684">
        <v>4.3</v>
      </c>
      <c r="G2684">
        <v>4.01</v>
      </c>
      <c r="H2684">
        <v>8.31</v>
      </c>
      <c r="I2684">
        <v>51.74</v>
      </c>
      <c r="J2684">
        <v>0</v>
      </c>
      <c r="K2684" s="9">
        <v>45360</v>
      </c>
      <c r="L2684">
        <f xml:space="preserve"> (交易處理資料__3[[#This Row],[售出工時]] * 60) / 5</f>
        <v>0</v>
      </c>
      <c r="M2684" t="str">
        <f>VLOOKUP(交易處理資料__3[[#This Row],[人員代號]],團隊分組!$B$1:$C$52,2,FALSE)</f>
        <v>噴漆維修組</v>
      </c>
      <c r="N2684">
        <f>IF(交易處理資料__3[[#This Row],[上班時間]]=0,0,交易處理資料__3[[#This Row],[售出工時]]/交易處理資料__3[[#This Row],[上班時間]])</f>
        <v>0</v>
      </c>
      <c r="O2684" s="31" t="str">
        <f>IF(交易處理資料__3[[#This Row],[上班時間]]=0,"否","是")</f>
        <v>是</v>
      </c>
    </row>
    <row r="2685" spans="1:15" hidden="1">
      <c r="A2685" s="10" t="s">
        <v>73</v>
      </c>
      <c r="B2685" t="s">
        <v>4</v>
      </c>
      <c r="C2685">
        <v>0</v>
      </c>
      <c r="D2685">
        <v>0</v>
      </c>
      <c r="E2685" s="27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 s="9">
        <v>45360</v>
      </c>
      <c r="L2685">
        <f xml:space="preserve"> (交易處理資料__3[[#This Row],[售出工時]] * 60) / 5</f>
        <v>0</v>
      </c>
      <c r="M2685" t="str">
        <f>VLOOKUP(交易處理資料__3[[#This Row],[人員代號]],團隊分組!$B$1:$C$52,2,FALSE)</f>
        <v>噴漆維修組</v>
      </c>
      <c r="N2685">
        <f>IF(交易處理資料__3[[#This Row],[上班時間]]=0,0,交易處理資料__3[[#This Row],[售出工時]]/交易處理資料__3[[#This Row],[上班時間]])</f>
        <v>0</v>
      </c>
      <c r="O2685" s="31" t="str">
        <f>IF(交易處理資料__3[[#This Row],[上班時間]]=0,"否","是")</f>
        <v>否</v>
      </c>
    </row>
    <row r="2686" spans="1:15" hidden="1">
      <c r="A2686" s="10" t="s">
        <v>73</v>
      </c>
      <c r="B2686" t="s">
        <v>5</v>
      </c>
      <c r="C2686">
        <v>0</v>
      </c>
      <c r="D2686">
        <v>0</v>
      </c>
      <c r="E2686" s="27">
        <v>0</v>
      </c>
      <c r="F2686">
        <v>4.32</v>
      </c>
      <c r="G2686">
        <v>4</v>
      </c>
      <c r="H2686">
        <v>8.32</v>
      </c>
      <c r="I2686">
        <v>51.92</v>
      </c>
      <c r="J2686">
        <v>0</v>
      </c>
      <c r="K2686" s="9">
        <v>45360</v>
      </c>
      <c r="L2686">
        <f xml:space="preserve"> (交易處理資料__3[[#This Row],[售出工時]] * 60) / 5</f>
        <v>0</v>
      </c>
      <c r="M2686" t="str">
        <f>VLOOKUP(交易處理資料__3[[#This Row],[人員代號]],團隊分組!$B$1:$C$52,2,FALSE)</f>
        <v>噴漆維修組</v>
      </c>
      <c r="N2686">
        <f>IF(交易處理資料__3[[#This Row],[上班時間]]=0,0,交易處理資料__3[[#This Row],[售出工時]]/交易處理資料__3[[#This Row],[上班時間]])</f>
        <v>0</v>
      </c>
      <c r="O2686" s="31" t="str">
        <f>IF(交易處理資料__3[[#This Row],[上班時間]]=0,"否","是")</f>
        <v>是</v>
      </c>
    </row>
    <row r="2687" spans="1:15" hidden="1">
      <c r="A2687" s="10" t="s">
        <v>73</v>
      </c>
      <c r="B2687" t="s">
        <v>6</v>
      </c>
      <c r="C2687">
        <v>0</v>
      </c>
      <c r="D2687">
        <v>0</v>
      </c>
      <c r="E2687" s="2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 s="9">
        <v>45360</v>
      </c>
      <c r="L2687">
        <f xml:space="preserve"> (交易處理資料__3[[#This Row],[售出工時]] * 60) / 5</f>
        <v>0</v>
      </c>
      <c r="M2687" t="str">
        <f>VLOOKUP(交易處理資料__3[[#This Row],[人員代號]],團隊分組!$B$1:$C$52,2,FALSE)</f>
        <v>噴漆維修組</v>
      </c>
      <c r="N2687">
        <f>IF(交易處理資料__3[[#This Row],[上班時間]]=0,0,交易處理資料__3[[#This Row],[售出工時]]/交易處理資料__3[[#This Row],[上班時間]])</f>
        <v>0</v>
      </c>
      <c r="O2687" s="31" t="str">
        <f>IF(交易處理資料__3[[#This Row],[上班時間]]=0,"否","是")</f>
        <v>否</v>
      </c>
    </row>
    <row r="2688" spans="1:15" hidden="1">
      <c r="A2688" s="10" t="s">
        <v>73</v>
      </c>
      <c r="B2688" t="s">
        <v>7</v>
      </c>
      <c r="C2688">
        <v>0</v>
      </c>
      <c r="D2688">
        <v>0</v>
      </c>
      <c r="E2688" s="27">
        <v>0</v>
      </c>
      <c r="F2688">
        <v>4.32</v>
      </c>
      <c r="G2688">
        <v>4</v>
      </c>
      <c r="H2688">
        <v>8.32</v>
      </c>
      <c r="I2688">
        <v>51.92</v>
      </c>
      <c r="J2688">
        <v>0</v>
      </c>
      <c r="K2688" s="9">
        <v>45360</v>
      </c>
      <c r="L2688">
        <f xml:space="preserve"> (交易處理資料__3[[#This Row],[售出工時]] * 60) / 5</f>
        <v>0</v>
      </c>
      <c r="M2688" t="str">
        <f>VLOOKUP(交易處理資料__3[[#This Row],[人員代號]],團隊分組!$B$1:$C$52,2,FALSE)</f>
        <v>噴漆維修組</v>
      </c>
      <c r="N2688">
        <f>IF(交易處理資料__3[[#This Row],[上班時間]]=0,0,交易處理資料__3[[#This Row],[售出工時]]/交易處理資料__3[[#This Row],[上班時間]])</f>
        <v>0</v>
      </c>
      <c r="O2688" s="31" t="str">
        <f>IF(交易處理資料__3[[#This Row],[上班時間]]=0,"否","是")</f>
        <v>是</v>
      </c>
    </row>
    <row r="2689" spans="1:15" hidden="1">
      <c r="A2689" s="10" t="s">
        <v>73</v>
      </c>
      <c r="B2689" t="s">
        <v>8</v>
      </c>
      <c r="C2689">
        <v>0</v>
      </c>
      <c r="D2689">
        <v>0</v>
      </c>
      <c r="E2689" s="27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 s="9">
        <v>45360</v>
      </c>
      <c r="L2689">
        <f xml:space="preserve"> (交易處理資料__3[[#This Row],[售出工時]] * 60) / 5</f>
        <v>0</v>
      </c>
      <c r="M2689" t="str">
        <f>VLOOKUP(交易處理資料__3[[#This Row],[人員代號]],團隊分組!$B$1:$C$52,2,FALSE)</f>
        <v>噴漆維修組</v>
      </c>
      <c r="N2689">
        <f>IF(交易處理資料__3[[#This Row],[上班時間]]=0,0,交易處理資料__3[[#This Row],[售出工時]]/交易處理資料__3[[#This Row],[上班時間]])</f>
        <v>0</v>
      </c>
      <c r="O2689" s="31" t="str">
        <f>IF(交易處理資料__3[[#This Row],[上班時間]]=0,"否","是")</f>
        <v>否</v>
      </c>
    </row>
    <row r="2690" spans="1:15" hidden="1">
      <c r="A2690" s="10" t="s">
        <v>73</v>
      </c>
      <c r="B2690" t="s">
        <v>9</v>
      </c>
      <c r="C2690">
        <v>0</v>
      </c>
      <c r="D2690">
        <v>0</v>
      </c>
      <c r="E2690" s="27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 s="9">
        <v>45360</v>
      </c>
      <c r="L2690">
        <f xml:space="preserve"> (交易處理資料__3[[#This Row],[售出工時]] * 60) / 5</f>
        <v>0</v>
      </c>
      <c r="M2690" t="str">
        <f>VLOOKUP(交易處理資料__3[[#This Row],[人員代號]],團隊分組!$B$1:$C$52,2,FALSE)</f>
        <v>噴漆維修組</v>
      </c>
      <c r="N2690">
        <f>IF(交易處理資料__3[[#This Row],[上班時間]]=0,0,交易處理資料__3[[#This Row],[售出工時]]/交易處理資料__3[[#This Row],[上班時間]])</f>
        <v>0</v>
      </c>
      <c r="O2690" s="31" t="str">
        <f>IF(交易處理資料__3[[#This Row],[上班時間]]=0,"否","是")</f>
        <v>否</v>
      </c>
    </row>
    <row r="2691" spans="1:15" hidden="1">
      <c r="A2691" t="s">
        <v>74</v>
      </c>
      <c r="B2691" t="s">
        <v>11</v>
      </c>
      <c r="C2691">
        <v>0</v>
      </c>
      <c r="D2691">
        <v>0</v>
      </c>
      <c r="E2691" s="27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 s="9">
        <v>45360</v>
      </c>
      <c r="L2691">
        <f xml:space="preserve"> (交易處理資料__3[[#This Row],[售出工時]] * 60) / 5</f>
        <v>0</v>
      </c>
      <c r="M2691" t="str">
        <f>VLOOKUP(交易處理資料__3[[#This Row],[人員代號]],團隊分組!$B$1:$C$52,2,FALSE)</f>
        <v>鈑金維修組</v>
      </c>
      <c r="N2691">
        <f>IF(交易處理資料__3[[#This Row],[上班時間]]=0,0,交易處理資料__3[[#This Row],[售出工時]]/交易處理資料__3[[#This Row],[上班時間]])</f>
        <v>0</v>
      </c>
      <c r="O2691" s="31" t="str">
        <f>IF(交易處理資料__3[[#This Row],[上班時間]]=0,"否","是")</f>
        <v>否</v>
      </c>
    </row>
    <row r="2692" spans="1:15" hidden="1">
      <c r="A2692" t="s">
        <v>74</v>
      </c>
      <c r="B2692" t="s">
        <v>12</v>
      </c>
      <c r="C2692">
        <v>0</v>
      </c>
      <c r="D2692">
        <v>0</v>
      </c>
      <c r="E2692" s="27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 s="9">
        <v>45360</v>
      </c>
      <c r="L2692">
        <f xml:space="preserve"> (交易處理資料__3[[#This Row],[售出工時]] * 60) / 5</f>
        <v>0</v>
      </c>
      <c r="M2692" t="str">
        <f>VLOOKUP(交易處理資料__3[[#This Row],[人員代號]],團隊分組!$B$1:$C$52,2,FALSE)</f>
        <v>鈑金維修組</v>
      </c>
      <c r="N2692">
        <f>IF(交易處理資料__3[[#This Row],[上班時間]]=0,0,交易處理資料__3[[#This Row],[售出工時]]/交易處理資料__3[[#This Row],[上班時間]])</f>
        <v>0</v>
      </c>
      <c r="O2692" s="31" t="str">
        <f>IF(交易處理資料__3[[#This Row],[上班時間]]=0,"否","是")</f>
        <v>否</v>
      </c>
    </row>
    <row r="2693" spans="1:15" hidden="1">
      <c r="A2693" t="s">
        <v>74</v>
      </c>
      <c r="B2693" t="s">
        <v>14</v>
      </c>
      <c r="C2693">
        <v>1.6</v>
      </c>
      <c r="D2693">
        <v>1.1299999999999999</v>
      </c>
      <c r="E2693" s="27">
        <v>141.5929204</v>
      </c>
      <c r="F2693">
        <v>6.47</v>
      </c>
      <c r="G2693">
        <v>1.8</v>
      </c>
      <c r="H2693">
        <v>8.27</v>
      </c>
      <c r="I2693">
        <v>78.23</v>
      </c>
      <c r="J2693">
        <v>19.350000000000001</v>
      </c>
      <c r="K2693" s="9">
        <v>45360</v>
      </c>
      <c r="L2693">
        <f xml:space="preserve"> (交易處理資料__3[[#This Row],[售出工時]] * 60) / 5</f>
        <v>19.2</v>
      </c>
      <c r="M2693" t="str">
        <f>VLOOKUP(交易處理資料__3[[#This Row],[人員代號]],團隊分組!$B$1:$C$52,2,FALSE)</f>
        <v>鈑金維修組</v>
      </c>
      <c r="N2693">
        <f>IF(交易處理資料__3[[#This Row],[上班時間]]=0,0,交易處理資料__3[[#This Row],[售出工時]]/交易處理資料__3[[#This Row],[上班時間]])</f>
        <v>0.1934703748488513</v>
      </c>
      <c r="O2693" s="31" t="str">
        <f>IF(交易處理資料__3[[#This Row],[上班時間]]=0,"否","是")</f>
        <v>是</v>
      </c>
    </row>
    <row r="2694" spans="1:15" hidden="1">
      <c r="A2694" t="s">
        <v>74</v>
      </c>
      <c r="B2694" t="s">
        <v>15</v>
      </c>
      <c r="C2694">
        <v>0</v>
      </c>
      <c r="D2694">
        <v>0</v>
      </c>
      <c r="E2694" s="27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 s="9">
        <v>45360</v>
      </c>
      <c r="L2694">
        <f xml:space="preserve"> (交易處理資料__3[[#This Row],[售出工時]] * 60) / 5</f>
        <v>0</v>
      </c>
      <c r="M2694" t="str">
        <f>VLOOKUP(交易處理資料__3[[#This Row],[人員代號]],團隊分組!$B$1:$C$52,2,FALSE)</f>
        <v>鈑金維修組</v>
      </c>
      <c r="N2694">
        <f>IF(交易處理資料__3[[#This Row],[上班時間]]=0,0,交易處理資料__3[[#This Row],[售出工時]]/交易處理資料__3[[#This Row],[上班時間]])</f>
        <v>0</v>
      </c>
      <c r="O2694" s="31" t="str">
        <f>IF(交易處理資料__3[[#This Row],[上班時間]]=0,"否","是")</f>
        <v>否</v>
      </c>
    </row>
    <row r="2695" spans="1:15" hidden="1">
      <c r="A2695" t="s">
        <v>75</v>
      </c>
      <c r="B2695" t="s">
        <v>17</v>
      </c>
      <c r="C2695">
        <v>6.5833333329999997</v>
      </c>
      <c r="D2695">
        <v>3.24</v>
      </c>
      <c r="E2695" s="27">
        <v>203.18930040000001</v>
      </c>
      <c r="F2695">
        <v>4.74</v>
      </c>
      <c r="G2695">
        <v>3.2</v>
      </c>
      <c r="H2695">
        <v>7.94</v>
      </c>
      <c r="I2695">
        <v>59.7</v>
      </c>
      <c r="J2695">
        <v>82.91</v>
      </c>
      <c r="K2695" s="9">
        <v>45360</v>
      </c>
      <c r="L2695">
        <f xml:space="preserve"> (交易處理資料__3[[#This Row],[售出工時]] * 60) / 5</f>
        <v>78.999999996</v>
      </c>
      <c r="M2695" t="str">
        <f>VLOOKUP(交易處理資料__3[[#This Row],[人員代號]],團隊分組!$B$1:$C$52,2,FALSE)</f>
        <v>快速保養團隊A</v>
      </c>
      <c r="N2695">
        <f>IF(交易處理資料__3[[#This Row],[上班時間]]=0,0,交易處理資料__3[[#This Row],[售出工時]]/交易處理資料__3[[#This Row],[上班時間]])</f>
        <v>0.82913518047858936</v>
      </c>
      <c r="O2695" s="31" t="str">
        <f>IF(交易處理資料__3[[#This Row],[上班時間]]=0,"否","是")</f>
        <v>是</v>
      </c>
    </row>
    <row r="2696" spans="1:15" hidden="1">
      <c r="A2696" t="s">
        <v>75</v>
      </c>
      <c r="B2696" t="s">
        <v>18</v>
      </c>
      <c r="C2696">
        <v>3</v>
      </c>
      <c r="D2696">
        <v>2.38</v>
      </c>
      <c r="E2696" s="27">
        <v>126.0504202</v>
      </c>
      <c r="F2696">
        <v>4.3600000000000003</v>
      </c>
      <c r="G2696">
        <v>3.51</v>
      </c>
      <c r="H2696">
        <v>7.87</v>
      </c>
      <c r="I2696">
        <v>55.4</v>
      </c>
      <c r="J2696">
        <v>38.119999999999997</v>
      </c>
      <c r="K2696" s="9">
        <v>45360</v>
      </c>
      <c r="L2696">
        <f xml:space="preserve"> (交易處理資料__3[[#This Row],[售出工時]] * 60) / 5</f>
        <v>36</v>
      </c>
      <c r="M2696" t="str">
        <f>VLOOKUP(交易處理資料__3[[#This Row],[人員代號]],團隊分組!$B$1:$C$52,2,FALSE)</f>
        <v>查修團隊B</v>
      </c>
      <c r="N2696">
        <f>IF(交易處理資料__3[[#This Row],[上班時間]]=0,0,交易處理資料__3[[#This Row],[售出工時]]/交易處理資料__3[[#This Row],[上班時間]])</f>
        <v>0.38119440914866581</v>
      </c>
      <c r="O2696" s="31" t="str">
        <f>IF(交易處理資料__3[[#This Row],[上班時間]]=0,"否","是")</f>
        <v>是</v>
      </c>
    </row>
    <row r="2697" spans="1:15" hidden="1">
      <c r="A2697" t="s">
        <v>75</v>
      </c>
      <c r="B2697" t="s">
        <v>19</v>
      </c>
      <c r="C2697">
        <v>4.47</v>
      </c>
      <c r="D2697">
        <v>5.14</v>
      </c>
      <c r="E2697" s="27">
        <v>86.964980539999999</v>
      </c>
      <c r="F2697">
        <v>3.52</v>
      </c>
      <c r="G2697">
        <v>4.3499999999999996</v>
      </c>
      <c r="H2697">
        <v>7.87</v>
      </c>
      <c r="I2697">
        <v>44.73</v>
      </c>
      <c r="J2697">
        <v>56.8</v>
      </c>
      <c r="K2697" s="9">
        <v>45360</v>
      </c>
      <c r="L2697">
        <f xml:space="preserve"> (交易處理資料__3[[#This Row],[售出工時]] * 60) / 5</f>
        <v>53.64</v>
      </c>
      <c r="M2697" t="str">
        <f>VLOOKUP(交易處理資料__3[[#This Row],[人員代號]],團隊分組!$B$1:$C$52,2,FALSE)</f>
        <v>查修團隊A</v>
      </c>
      <c r="N2697">
        <f>IF(交易處理資料__3[[#This Row],[上班時間]]=0,0,交易處理資料__3[[#This Row],[售出工時]]/交易處理資料__3[[#This Row],[上班時間]])</f>
        <v>0.56797966963151203</v>
      </c>
      <c r="O2697" s="31" t="str">
        <f>IF(交易處理資料__3[[#This Row],[上班時間]]=0,"否","是")</f>
        <v>是</v>
      </c>
    </row>
    <row r="2698" spans="1:15" hidden="1">
      <c r="A2698" t="s">
        <v>75</v>
      </c>
      <c r="B2698" t="s">
        <v>20</v>
      </c>
      <c r="C2698">
        <v>0</v>
      </c>
      <c r="D2698">
        <v>0</v>
      </c>
      <c r="E2698" s="27">
        <v>0</v>
      </c>
      <c r="F2698">
        <v>4.18</v>
      </c>
      <c r="G2698">
        <v>3.72</v>
      </c>
      <c r="H2698">
        <v>7.9</v>
      </c>
      <c r="I2698">
        <v>52.91</v>
      </c>
      <c r="J2698">
        <v>0</v>
      </c>
      <c r="K2698" s="9">
        <v>45360</v>
      </c>
      <c r="L2698">
        <f xml:space="preserve"> (交易處理資料__3[[#This Row],[售出工時]] * 60) / 5</f>
        <v>0</v>
      </c>
      <c r="M2698" t="str">
        <f>VLOOKUP(交易處理資料__3[[#This Row],[人員代號]],團隊分組!$B$1:$C$52,2,FALSE)</f>
        <v>查修團隊B</v>
      </c>
      <c r="N2698">
        <f>IF(交易處理資料__3[[#This Row],[上班時間]]=0,0,交易處理資料__3[[#This Row],[售出工時]]/交易處理資料__3[[#This Row],[上班時間]])</f>
        <v>0</v>
      </c>
      <c r="O2698" s="31" t="str">
        <f>IF(交易處理資料__3[[#This Row],[上班時間]]=0,"否","是")</f>
        <v>是</v>
      </c>
    </row>
    <row r="2699" spans="1:15" hidden="1">
      <c r="A2699" t="s">
        <v>75</v>
      </c>
      <c r="B2699" t="s">
        <v>21</v>
      </c>
      <c r="C2699">
        <v>0</v>
      </c>
      <c r="D2699">
        <v>0</v>
      </c>
      <c r="E2699" s="27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 s="9">
        <v>45360</v>
      </c>
      <c r="L2699">
        <f xml:space="preserve"> (交易處理資料__3[[#This Row],[售出工時]] * 60) / 5</f>
        <v>0</v>
      </c>
      <c r="M2699" t="str">
        <f>VLOOKUP(交易處理資料__3[[#This Row],[人員代號]],團隊分組!$B$1:$C$52,2,FALSE)</f>
        <v>查修團隊B</v>
      </c>
      <c r="N2699">
        <f>IF(交易處理資料__3[[#This Row],[上班時間]]=0,0,交易處理資料__3[[#This Row],[售出工時]]/交易處理資料__3[[#This Row],[上班時間]])</f>
        <v>0</v>
      </c>
      <c r="O2699" s="31" t="str">
        <f>IF(交易處理資料__3[[#This Row],[上班時間]]=0,"否","是")</f>
        <v>否</v>
      </c>
    </row>
    <row r="2700" spans="1:15" hidden="1">
      <c r="A2700" t="s">
        <v>75</v>
      </c>
      <c r="B2700" t="s">
        <v>22</v>
      </c>
      <c r="C2700">
        <v>4.9000000000000004</v>
      </c>
      <c r="D2700">
        <v>5.67</v>
      </c>
      <c r="E2700" s="27">
        <v>86.41975309</v>
      </c>
      <c r="F2700">
        <v>5.67</v>
      </c>
      <c r="G2700">
        <v>1.68</v>
      </c>
      <c r="H2700">
        <v>7.35</v>
      </c>
      <c r="I2700">
        <v>77.14</v>
      </c>
      <c r="J2700">
        <v>66.67</v>
      </c>
      <c r="K2700" s="9">
        <v>45360</v>
      </c>
      <c r="L2700">
        <f xml:space="preserve"> (交易處理資料__3[[#This Row],[售出工時]] * 60) / 5</f>
        <v>58.8</v>
      </c>
      <c r="M2700" t="str">
        <f>VLOOKUP(交易處理資料__3[[#This Row],[人員代號]],團隊分組!$B$1:$C$52,2,FALSE)</f>
        <v>快速保養團隊A</v>
      </c>
      <c r="N2700">
        <f>IF(交易處理資料__3[[#This Row],[上班時間]]=0,0,交易處理資料__3[[#This Row],[售出工時]]/交易處理資料__3[[#This Row],[上班時間]])</f>
        <v>0.66666666666666674</v>
      </c>
      <c r="O2700" s="31" t="str">
        <f>IF(交易處理資料__3[[#This Row],[上班時間]]=0,"否","是")</f>
        <v>是</v>
      </c>
    </row>
    <row r="2701" spans="1:15" hidden="1">
      <c r="A2701" t="s">
        <v>75</v>
      </c>
      <c r="B2701" t="s">
        <v>24</v>
      </c>
      <c r="C2701">
        <v>7.7233333330000002</v>
      </c>
      <c r="D2701">
        <v>7.2</v>
      </c>
      <c r="E2701" s="27">
        <v>107.2685185</v>
      </c>
      <c r="F2701">
        <v>5.85</v>
      </c>
      <c r="G2701">
        <v>2.12</v>
      </c>
      <c r="H2701">
        <v>7.97</v>
      </c>
      <c r="I2701">
        <v>73.400000000000006</v>
      </c>
      <c r="J2701">
        <v>96.91</v>
      </c>
      <c r="K2701" s="9">
        <v>45360</v>
      </c>
      <c r="L2701">
        <f xml:space="preserve"> (交易處理資料__3[[#This Row],[售出工時]] * 60) / 5</f>
        <v>92.679999996000006</v>
      </c>
      <c r="M2701" t="str">
        <f>VLOOKUP(交易處理資料__3[[#This Row],[人員代號]],團隊分組!$B$1:$C$52,2,FALSE)</f>
        <v>快速保養團隊A</v>
      </c>
      <c r="N2701">
        <f>IF(交易處理資料__3[[#This Row],[上班時間]]=0,0,交易處理資料__3[[#This Row],[售出工時]]/交易處理資料__3[[#This Row],[上班時間]])</f>
        <v>0.96905060639899632</v>
      </c>
      <c r="O2701" s="31" t="str">
        <f>IF(交易處理資料__3[[#This Row],[上班時間]]=0,"否","是")</f>
        <v>是</v>
      </c>
    </row>
    <row r="2702" spans="1:15" hidden="1">
      <c r="A2702" t="s">
        <v>75</v>
      </c>
      <c r="B2702" t="s">
        <v>25</v>
      </c>
      <c r="C2702">
        <v>3.76</v>
      </c>
      <c r="D2702">
        <v>3.53</v>
      </c>
      <c r="E2702" s="27">
        <v>106.5155807</v>
      </c>
      <c r="F2702">
        <v>3.53</v>
      </c>
      <c r="G2702">
        <v>4.33</v>
      </c>
      <c r="H2702">
        <v>7.86</v>
      </c>
      <c r="I2702">
        <v>44.91</v>
      </c>
      <c r="J2702">
        <v>47.84</v>
      </c>
      <c r="K2702" s="9">
        <v>45360</v>
      </c>
      <c r="L2702">
        <f xml:space="preserve"> (交易處理資料__3[[#This Row],[售出工時]] * 60) / 5</f>
        <v>45.12</v>
      </c>
      <c r="M2702" t="str">
        <f>VLOOKUP(交易處理資料__3[[#This Row],[人員代號]],團隊分組!$B$1:$C$52,2,FALSE)</f>
        <v>查修團隊A</v>
      </c>
      <c r="N2702">
        <f>IF(交易處理資料__3[[#This Row],[上班時間]]=0,0,交易處理資料__3[[#This Row],[售出工時]]/交易處理資料__3[[#This Row],[上班時間]])</f>
        <v>0.47837150127226458</v>
      </c>
      <c r="O2702" s="31" t="str">
        <f>IF(交易處理資料__3[[#This Row],[上班時間]]=0,"否","是")</f>
        <v>是</v>
      </c>
    </row>
    <row r="2703" spans="1:15" hidden="1">
      <c r="A2703" t="s">
        <v>75</v>
      </c>
      <c r="B2703" t="s">
        <v>26</v>
      </c>
      <c r="C2703">
        <v>0</v>
      </c>
      <c r="D2703">
        <v>0</v>
      </c>
      <c r="E2703" s="27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 s="9">
        <v>45360</v>
      </c>
      <c r="L2703">
        <f xml:space="preserve"> (交易處理資料__3[[#This Row],[售出工時]] * 60) / 5</f>
        <v>0</v>
      </c>
      <c r="M2703" t="str">
        <f>VLOOKUP(交易處理資料__3[[#This Row],[人員代號]],團隊分組!$B$1:$C$52,2,FALSE)</f>
        <v>查修團隊B</v>
      </c>
      <c r="N2703">
        <f>IF(交易處理資料__3[[#This Row],[上班時間]]=0,0,交易處理資料__3[[#This Row],[售出工時]]/交易處理資料__3[[#This Row],[上班時間]])</f>
        <v>0</v>
      </c>
      <c r="O2703" s="31" t="str">
        <f>IF(交易處理資料__3[[#This Row],[上班時間]]=0,"否","是")</f>
        <v>否</v>
      </c>
    </row>
    <row r="2704" spans="1:15" hidden="1">
      <c r="A2704" t="s">
        <v>75</v>
      </c>
      <c r="B2704" t="s">
        <v>27</v>
      </c>
      <c r="C2704">
        <v>0</v>
      </c>
      <c r="D2704">
        <v>0</v>
      </c>
      <c r="E2704" s="27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 s="9">
        <v>45360</v>
      </c>
      <c r="L2704">
        <f xml:space="preserve"> (交易處理資料__3[[#This Row],[售出工時]] * 60) / 5</f>
        <v>0</v>
      </c>
      <c r="M2704" t="str">
        <f>VLOOKUP(交易處理資料__3[[#This Row],[人員代號]],團隊分組!$B$1:$C$52,2,FALSE)</f>
        <v>快速保養團隊B</v>
      </c>
      <c r="N2704">
        <f>IF(交易處理資料__3[[#This Row],[上班時間]]=0,0,交易處理資料__3[[#This Row],[售出工時]]/交易處理資料__3[[#This Row],[上班時間]])</f>
        <v>0</v>
      </c>
      <c r="O2704" s="31" t="str">
        <f>IF(交易處理資料__3[[#This Row],[上班時間]]=0,"否","是")</f>
        <v>否</v>
      </c>
    </row>
    <row r="2705" spans="1:15" hidden="1">
      <c r="A2705" t="s">
        <v>75</v>
      </c>
      <c r="B2705" t="s">
        <v>28</v>
      </c>
      <c r="C2705">
        <v>0</v>
      </c>
      <c r="D2705">
        <v>0</v>
      </c>
      <c r="E2705" s="27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 s="9">
        <v>45360</v>
      </c>
      <c r="L2705">
        <f xml:space="preserve"> (交易處理資料__3[[#This Row],[售出工時]] * 60) / 5</f>
        <v>0</v>
      </c>
      <c r="M2705" t="str">
        <f>VLOOKUP(交易處理資料__3[[#This Row],[人員代號]],團隊分組!$B$1:$C$52,2,FALSE)</f>
        <v>快速保養團隊A</v>
      </c>
      <c r="N2705">
        <f>IF(交易處理資料__3[[#This Row],[上班時間]]=0,0,交易處理資料__3[[#This Row],[售出工時]]/交易處理資料__3[[#This Row],[上班時間]])</f>
        <v>0</v>
      </c>
      <c r="O2705" s="31" t="str">
        <f>IF(交易處理資料__3[[#This Row],[上班時間]]=0,"否","是")</f>
        <v>否</v>
      </c>
    </row>
    <row r="2706" spans="1:15" hidden="1">
      <c r="A2706" t="s">
        <v>75</v>
      </c>
      <c r="B2706" t="s">
        <v>29</v>
      </c>
      <c r="C2706">
        <v>0</v>
      </c>
      <c r="D2706">
        <v>0</v>
      </c>
      <c r="E2706" s="27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 s="9">
        <v>45360</v>
      </c>
      <c r="L2706">
        <f xml:space="preserve"> (交易處理資料__3[[#This Row],[售出工時]] * 60) / 5</f>
        <v>0</v>
      </c>
      <c r="M2706" t="str">
        <f>VLOOKUP(交易處理資料__3[[#This Row],[人員代號]],團隊分組!$B$1:$C$52,2,FALSE)</f>
        <v>查修團隊B</v>
      </c>
      <c r="N2706">
        <f>IF(交易處理資料__3[[#This Row],[上班時間]]=0,0,交易處理資料__3[[#This Row],[售出工時]]/交易處理資料__3[[#This Row],[上班時間]])</f>
        <v>0</v>
      </c>
      <c r="O2706" s="31" t="str">
        <f>IF(交易處理資料__3[[#This Row],[上班時間]]=0,"否","是")</f>
        <v>否</v>
      </c>
    </row>
    <row r="2707" spans="1:15" hidden="1">
      <c r="A2707" t="s">
        <v>75</v>
      </c>
      <c r="B2707" t="s">
        <v>30</v>
      </c>
      <c r="C2707">
        <v>0</v>
      </c>
      <c r="D2707">
        <v>0</v>
      </c>
      <c r="E2707" s="2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 s="9">
        <v>45360</v>
      </c>
      <c r="L2707">
        <f xml:space="preserve"> (交易處理資料__3[[#This Row],[售出工時]] * 60) / 5</f>
        <v>0</v>
      </c>
      <c r="M2707" t="str">
        <f>VLOOKUP(交易處理資料__3[[#This Row],[人員代號]],團隊分組!$B$1:$C$52,2,FALSE)</f>
        <v>快速保養團隊B</v>
      </c>
      <c r="N2707">
        <f>IF(交易處理資料__3[[#This Row],[上班時間]]=0,0,交易處理資料__3[[#This Row],[售出工時]]/交易處理資料__3[[#This Row],[上班時間]])</f>
        <v>0</v>
      </c>
      <c r="O2707" s="31" t="str">
        <f>IF(交易處理資料__3[[#This Row],[上班時間]]=0,"否","是")</f>
        <v>否</v>
      </c>
    </row>
    <row r="2708" spans="1:15" hidden="1">
      <c r="A2708" t="s">
        <v>75</v>
      </c>
      <c r="B2708" t="s">
        <v>32</v>
      </c>
      <c r="C2708">
        <v>12.186666669999999</v>
      </c>
      <c r="D2708">
        <v>5.42</v>
      </c>
      <c r="E2708" s="27">
        <v>224.8462485</v>
      </c>
      <c r="F2708">
        <v>4.26</v>
      </c>
      <c r="G2708">
        <v>3.61</v>
      </c>
      <c r="H2708">
        <v>7.87</v>
      </c>
      <c r="I2708">
        <v>54.13</v>
      </c>
      <c r="J2708">
        <v>154.85</v>
      </c>
      <c r="K2708" s="9">
        <v>45360</v>
      </c>
      <c r="L2708">
        <f xml:space="preserve"> (交易處理資料__3[[#This Row],[售出工時]] * 60) / 5</f>
        <v>146.24000003999998</v>
      </c>
      <c r="M2708" t="str">
        <f>VLOOKUP(交易處理資料__3[[#This Row],[人員代號]],團隊分組!$B$1:$C$52,2,FALSE)</f>
        <v>快速保養團隊B</v>
      </c>
      <c r="N2708">
        <f>IF(交易處理資料__3[[#This Row],[上班時間]]=0,0,交易處理資料__3[[#This Row],[售出工時]]/交易處理資料__3[[#This Row],[上班時間]])</f>
        <v>1.5484964002541295</v>
      </c>
      <c r="O2708" s="31" t="str">
        <f>IF(交易處理資料__3[[#This Row],[上班時間]]=0,"否","是")</f>
        <v>是</v>
      </c>
    </row>
    <row r="2709" spans="1:15" hidden="1">
      <c r="A2709" t="s">
        <v>75</v>
      </c>
      <c r="B2709" t="s">
        <v>34</v>
      </c>
      <c r="C2709">
        <v>9.1666666669999994</v>
      </c>
      <c r="D2709">
        <v>3.85</v>
      </c>
      <c r="E2709" s="27">
        <v>238.09523809999999</v>
      </c>
      <c r="F2709">
        <v>3.85</v>
      </c>
      <c r="G2709">
        <v>4.0199999999999996</v>
      </c>
      <c r="H2709">
        <v>7.87</v>
      </c>
      <c r="I2709">
        <v>48.92</v>
      </c>
      <c r="J2709">
        <v>116.48</v>
      </c>
      <c r="K2709" s="9">
        <v>45360</v>
      </c>
      <c r="L2709">
        <f xml:space="preserve"> (交易處理資料__3[[#This Row],[售出工時]] * 60) / 5</f>
        <v>110.000000004</v>
      </c>
      <c r="M2709" t="str">
        <f>VLOOKUP(交易處理資料__3[[#This Row],[人員代號]],團隊分組!$B$1:$C$52,2,FALSE)</f>
        <v>快速保養團隊A</v>
      </c>
      <c r="N2709">
        <f>IF(交易處理資料__3[[#This Row],[上班時間]]=0,0,交易處理資料__3[[#This Row],[售出工時]]/交易處理資料__3[[#This Row],[上班時間]])</f>
        <v>1.1647606946632783</v>
      </c>
      <c r="O2709" s="31" t="str">
        <f>IF(交易處理資料__3[[#This Row],[上班時間]]=0,"否","是")</f>
        <v>是</v>
      </c>
    </row>
    <row r="2710" spans="1:15" hidden="1">
      <c r="A2710" t="s">
        <v>75</v>
      </c>
      <c r="B2710" t="s">
        <v>35</v>
      </c>
      <c r="C2710">
        <v>0</v>
      </c>
      <c r="D2710">
        <v>0</v>
      </c>
      <c r="E2710" s="27">
        <v>0</v>
      </c>
      <c r="F2710">
        <v>5.57</v>
      </c>
      <c r="G2710">
        <v>2.3199999999999998</v>
      </c>
      <c r="H2710">
        <v>7.89</v>
      </c>
      <c r="I2710">
        <v>70.599999999999994</v>
      </c>
      <c r="J2710">
        <v>0</v>
      </c>
      <c r="K2710" s="9">
        <v>45360</v>
      </c>
      <c r="L2710">
        <f xml:space="preserve"> (交易處理資料__3[[#This Row],[售出工時]] * 60) / 5</f>
        <v>0</v>
      </c>
      <c r="M2710" t="str">
        <f>VLOOKUP(交易處理資料__3[[#This Row],[人員代號]],團隊分組!$B$1:$C$52,2,FALSE)</f>
        <v>查修團隊B</v>
      </c>
      <c r="N2710">
        <f>IF(交易處理資料__3[[#This Row],[上班時間]]=0,0,交易處理資料__3[[#This Row],[售出工時]]/交易處理資料__3[[#This Row],[上班時間]])</f>
        <v>0</v>
      </c>
      <c r="O2710" s="31" t="str">
        <f>IF(交易處理資料__3[[#This Row],[上班時間]]=0,"否","是")</f>
        <v>是</v>
      </c>
    </row>
    <row r="2711" spans="1:15" hidden="1">
      <c r="A2711" t="s">
        <v>75</v>
      </c>
      <c r="B2711" t="s">
        <v>36</v>
      </c>
      <c r="C2711">
        <v>0</v>
      </c>
      <c r="D2711">
        <v>0</v>
      </c>
      <c r="E2711" s="27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 s="9">
        <v>45360</v>
      </c>
      <c r="L2711">
        <f xml:space="preserve"> (交易處理資料__3[[#This Row],[售出工時]] * 60) / 5</f>
        <v>0</v>
      </c>
      <c r="M2711" t="str">
        <f>VLOOKUP(交易處理資料__3[[#This Row],[人員代號]],團隊分組!$B$1:$C$52,2,FALSE)</f>
        <v>查修團隊B</v>
      </c>
      <c r="N2711">
        <f>IF(交易處理資料__3[[#This Row],[上班時間]]=0,0,交易處理資料__3[[#This Row],[售出工時]]/交易處理資料__3[[#This Row],[上班時間]])</f>
        <v>0</v>
      </c>
      <c r="O2711" s="31" t="str">
        <f>IF(交易處理資料__3[[#This Row],[上班時間]]=0,"否","是")</f>
        <v>否</v>
      </c>
    </row>
    <row r="2712" spans="1:15" hidden="1">
      <c r="A2712" t="s">
        <v>75</v>
      </c>
      <c r="B2712" t="s">
        <v>37</v>
      </c>
      <c r="C2712">
        <v>3.7833333329999999</v>
      </c>
      <c r="D2712">
        <v>5.3</v>
      </c>
      <c r="E2712" s="27">
        <v>71.383647800000006</v>
      </c>
      <c r="F2712">
        <v>5.2</v>
      </c>
      <c r="G2712">
        <v>2.69</v>
      </c>
      <c r="H2712">
        <v>7.89</v>
      </c>
      <c r="I2712">
        <v>65.91</v>
      </c>
      <c r="J2712">
        <v>47.95</v>
      </c>
      <c r="K2712" s="9">
        <v>45360</v>
      </c>
      <c r="L2712">
        <f xml:space="preserve"> (交易處理資料__3[[#This Row],[售出工時]] * 60) / 5</f>
        <v>45.399999995999998</v>
      </c>
      <c r="M2712" t="str">
        <f>VLOOKUP(交易處理資料__3[[#This Row],[人員代號]],團隊分組!$B$1:$C$52,2,FALSE)</f>
        <v>查修團隊A</v>
      </c>
      <c r="N2712">
        <f>IF(交易處理資料__3[[#This Row],[上班時間]]=0,0,交易處理資料__3[[#This Row],[售出工時]]/交易處理資料__3[[#This Row],[上班時間]])</f>
        <v>0.47950992813688215</v>
      </c>
      <c r="O2712" s="31" t="str">
        <f>IF(交易處理資料__3[[#This Row],[上班時間]]=0,"否","是")</f>
        <v>是</v>
      </c>
    </row>
    <row r="2713" spans="1:15" hidden="1">
      <c r="A2713" t="s">
        <v>75</v>
      </c>
      <c r="B2713" t="s">
        <v>38</v>
      </c>
      <c r="C2713">
        <v>3.23</v>
      </c>
      <c r="D2713">
        <v>4.5599999999999996</v>
      </c>
      <c r="E2713" s="27">
        <v>70.833333330000002</v>
      </c>
      <c r="F2713">
        <v>5.13</v>
      </c>
      <c r="G2713">
        <v>2.74</v>
      </c>
      <c r="H2713">
        <v>7.87</v>
      </c>
      <c r="I2713">
        <v>65.180000000000007</v>
      </c>
      <c r="J2713">
        <v>41.04</v>
      </c>
      <c r="K2713" s="9">
        <v>45360</v>
      </c>
      <c r="L2713">
        <f xml:space="preserve"> (交易處理資料__3[[#This Row],[售出工時]] * 60) / 5</f>
        <v>38.760000000000005</v>
      </c>
      <c r="M2713" t="str">
        <f>VLOOKUP(交易處理資料__3[[#This Row],[人員代號]],團隊分組!$B$1:$C$52,2,FALSE)</f>
        <v>快速保養團隊A</v>
      </c>
      <c r="N2713">
        <f>IF(交易處理資料__3[[#This Row],[上班時間]]=0,0,交易處理資料__3[[#This Row],[售出工時]]/交易處理資料__3[[#This Row],[上班時間]])</f>
        <v>0.41041931385006353</v>
      </c>
      <c r="O2713" s="31" t="str">
        <f>IF(交易處理資料__3[[#This Row],[上班時間]]=0,"否","是")</f>
        <v>是</v>
      </c>
    </row>
    <row r="2714" spans="1:15" hidden="1">
      <c r="A2714" t="s">
        <v>75</v>
      </c>
      <c r="B2714" t="s">
        <v>41</v>
      </c>
      <c r="C2714">
        <v>5.3666666669999996</v>
      </c>
      <c r="D2714">
        <v>4.8499999999999996</v>
      </c>
      <c r="E2714" s="27">
        <v>110.65292100000001</v>
      </c>
      <c r="F2714">
        <v>5.68</v>
      </c>
      <c r="G2714">
        <v>2.17</v>
      </c>
      <c r="H2714">
        <v>7.85</v>
      </c>
      <c r="I2714">
        <v>72.36</v>
      </c>
      <c r="J2714">
        <v>68.37</v>
      </c>
      <c r="K2714" s="9">
        <v>45360</v>
      </c>
      <c r="L2714">
        <f xml:space="preserve"> (交易處理資料__3[[#This Row],[售出工時]] * 60) / 5</f>
        <v>64.400000003999992</v>
      </c>
      <c r="M2714" t="str">
        <f>VLOOKUP(交易處理資料__3[[#This Row],[人員代號]],團隊分組!$B$1:$C$52,2,FALSE)</f>
        <v>快速保養團隊A</v>
      </c>
      <c r="N2714">
        <f>IF(交易處理資料__3[[#This Row],[上班時間]]=0,0,交易處理資料__3[[#This Row],[售出工時]]/交易處理資料__3[[#This Row],[上班時間]])</f>
        <v>0.68365180471337583</v>
      </c>
      <c r="O2714" s="31" t="str">
        <f>IF(交易處理資料__3[[#This Row],[上班時間]]=0,"否","是")</f>
        <v>是</v>
      </c>
    </row>
    <row r="2715" spans="1:15" hidden="1">
      <c r="A2715" t="s">
        <v>75</v>
      </c>
      <c r="B2715" t="s">
        <v>42</v>
      </c>
      <c r="C2715">
        <v>0</v>
      </c>
      <c r="D2715">
        <v>0</v>
      </c>
      <c r="E2715" s="27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 s="9">
        <v>45360</v>
      </c>
      <c r="L2715">
        <f xml:space="preserve"> (交易處理資料__3[[#This Row],[售出工時]] * 60) / 5</f>
        <v>0</v>
      </c>
      <c r="M2715" t="str">
        <f>VLOOKUP(交易處理資料__3[[#This Row],[人員代號]],團隊分組!$B$1:$C$52,2,FALSE)</f>
        <v>快速保養團隊A</v>
      </c>
      <c r="N2715">
        <f>IF(交易處理資料__3[[#This Row],[上班時間]]=0,0,交易處理資料__3[[#This Row],[售出工時]]/交易處理資料__3[[#This Row],[上班時間]])</f>
        <v>0</v>
      </c>
      <c r="O2715" s="31" t="str">
        <f>IF(交易處理資料__3[[#This Row],[上班時間]]=0,"否","是")</f>
        <v>否</v>
      </c>
    </row>
    <row r="2716" spans="1:15" hidden="1">
      <c r="A2716" t="s">
        <v>75</v>
      </c>
      <c r="B2716" t="s">
        <v>43</v>
      </c>
      <c r="C2716">
        <v>1.4166666670000001</v>
      </c>
      <c r="D2716">
        <v>2.1</v>
      </c>
      <c r="E2716" s="27">
        <v>67.460317459999999</v>
      </c>
      <c r="F2716">
        <v>5.52</v>
      </c>
      <c r="G2716">
        <v>2.39</v>
      </c>
      <c r="H2716">
        <v>7.91</v>
      </c>
      <c r="I2716">
        <v>69.790000000000006</v>
      </c>
      <c r="J2716">
        <v>17.91</v>
      </c>
      <c r="K2716" s="9">
        <v>45360</v>
      </c>
      <c r="L2716">
        <f xml:space="preserve"> (交易處理資料__3[[#This Row],[售出工時]] * 60) / 5</f>
        <v>17.000000004</v>
      </c>
      <c r="M2716" t="str">
        <f>VLOOKUP(交易處理資料__3[[#This Row],[人員代號]],團隊分組!$B$1:$C$52,2,FALSE)</f>
        <v>查修團隊B</v>
      </c>
      <c r="N2716">
        <f>IF(交易處理資料__3[[#This Row],[上班時間]]=0,0,交易處理資料__3[[#This Row],[售出工時]]/交易處理資料__3[[#This Row],[上班時間]])</f>
        <v>0.17909818798988622</v>
      </c>
      <c r="O2716" s="31" t="str">
        <f>IF(交易處理資料__3[[#This Row],[上班時間]]=0,"否","是")</f>
        <v>是</v>
      </c>
    </row>
    <row r="2717" spans="1:15" hidden="1">
      <c r="A2717" t="s">
        <v>75</v>
      </c>
      <c r="B2717" t="s">
        <v>44</v>
      </c>
      <c r="C2717">
        <v>0</v>
      </c>
      <c r="D2717">
        <v>0</v>
      </c>
      <c r="E2717" s="2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 s="9">
        <v>45360</v>
      </c>
      <c r="L2717">
        <f xml:space="preserve"> (交易處理資料__3[[#This Row],[售出工時]] * 60) / 5</f>
        <v>0</v>
      </c>
      <c r="M2717" t="str">
        <f>VLOOKUP(交易處理資料__3[[#This Row],[人員代號]],團隊分組!$B$1:$C$52,2,FALSE)</f>
        <v>快速保養團隊B</v>
      </c>
      <c r="N2717">
        <f>IF(交易處理資料__3[[#This Row],[上班時間]]=0,0,交易處理資料__3[[#This Row],[售出工時]]/交易處理資料__3[[#This Row],[上班時間]])</f>
        <v>0</v>
      </c>
      <c r="O2717" s="31" t="str">
        <f>IF(交易處理資料__3[[#This Row],[上班時間]]=0,"否","是")</f>
        <v>否</v>
      </c>
    </row>
    <row r="2718" spans="1:15" hidden="1">
      <c r="A2718" t="s">
        <v>75</v>
      </c>
      <c r="B2718" t="s">
        <v>46</v>
      </c>
      <c r="C2718">
        <v>3.5833333330000001</v>
      </c>
      <c r="D2718">
        <v>1.05</v>
      </c>
      <c r="E2718" s="27">
        <v>341.2698413</v>
      </c>
      <c r="F2718">
        <v>2.69</v>
      </c>
      <c r="G2718">
        <v>5.2</v>
      </c>
      <c r="H2718">
        <v>7.89</v>
      </c>
      <c r="I2718">
        <v>34.090000000000003</v>
      </c>
      <c r="J2718">
        <v>45.42</v>
      </c>
      <c r="K2718" s="9">
        <v>45360</v>
      </c>
      <c r="L2718">
        <f xml:space="preserve"> (交易處理資料__3[[#This Row],[售出工時]] * 60) / 5</f>
        <v>42.999999996</v>
      </c>
      <c r="M2718" t="str">
        <f>VLOOKUP(交易處理資料__3[[#This Row],[人員代號]],團隊分組!$B$1:$C$52,2,FALSE)</f>
        <v>查修團隊B</v>
      </c>
      <c r="N2718">
        <f>IF(交易處理資料__3[[#This Row],[上班時間]]=0,0,交易處理資料__3[[#This Row],[售出工時]]/交易處理資料__3[[#This Row],[上班時間]])</f>
        <v>0.45416138567807357</v>
      </c>
      <c r="O2718" s="31" t="str">
        <f>IF(交易處理資料__3[[#This Row],[上班時間]]=0,"否","是")</f>
        <v>是</v>
      </c>
    </row>
    <row r="2719" spans="1:15" hidden="1">
      <c r="A2719" t="s">
        <v>75</v>
      </c>
      <c r="B2719" t="s">
        <v>47</v>
      </c>
      <c r="C2719">
        <v>7.0833333329999997</v>
      </c>
      <c r="D2719">
        <v>6.06</v>
      </c>
      <c r="E2719" s="27">
        <v>116.88668869999999</v>
      </c>
      <c r="F2719">
        <v>3.24</v>
      </c>
      <c r="G2719">
        <v>4.6500000000000004</v>
      </c>
      <c r="H2719">
        <v>7.89</v>
      </c>
      <c r="I2719">
        <v>41.06</v>
      </c>
      <c r="J2719">
        <v>89.78</v>
      </c>
      <c r="K2719" s="9">
        <v>45360</v>
      </c>
      <c r="L2719">
        <f xml:space="preserve"> (交易處理資料__3[[#This Row],[售出工時]] * 60) / 5</f>
        <v>84.999999996</v>
      </c>
      <c r="M2719" t="str">
        <f>VLOOKUP(交易處理資料__3[[#This Row],[人員代號]],團隊分組!$B$1:$C$52,2,FALSE)</f>
        <v>查修團隊B</v>
      </c>
      <c r="N2719">
        <f>IF(交易處理資料__3[[#This Row],[上班時間]]=0,0,交易處理資料__3[[#This Row],[售出工時]]/交易處理資料__3[[#This Row],[上班時間]])</f>
        <v>0.89776087870722432</v>
      </c>
      <c r="O2719" s="31" t="str">
        <f>IF(交易處理資料__3[[#This Row],[上班時間]]=0,"否","是")</f>
        <v>是</v>
      </c>
    </row>
    <row r="2720" spans="1:15" hidden="1">
      <c r="A2720" t="s">
        <v>75</v>
      </c>
      <c r="B2720" t="s">
        <v>48</v>
      </c>
      <c r="C2720">
        <v>0</v>
      </c>
      <c r="D2720">
        <v>0</v>
      </c>
      <c r="E2720" s="27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 s="9">
        <v>45360</v>
      </c>
      <c r="L2720">
        <f xml:space="preserve"> (交易處理資料__3[[#This Row],[售出工時]] * 60) / 5</f>
        <v>0</v>
      </c>
      <c r="M2720" t="str">
        <f>VLOOKUP(交易處理資料__3[[#This Row],[人員代號]],團隊分組!$B$1:$C$52,2,FALSE)</f>
        <v>查修團隊A</v>
      </c>
      <c r="N2720">
        <f>IF(交易處理資料__3[[#This Row],[上班時間]]=0,0,交易處理資料__3[[#This Row],[售出工時]]/交易處理資料__3[[#This Row],[上班時間]])</f>
        <v>0</v>
      </c>
      <c r="O2720" s="31" t="str">
        <f>IF(交易處理資料__3[[#This Row],[上班時間]]=0,"否","是")</f>
        <v>否</v>
      </c>
    </row>
    <row r="2721" spans="1:15" hidden="1">
      <c r="A2721" t="s">
        <v>75</v>
      </c>
      <c r="B2721" t="s">
        <v>50</v>
      </c>
      <c r="C2721">
        <v>0</v>
      </c>
      <c r="D2721">
        <v>0</v>
      </c>
      <c r="E2721" s="27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 s="9">
        <v>45360</v>
      </c>
      <c r="L2721">
        <f xml:space="preserve"> (交易處理資料__3[[#This Row],[售出工時]] * 60) / 5</f>
        <v>0</v>
      </c>
      <c r="M2721" t="str">
        <f>VLOOKUP(交易處理資料__3[[#This Row],[人員代號]],團隊分組!$B$1:$C$52,2,FALSE)</f>
        <v>快速保養團隊B</v>
      </c>
      <c r="N2721">
        <f>IF(交易處理資料__3[[#This Row],[上班時間]]=0,0,交易處理資料__3[[#This Row],[售出工時]]/交易處理資料__3[[#This Row],[上班時間]])</f>
        <v>0</v>
      </c>
      <c r="O2721" s="31" t="str">
        <f>IF(交易處理資料__3[[#This Row],[上班時間]]=0,"否","是")</f>
        <v>否</v>
      </c>
    </row>
    <row r="2722" spans="1:15" hidden="1">
      <c r="A2722" t="s">
        <v>75</v>
      </c>
      <c r="B2722" t="s">
        <v>51</v>
      </c>
      <c r="C2722">
        <v>0</v>
      </c>
      <c r="D2722">
        <v>0</v>
      </c>
      <c r="E2722" s="27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 s="9">
        <v>45360</v>
      </c>
      <c r="L2722">
        <f xml:space="preserve"> (交易處理資料__3[[#This Row],[售出工時]] * 60) / 5</f>
        <v>0</v>
      </c>
      <c r="M2722" t="str">
        <f>VLOOKUP(交易處理資料__3[[#This Row],[人員代號]],團隊分組!$B$1:$C$52,2,FALSE)</f>
        <v>無效數據</v>
      </c>
      <c r="N2722">
        <f>IF(交易處理資料__3[[#This Row],[上班時間]]=0,0,交易處理資料__3[[#This Row],[售出工時]]/交易處理資料__3[[#This Row],[上班時間]])</f>
        <v>0</v>
      </c>
      <c r="O2722" s="31" t="str">
        <f>IF(交易處理資料__3[[#This Row],[上班時間]]=0,"否","是")</f>
        <v>否</v>
      </c>
    </row>
    <row r="2723" spans="1:15" hidden="1">
      <c r="A2723" t="s">
        <v>75</v>
      </c>
      <c r="B2723" t="s">
        <v>52</v>
      </c>
      <c r="C2723">
        <v>0</v>
      </c>
      <c r="D2723">
        <v>0</v>
      </c>
      <c r="E2723" s="27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 s="9">
        <v>45360</v>
      </c>
      <c r="L2723">
        <f xml:space="preserve"> (交易處理資料__3[[#This Row],[售出工時]] * 60) / 5</f>
        <v>0</v>
      </c>
      <c r="M2723" t="str">
        <f>VLOOKUP(交易處理資料__3[[#This Row],[人員代號]],團隊分組!$B$1:$C$52,2,FALSE)</f>
        <v>查修團隊B</v>
      </c>
      <c r="N2723">
        <f>IF(交易處理資料__3[[#This Row],[上班時間]]=0,0,交易處理資料__3[[#This Row],[售出工時]]/交易處理資料__3[[#This Row],[上班時間]])</f>
        <v>0</v>
      </c>
      <c r="O2723" s="31" t="str">
        <f>IF(交易處理資料__3[[#This Row],[上班時間]]=0,"否","是")</f>
        <v>否</v>
      </c>
    </row>
    <row r="2724" spans="1:15" hidden="1">
      <c r="A2724" t="s">
        <v>75</v>
      </c>
      <c r="B2724" t="s">
        <v>53</v>
      </c>
      <c r="C2724">
        <v>3.97</v>
      </c>
      <c r="D2724">
        <v>3.88</v>
      </c>
      <c r="E2724" s="27">
        <v>102.31958760000001</v>
      </c>
      <c r="F2724">
        <v>5.65</v>
      </c>
      <c r="G2724">
        <v>2.23</v>
      </c>
      <c r="H2724">
        <v>7.88</v>
      </c>
      <c r="I2724">
        <v>71.7</v>
      </c>
      <c r="J2724">
        <v>50.38</v>
      </c>
      <c r="K2724" s="9">
        <v>45360</v>
      </c>
      <c r="L2724">
        <f xml:space="preserve"> (交易處理資料__3[[#This Row],[售出工時]] * 60) / 5</f>
        <v>47.64</v>
      </c>
      <c r="M2724" t="str">
        <f>VLOOKUP(交易處理資料__3[[#This Row],[人員代號]],團隊分組!$B$1:$C$52,2,FALSE)</f>
        <v>查修團隊A</v>
      </c>
      <c r="N2724">
        <f>IF(交易處理資料__3[[#This Row],[上班時間]]=0,0,交易處理資料__3[[#This Row],[售出工時]]/交易處理資料__3[[#This Row],[上班時間]])</f>
        <v>0.50380710659898476</v>
      </c>
      <c r="O2724" s="31" t="str">
        <f>IF(交易處理資料__3[[#This Row],[上班時間]]=0,"否","是")</f>
        <v>是</v>
      </c>
    </row>
    <row r="2725" spans="1:15" hidden="1">
      <c r="A2725" s="10" t="s">
        <v>73</v>
      </c>
      <c r="B2725" t="s">
        <v>1</v>
      </c>
      <c r="C2725">
        <v>0</v>
      </c>
      <c r="D2725">
        <v>0</v>
      </c>
      <c r="E2725" s="27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 s="9">
        <v>45361</v>
      </c>
      <c r="L2725">
        <f xml:space="preserve"> (交易處理資料__3[[#This Row],[售出工時]] * 60) / 5</f>
        <v>0</v>
      </c>
      <c r="M2725" t="str">
        <f>VLOOKUP(交易處理資料__3[[#This Row],[人員代號]],團隊分組!$B$1:$C$52,2,FALSE)</f>
        <v>噴漆維修組</v>
      </c>
      <c r="N2725">
        <f>IF(交易處理資料__3[[#This Row],[上班時間]]=0,0,交易處理資料__3[[#This Row],[售出工時]]/交易處理資料__3[[#This Row],[上班時間]])</f>
        <v>0</v>
      </c>
      <c r="O2725" s="31" t="str">
        <f>IF(交易處理資料__3[[#This Row],[上班時間]]=0,"否","是")</f>
        <v>否</v>
      </c>
    </row>
    <row r="2726" spans="1:15" hidden="1">
      <c r="A2726" s="10" t="s">
        <v>73</v>
      </c>
      <c r="B2726" t="s">
        <v>2</v>
      </c>
      <c r="C2726">
        <v>0</v>
      </c>
      <c r="D2726">
        <v>0</v>
      </c>
      <c r="E2726" s="27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 s="9">
        <v>45361</v>
      </c>
      <c r="L2726">
        <f xml:space="preserve"> (交易處理資料__3[[#This Row],[售出工時]] * 60) / 5</f>
        <v>0</v>
      </c>
      <c r="M2726" t="str">
        <f>VLOOKUP(交易處理資料__3[[#This Row],[人員代號]],團隊分組!$B$1:$C$52,2,FALSE)</f>
        <v>噴漆維修組</v>
      </c>
      <c r="N2726">
        <f>IF(交易處理資料__3[[#This Row],[上班時間]]=0,0,交易處理資料__3[[#This Row],[售出工時]]/交易處理資料__3[[#This Row],[上班時間]])</f>
        <v>0</v>
      </c>
      <c r="O2726" s="31" t="str">
        <f>IF(交易處理資料__3[[#This Row],[上班時間]]=0,"否","是")</f>
        <v>否</v>
      </c>
    </row>
    <row r="2727" spans="1:15" hidden="1">
      <c r="A2727" s="10" t="s">
        <v>73</v>
      </c>
      <c r="B2727" t="s">
        <v>3</v>
      </c>
      <c r="C2727">
        <v>0</v>
      </c>
      <c r="D2727">
        <v>0</v>
      </c>
      <c r="E2727" s="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 s="9">
        <v>45361</v>
      </c>
      <c r="L2727">
        <f xml:space="preserve"> (交易處理資料__3[[#This Row],[售出工時]] * 60) / 5</f>
        <v>0</v>
      </c>
      <c r="M2727" t="str">
        <f>VLOOKUP(交易處理資料__3[[#This Row],[人員代號]],團隊分組!$B$1:$C$52,2,FALSE)</f>
        <v>噴漆維修組</v>
      </c>
      <c r="N2727">
        <f>IF(交易處理資料__3[[#This Row],[上班時間]]=0,0,交易處理資料__3[[#This Row],[售出工時]]/交易處理資料__3[[#This Row],[上班時間]])</f>
        <v>0</v>
      </c>
      <c r="O2727" s="31" t="str">
        <f>IF(交易處理資料__3[[#This Row],[上班時間]]=0,"否","是")</f>
        <v>否</v>
      </c>
    </row>
    <row r="2728" spans="1:15" hidden="1">
      <c r="A2728" s="10" t="s">
        <v>73</v>
      </c>
      <c r="B2728" t="s">
        <v>4</v>
      </c>
      <c r="C2728">
        <v>0</v>
      </c>
      <c r="D2728">
        <v>0</v>
      </c>
      <c r="E2728" s="27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 s="9">
        <v>45361</v>
      </c>
      <c r="L2728">
        <f xml:space="preserve"> (交易處理資料__3[[#This Row],[售出工時]] * 60) / 5</f>
        <v>0</v>
      </c>
      <c r="M2728" t="str">
        <f>VLOOKUP(交易處理資料__3[[#This Row],[人員代號]],團隊分組!$B$1:$C$52,2,FALSE)</f>
        <v>噴漆維修組</v>
      </c>
      <c r="N2728">
        <f>IF(交易處理資料__3[[#This Row],[上班時間]]=0,0,交易處理資料__3[[#This Row],[售出工時]]/交易處理資料__3[[#This Row],[上班時間]])</f>
        <v>0</v>
      </c>
      <c r="O2728" s="31" t="str">
        <f>IF(交易處理資料__3[[#This Row],[上班時間]]=0,"否","是")</f>
        <v>否</v>
      </c>
    </row>
    <row r="2729" spans="1:15" hidden="1">
      <c r="A2729" s="10" t="s">
        <v>73</v>
      </c>
      <c r="B2729" t="s">
        <v>5</v>
      </c>
      <c r="C2729">
        <v>0</v>
      </c>
      <c r="D2729">
        <v>0</v>
      </c>
      <c r="E2729" s="27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 s="9">
        <v>45361</v>
      </c>
      <c r="L2729">
        <f xml:space="preserve"> (交易處理資料__3[[#This Row],[售出工時]] * 60) / 5</f>
        <v>0</v>
      </c>
      <c r="M2729" t="str">
        <f>VLOOKUP(交易處理資料__3[[#This Row],[人員代號]],團隊分組!$B$1:$C$52,2,FALSE)</f>
        <v>噴漆維修組</v>
      </c>
      <c r="N2729">
        <f>IF(交易處理資料__3[[#This Row],[上班時間]]=0,0,交易處理資料__3[[#This Row],[售出工時]]/交易處理資料__3[[#This Row],[上班時間]])</f>
        <v>0</v>
      </c>
      <c r="O2729" s="31" t="str">
        <f>IF(交易處理資料__3[[#This Row],[上班時間]]=0,"否","是")</f>
        <v>否</v>
      </c>
    </row>
    <row r="2730" spans="1:15" hidden="1">
      <c r="A2730" s="10" t="s">
        <v>73</v>
      </c>
      <c r="B2730" t="s">
        <v>6</v>
      </c>
      <c r="C2730">
        <v>0</v>
      </c>
      <c r="D2730">
        <v>0</v>
      </c>
      <c r="E2730" s="27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 s="9">
        <v>45361</v>
      </c>
      <c r="L2730">
        <f xml:space="preserve"> (交易處理資料__3[[#This Row],[售出工時]] * 60) / 5</f>
        <v>0</v>
      </c>
      <c r="M2730" t="str">
        <f>VLOOKUP(交易處理資料__3[[#This Row],[人員代號]],團隊分組!$B$1:$C$52,2,FALSE)</f>
        <v>噴漆維修組</v>
      </c>
      <c r="N2730">
        <f>IF(交易處理資料__3[[#This Row],[上班時間]]=0,0,交易處理資料__3[[#This Row],[售出工時]]/交易處理資料__3[[#This Row],[上班時間]])</f>
        <v>0</v>
      </c>
      <c r="O2730" s="31" t="str">
        <f>IF(交易處理資料__3[[#This Row],[上班時間]]=0,"否","是")</f>
        <v>否</v>
      </c>
    </row>
    <row r="2731" spans="1:15" hidden="1">
      <c r="A2731" s="10" t="s">
        <v>73</v>
      </c>
      <c r="B2731" t="s">
        <v>7</v>
      </c>
      <c r="C2731">
        <v>0</v>
      </c>
      <c r="D2731">
        <v>0</v>
      </c>
      <c r="E2731" s="27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 s="9">
        <v>45361</v>
      </c>
      <c r="L2731">
        <f xml:space="preserve"> (交易處理資料__3[[#This Row],[售出工時]] * 60) / 5</f>
        <v>0</v>
      </c>
      <c r="M2731" t="str">
        <f>VLOOKUP(交易處理資料__3[[#This Row],[人員代號]],團隊分組!$B$1:$C$52,2,FALSE)</f>
        <v>噴漆維修組</v>
      </c>
      <c r="N2731">
        <f>IF(交易處理資料__3[[#This Row],[上班時間]]=0,0,交易處理資料__3[[#This Row],[售出工時]]/交易處理資料__3[[#This Row],[上班時間]])</f>
        <v>0</v>
      </c>
      <c r="O2731" s="31" t="str">
        <f>IF(交易處理資料__3[[#This Row],[上班時間]]=0,"否","是")</f>
        <v>否</v>
      </c>
    </row>
    <row r="2732" spans="1:15" hidden="1">
      <c r="A2732" s="10" t="s">
        <v>73</v>
      </c>
      <c r="B2732" t="s">
        <v>8</v>
      </c>
      <c r="C2732">
        <v>0</v>
      </c>
      <c r="D2732">
        <v>0</v>
      </c>
      <c r="E2732" s="27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 s="9">
        <v>45361</v>
      </c>
      <c r="L2732">
        <f xml:space="preserve"> (交易處理資料__3[[#This Row],[售出工時]] * 60) / 5</f>
        <v>0</v>
      </c>
      <c r="M2732" t="str">
        <f>VLOOKUP(交易處理資料__3[[#This Row],[人員代號]],團隊分組!$B$1:$C$52,2,FALSE)</f>
        <v>噴漆維修組</v>
      </c>
      <c r="N2732">
        <f>IF(交易處理資料__3[[#This Row],[上班時間]]=0,0,交易處理資料__3[[#This Row],[售出工時]]/交易處理資料__3[[#This Row],[上班時間]])</f>
        <v>0</v>
      </c>
      <c r="O2732" s="31" t="str">
        <f>IF(交易處理資料__3[[#This Row],[上班時間]]=0,"否","是")</f>
        <v>否</v>
      </c>
    </row>
    <row r="2733" spans="1:15" hidden="1">
      <c r="A2733" s="10" t="s">
        <v>73</v>
      </c>
      <c r="B2733" t="s">
        <v>9</v>
      </c>
      <c r="C2733">
        <v>0</v>
      </c>
      <c r="D2733">
        <v>0</v>
      </c>
      <c r="E2733" s="27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 s="9">
        <v>45361</v>
      </c>
      <c r="L2733">
        <f xml:space="preserve"> (交易處理資料__3[[#This Row],[售出工時]] * 60) / 5</f>
        <v>0</v>
      </c>
      <c r="M2733" t="str">
        <f>VLOOKUP(交易處理資料__3[[#This Row],[人員代號]],團隊分組!$B$1:$C$52,2,FALSE)</f>
        <v>噴漆維修組</v>
      </c>
      <c r="N2733">
        <f>IF(交易處理資料__3[[#This Row],[上班時間]]=0,0,交易處理資料__3[[#This Row],[售出工時]]/交易處理資料__3[[#This Row],[上班時間]])</f>
        <v>0</v>
      </c>
      <c r="O2733" s="31" t="str">
        <f>IF(交易處理資料__3[[#This Row],[上班時間]]=0,"否","是")</f>
        <v>否</v>
      </c>
    </row>
    <row r="2734" spans="1:15" hidden="1">
      <c r="A2734" t="s">
        <v>74</v>
      </c>
      <c r="B2734" t="s">
        <v>11</v>
      </c>
      <c r="C2734">
        <v>0</v>
      </c>
      <c r="D2734">
        <v>0</v>
      </c>
      <c r="E2734" s="27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 s="9">
        <v>45361</v>
      </c>
      <c r="L2734">
        <f xml:space="preserve"> (交易處理資料__3[[#This Row],[售出工時]] * 60) / 5</f>
        <v>0</v>
      </c>
      <c r="M2734" t="str">
        <f>VLOOKUP(交易處理資料__3[[#This Row],[人員代號]],團隊分組!$B$1:$C$52,2,FALSE)</f>
        <v>鈑金維修組</v>
      </c>
      <c r="N2734">
        <f>IF(交易處理資料__3[[#This Row],[上班時間]]=0,0,交易處理資料__3[[#This Row],[售出工時]]/交易處理資料__3[[#This Row],[上班時間]])</f>
        <v>0</v>
      </c>
      <c r="O2734" s="31" t="str">
        <f>IF(交易處理資料__3[[#This Row],[上班時間]]=0,"否","是")</f>
        <v>否</v>
      </c>
    </row>
    <row r="2735" spans="1:15" hidden="1">
      <c r="A2735" t="s">
        <v>74</v>
      </c>
      <c r="B2735" t="s">
        <v>12</v>
      </c>
      <c r="C2735">
        <v>0</v>
      </c>
      <c r="D2735">
        <v>0</v>
      </c>
      <c r="E2735" s="27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 s="9">
        <v>45361</v>
      </c>
      <c r="L2735">
        <f xml:space="preserve"> (交易處理資料__3[[#This Row],[售出工時]] * 60) / 5</f>
        <v>0</v>
      </c>
      <c r="M2735" t="str">
        <f>VLOOKUP(交易處理資料__3[[#This Row],[人員代號]],團隊分組!$B$1:$C$52,2,FALSE)</f>
        <v>鈑金維修組</v>
      </c>
      <c r="N2735">
        <f>IF(交易處理資料__3[[#This Row],[上班時間]]=0,0,交易處理資料__3[[#This Row],[售出工時]]/交易處理資料__3[[#This Row],[上班時間]])</f>
        <v>0</v>
      </c>
      <c r="O2735" s="31" t="str">
        <f>IF(交易處理資料__3[[#This Row],[上班時間]]=0,"否","是")</f>
        <v>否</v>
      </c>
    </row>
    <row r="2736" spans="1:15" hidden="1">
      <c r="A2736" t="s">
        <v>74</v>
      </c>
      <c r="B2736" t="s">
        <v>13</v>
      </c>
      <c r="C2736">
        <v>0</v>
      </c>
      <c r="D2736">
        <v>0</v>
      </c>
      <c r="E2736" s="27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 s="9">
        <v>45361</v>
      </c>
      <c r="L2736">
        <f xml:space="preserve"> (交易處理資料__3[[#This Row],[售出工時]] * 60) / 5</f>
        <v>0</v>
      </c>
      <c r="M2736" t="str">
        <f>VLOOKUP(交易處理資料__3[[#This Row],[人員代號]],團隊分組!$B$1:$C$52,2,FALSE)</f>
        <v>鈑金維修組</v>
      </c>
      <c r="N2736">
        <f>IF(交易處理資料__3[[#This Row],[上班時間]]=0,0,交易處理資料__3[[#This Row],[售出工時]]/交易處理資料__3[[#This Row],[上班時間]])</f>
        <v>0</v>
      </c>
      <c r="O2736" s="31" t="str">
        <f>IF(交易處理資料__3[[#This Row],[上班時間]]=0,"否","是")</f>
        <v>否</v>
      </c>
    </row>
    <row r="2737" spans="1:15" hidden="1">
      <c r="A2737" t="s">
        <v>74</v>
      </c>
      <c r="B2737" t="s">
        <v>14</v>
      </c>
      <c r="C2737">
        <v>0</v>
      </c>
      <c r="D2737">
        <v>0</v>
      </c>
      <c r="E2737" s="2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 s="9">
        <v>45361</v>
      </c>
      <c r="L2737">
        <f xml:space="preserve"> (交易處理資料__3[[#This Row],[售出工時]] * 60) / 5</f>
        <v>0</v>
      </c>
      <c r="M2737" t="str">
        <f>VLOOKUP(交易處理資料__3[[#This Row],[人員代號]],團隊分組!$B$1:$C$52,2,FALSE)</f>
        <v>鈑金維修組</v>
      </c>
      <c r="N2737">
        <f>IF(交易處理資料__3[[#This Row],[上班時間]]=0,0,交易處理資料__3[[#This Row],[售出工時]]/交易處理資料__3[[#This Row],[上班時間]])</f>
        <v>0</v>
      </c>
      <c r="O2737" s="31" t="str">
        <f>IF(交易處理資料__3[[#This Row],[上班時間]]=0,"否","是")</f>
        <v>否</v>
      </c>
    </row>
    <row r="2738" spans="1:15" hidden="1">
      <c r="A2738" t="s">
        <v>74</v>
      </c>
      <c r="B2738" t="s">
        <v>15</v>
      </c>
      <c r="C2738">
        <v>0</v>
      </c>
      <c r="D2738">
        <v>0</v>
      </c>
      <c r="E2738" s="27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 s="9">
        <v>45361</v>
      </c>
      <c r="L2738">
        <f xml:space="preserve"> (交易處理資料__3[[#This Row],[售出工時]] * 60) / 5</f>
        <v>0</v>
      </c>
      <c r="M2738" t="str">
        <f>VLOOKUP(交易處理資料__3[[#This Row],[人員代號]],團隊分組!$B$1:$C$52,2,FALSE)</f>
        <v>鈑金維修組</v>
      </c>
      <c r="N2738">
        <f>IF(交易處理資料__3[[#This Row],[上班時間]]=0,0,交易處理資料__3[[#This Row],[售出工時]]/交易處理資料__3[[#This Row],[上班時間]])</f>
        <v>0</v>
      </c>
      <c r="O2738" s="31" t="str">
        <f>IF(交易處理資料__3[[#This Row],[上班時間]]=0,"否","是")</f>
        <v>否</v>
      </c>
    </row>
    <row r="2739" spans="1:15" hidden="1">
      <c r="A2739" t="s">
        <v>75</v>
      </c>
      <c r="B2739" t="s">
        <v>17</v>
      </c>
      <c r="C2739">
        <v>0</v>
      </c>
      <c r="D2739">
        <v>0</v>
      </c>
      <c r="E2739" s="27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 s="9">
        <v>45361</v>
      </c>
      <c r="L2739">
        <f xml:space="preserve"> (交易處理資料__3[[#This Row],[售出工時]] * 60) / 5</f>
        <v>0</v>
      </c>
      <c r="M2739" t="str">
        <f>VLOOKUP(交易處理資料__3[[#This Row],[人員代號]],團隊分組!$B$1:$C$52,2,FALSE)</f>
        <v>快速保養團隊A</v>
      </c>
      <c r="N2739">
        <f>IF(交易處理資料__3[[#This Row],[上班時間]]=0,0,交易處理資料__3[[#This Row],[售出工時]]/交易處理資料__3[[#This Row],[上班時間]])</f>
        <v>0</v>
      </c>
      <c r="O2739" s="31" t="str">
        <f>IF(交易處理資料__3[[#This Row],[上班時間]]=0,"否","是")</f>
        <v>否</v>
      </c>
    </row>
    <row r="2740" spans="1:15" hidden="1">
      <c r="A2740" t="s">
        <v>75</v>
      </c>
      <c r="B2740" t="s">
        <v>18</v>
      </c>
      <c r="C2740">
        <v>0</v>
      </c>
      <c r="D2740">
        <v>0</v>
      </c>
      <c r="E2740" s="27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 s="9">
        <v>45361</v>
      </c>
      <c r="L2740">
        <f xml:space="preserve"> (交易處理資料__3[[#This Row],[售出工時]] * 60) / 5</f>
        <v>0</v>
      </c>
      <c r="M2740" t="str">
        <f>VLOOKUP(交易處理資料__3[[#This Row],[人員代號]],團隊分組!$B$1:$C$52,2,FALSE)</f>
        <v>查修團隊B</v>
      </c>
      <c r="N2740">
        <f>IF(交易處理資料__3[[#This Row],[上班時間]]=0,0,交易處理資料__3[[#This Row],[售出工時]]/交易處理資料__3[[#This Row],[上班時間]])</f>
        <v>0</v>
      </c>
      <c r="O2740" s="31" t="str">
        <f>IF(交易處理資料__3[[#This Row],[上班時間]]=0,"否","是")</f>
        <v>否</v>
      </c>
    </row>
    <row r="2741" spans="1:15" hidden="1">
      <c r="A2741" t="s">
        <v>75</v>
      </c>
      <c r="B2741" t="s">
        <v>19</v>
      </c>
      <c r="C2741">
        <v>0</v>
      </c>
      <c r="D2741">
        <v>0</v>
      </c>
      <c r="E2741" s="27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 s="9">
        <v>45361</v>
      </c>
      <c r="L2741">
        <f xml:space="preserve"> (交易處理資料__3[[#This Row],[售出工時]] * 60) / 5</f>
        <v>0</v>
      </c>
      <c r="M2741" t="str">
        <f>VLOOKUP(交易處理資料__3[[#This Row],[人員代號]],團隊分組!$B$1:$C$52,2,FALSE)</f>
        <v>查修團隊A</v>
      </c>
      <c r="N2741">
        <f>IF(交易處理資料__3[[#This Row],[上班時間]]=0,0,交易處理資料__3[[#This Row],[售出工時]]/交易處理資料__3[[#This Row],[上班時間]])</f>
        <v>0</v>
      </c>
      <c r="O2741" s="31" t="str">
        <f>IF(交易處理資料__3[[#This Row],[上班時間]]=0,"否","是")</f>
        <v>否</v>
      </c>
    </row>
    <row r="2742" spans="1:15" hidden="1">
      <c r="A2742" t="s">
        <v>75</v>
      </c>
      <c r="B2742" t="s">
        <v>20</v>
      </c>
      <c r="C2742">
        <v>0</v>
      </c>
      <c r="D2742">
        <v>0</v>
      </c>
      <c r="E2742" s="27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 s="9">
        <v>45361</v>
      </c>
      <c r="L2742">
        <f xml:space="preserve"> (交易處理資料__3[[#This Row],[售出工時]] * 60) / 5</f>
        <v>0</v>
      </c>
      <c r="M2742" t="str">
        <f>VLOOKUP(交易處理資料__3[[#This Row],[人員代號]],團隊分組!$B$1:$C$52,2,FALSE)</f>
        <v>查修團隊B</v>
      </c>
      <c r="N2742">
        <f>IF(交易處理資料__3[[#This Row],[上班時間]]=0,0,交易處理資料__3[[#This Row],[售出工時]]/交易處理資料__3[[#This Row],[上班時間]])</f>
        <v>0</v>
      </c>
      <c r="O2742" s="31" t="str">
        <f>IF(交易處理資料__3[[#This Row],[上班時間]]=0,"否","是")</f>
        <v>否</v>
      </c>
    </row>
    <row r="2743" spans="1:15" hidden="1">
      <c r="A2743" t="s">
        <v>75</v>
      </c>
      <c r="B2743" t="s">
        <v>21</v>
      </c>
      <c r="C2743">
        <v>0</v>
      </c>
      <c r="D2743">
        <v>0</v>
      </c>
      <c r="E2743" s="27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 s="9">
        <v>45361</v>
      </c>
      <c r="L2743">
        <f xml:space="preserve"> (交易處理資料__3[[#This Row],[售出工時]] * 60) / 5</f>
        <v>0</v>
      </c>
      <c r="M2743" t="str">
        <f>VLOOKUP(交易處理資料__3[[#This Row],[人員代號]],團隊分組!$B$1:$C$52,2,FALSE)</f>
        <v>查修團隊B</v>
      </c>
      <c r="N2743">
        <f>IF(交易處理資料__3[[#This Row],[上班時間]]=0,0,交易處理資料__3[[#This Row],[售出工時]]/交易處理資料__3[[#This Row],[上班時間]])</f>
        <v>0</v>
      </c>
      <c r="O2743" s="31" t="str">
        <f>IF(交易處理資料__3[[#This Row],[上班時間]]=0,"否","是")</f>
        <v>否</v>
      </c>
    </row>
    <row r="2744" spans="1:15" hidden="1">
      <c r="A2744" t="s">
        <v>75</v>
      </c>
      <c r="B2744" t="s">
        <v>22</v>
      </c>
      <c r="C2744">
        <v>0</v>
      </c>
      <c r="D2744">
        <v>0</v>
      </c>
      <c r="E2744" s="27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 s="9">
        <v>45361</v>
      </c>
      <c r="L2744">
        <f xml:space="preserve"> (交易處理資料__3[[#This Row],[售出工時]] * 60) / 5</f>
        <v>0</v>
      </c>
      <c r="M2744" t="str">
        <f>VLOOKUP(交易處理資料__3[[#This Row],[人員代號]],團隊分組!$B$1:$C$52,2,FALSE)</f>
        <v>快速保養團隊A</v>
      </c>
      <c r="N2744">
        <f>IF(交易處理資料__3[[#This Row],[上班時間]]=0,0,交易處理資料__3[[#This Row],[售出工時]]/交易處理資料__3[[#This Row],[上班時間]])</f>
        <v>0</v>
      </c>
      <c r="O2744" s="31" t="str">
        <f>IF(交易處理資料__3[[#This Row],[上班時間]]=0,"否","是")</f>
        <v>否</v>
      </c>
    </row>
    <row r="2745" spans="1:15" hidden="1">
      <c r="A2745" t="s">
        <v>75</v>
      </c>
      <c r="B2745" t="s">
        <v>23</v>
      </c>
      <c r="C2745">
        <v>0</v>
      </c>
      <c r="D2745">
        <v>0</v>
      </c>
      <c r="E2745" s="27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 s="9">
        <v>45361</v>
      </c>
      <c r="L2745">
        <f xml:space="preserve"> (交易處理資料__3[[#This Row],[售出工時]] * 60) / 5</f>
        <v>0</v>
      </c>
      <c r="M2745" t="str">
        <f>VLOOKUP(交易處理資料__3[[#This Row],[人員代號]],團隊分組!$B$1:$C$52,2,FALSE)</f>
        <v>快速保養團隊B</v>
      </c>
      <c r="N2745">
        <f>IF(交易處理資料__3[[#This Row],[上班時間]]=0,0,交易處理資料__3[[#This Row],[售出工時]]/交易處理資料__3[[#This Row],[上班時間]])</f>
        <v>0</v>
      </c>
      <c r="O2745" s="31" t="str">
        <f>IF(交易處理資料__3[[#This Row],[上班時間]]=0,"否","是")</f>
        <v>否</v>
      </c>
    </row>
    <row r="2746" spans="1:15" hidden="1">
      <c r="A2746" t="s">
        <v>75</v>
      </c>
      <c r="B2746" t="s">
        <v>24</v>
      </c>
      <c r="C2746">
        <v>0</v>
      </c>
      <c r="D2746">
        <v>0</v>
      </c>
      <c r="E2746" s="27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 s="9">
        <v>45361</v>
      </c>
      <c r="L2746">
        <f xml:space="preserve"> (交易處理資料__3[[#This Row],[售出工時]] * 60) / 5</f>
        <v>0</v>
      </c>
      <c r="M2746" t="str">
        <f>VLOOKUP(交易處理資料__3[[#This Row],[人員代號]],團隊分組!$B$1:$C$52,2,FALSE)</f>
        <v>快速保養團隊A</v>
      </c>
      <c r="N2746">
        <f>IF(交易處理資料__3[[#This Row],[上班時間]]=0,0,交易處理資料__3[[#This Row],[售出工時]]/交易處理資料__3[[#This Row],[上班時間]])</f>
        <v>0</v>
      </c>
      <c r="O2746" s="31" t="str">
        <f>IF(交易處理資料__3[[#This Row],[上班時間]]=0,"否","是")</f>
        <v>否</v>
      </c>
    </row>
    <row r="2747" spans="1:15" hidden="1">
      <c r="A2747" t="s">
        <v>75</v>
      </c>
      <c r="B2747" t="s">
        <v>25</v>
      </c>
      <c r="C2747">
        <v>0</v>
      </c>
      <c r="D2747">
        <v>0</v>
      </c>
      <c r="E2747" s="2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 s="9">
        <v>45361</v>
      </c>
      <c r="L2747">
        <f xml:space="preserve"> (交易處理資料__3[[#This Row],[售出工時]] * 60) / 5</f>
        <v>0</v>
      </c>
      <c r="M2747" t="str">
        <f>VLOOKUP(交易處理資料__3[[#This Row],[人員代號]],團隊分組!$B$1:$C$52,2,FALSE)</f>
        <v>查修團隊A</v>
      </c>
      <c r="N2747">
        <f>IF(交易處理資料__3[[#This Row],[上班時間]]=0,0,交易處理資料__3[[#This Row],[售出工時]]/交易處理資料__3[[#This Row],[上班時間]])</f>
        <v>0</v>
      </c>
      <c r="O2747" s="31" t="str">
        <f>IF(交易處理資料__3[[#This Row],[上班時間]]=0,"否","是")</f>
        <v>否</v>
      </c>
    </row>
    <row r="2748" spans="1:15" hidden="1">
      <c r="A2748" t="s">
        <v>75</v>
      </c>
      <c r="B2748" t="s">
        <v>26</v>
      </c>
      <c r="C2748">
        <v>0</v>
      </c>
      <c r="D2748">
        <v>0</v>
      </c>
      <c r="E2748" s="27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 s="9">
        <v>45361</v>
      </c>
      <c r="L2748">
        <f xml:space="preserve"> (交易處理資料__3[[#This Row],[售出工時]] * 60) / 5</f>
        <v>0</v>
      </c>
      <c r="M2748" t="str">
        <f>VLOOKUP(交易處理資料__3[[#This Row],[人員代號]],團隊分組!$B$1:$C$52,2,FALSE)</f>
        <v>查修團隊B</v>
      </c>
      <c r="N2748">
        <f>IF(交易處理資料__3[[#This Row],[上班時間]]=0,0,交易處理資料__3[[#This Row],[售出工時]]/交易處理資料__3[[#This Row],[上班時間]])</f>
        <v>0</v>
      </c>
      <c r="O2748" s="31" t="str">
        <f>IF(交易處理資料__3[[#This Row],[上班時間]]=0,"否","是")</f>
        <v>否</v>
      </c>
    </row>
    <row r="2749" spans="1:15" hidden="1">
      <c r="A2749" t="s">
        <v>75</v>
      </c>
      <c r="B2749" t="s">
        <v>27</v>
      </c>
      <c r="C2749">
        <v>0</v>
      </c>
      <c r="D2749">
        <v>0</v>
      </c>
      <c r="E2749" s="27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 s="9">
        <v>45361</v>
      </c>
      <c r="L2749">
        <f xml:space="preserve"> (交易處理資料__3[[#This Row],[售出工時]] * 60) / 5</f>
        <v>0</v>
      </c>
      <c r="M2749" t="str">
        <f>VLOOKUP(交易處理資料__3[[#This Row],[人員代號]],團隊分組!$B$1:$C$52,2,FALSE)</f>
        <v>快速保養團隊B</v>
      </c>
      <c r="N2749">
        <f>IF(交易處理資料__3[[#This Row],[上班時間]]=0,0,交易處理資料__3[[#This Row],[售出工時]]/交易處理資料__3[[#This Row],[上班時間]])</f>
        <v>0</v>
      </c>
      <c r="O2749" s="31" t="str">
        <f>IF(交易處理資料__3[[#This Row],[上班時間]]=0,"否","是")</f>
        <v>否</v>
      </c>
    </row>
    <row r="2750" spans="1:15" hidden="1">
      <c r="A2750" t="s">
        <v>75</v>
      </c>
      <c r="B2750" t="s">
        <v>28</v>
      </c>
      <c r="C2750">
        <v>0</v>
      </c>
      <c r="D2750">
        <v>0</v>
      </c>
      <c r="E2750" s="27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 s="9">
        <v>45361</v>
      </c>
      <c r="L2750">
        <f xml:space="preserve"> (交易處理資料__3[[#This Row],[售出工時]] * 60) / 5</f>
        <v>0</v>
      </c>
      <c r="M2750" t="str">
        <f>VLOOKUP(交易處理資料__3[[#This Row],[人員代號]],團隊分組!$B$1:$C$52,2,FALSE)</f>
        <v>快速保養團隊A</v>
      </c>
      <c r="N2750">
        <f>IF(交易處理資料__3[[#This Row],[上班時間]]=0,0,交易處理資料__3[[#This Row],[售出工時]]/交易處理資料__3[[#This Row],[上班時間]])</f>
        <v>0</v>
      </c>
      <c r="O2750" s="31" t="str">
        <f>IF(交易處理資料__3[[#This Row],[上班時間]]=0,"否","是")</f>
        <v>否</v>
      </c>
    </row>
    <row r="2751" spans="1:15" hidden="1">
      <c r="A2751" t="s">
        <v>75</v>
      </c>
      <c r="B2751" t="s">
        <v>29</v>
      </c>
      <c r="C2751">
        <v>0</v>
      </c>
      <c r="D2751">
        <v>0</v>
      </c>
      <c r="E2751" s="27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 s="9">
        <v>45361</v>
      </c>
      <c r="L2751">
        <f xml:space="preserve"> (交易處理資料__3[[#This Row],[售出工時]] * 60) / 5</f>
        <v>0</v>
      </c>
      <c r="M2751" t="str">
        <f>VLOOKUP(交易處理資料__3[[#This Row],[人員代號]],團隊分組!$B$1:$C$52,2,FALSE)</f>
        <v>查修團隊B</v>
      </c>
      <c r="N2751">
        <f>IF(交易處理資料__3[[#This Row],[上班時間]]=0,0,交易處理資料__3[[#This Row],[售出工時]]/交易處理資料__3[[#This Row],[上班時間]])</f>
        <v>0</v>
      </c>
      <c r="O2751" s="31" t="str">
        <f>IF(交易處理資料__3[[#This Row],[上班時間]]=0,"否","是")</f>
        <v>否</v>
      </c>
    </row>
    <row r="2752" spans="1:15" hidden="1">
      <c r="A2752" t="s">
        <v>75</v>
      </c>
      <c r="B2752" t="s">
        <v>30</v>
      </c>
      <c r="C2752">
        <v>0</v>
      </c>
      <c r="D2752">
        <v>0</v>
      </c>
      <c r="E2752" s="27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 s="9">
        <v>45361</v>
      </c>
      <c r="L2752">
        <f xml:space="preserve"> (交易處理資料__3[[#This Row],[售出工時]] * 60) / 5</f>
        <v>0</v>
      </c>
      <c r="M2752" t="str">
        <f>VLOOKUP(交易處理資料__3[[#This Row],[人員代號]],團隊分組!$B$1:$C$52,2,FALSE)</f>
        <v>快速保養團隊B</v>
      </c>
      <c r="N2752">
        <f>IF(交易處理資料__3[[#This Row],[上班時間]]=0,0,交易處理資料__3[[#This Row],[售出工時]]/交易處理資料__3[[#This Row],[上班時間]])</f>
        <v>0</v>
      </c>
      <c r="O2752" s="31" t="str">
        <f>IF(交易處理資料__3[[#This Row],[上班時間]]=0,"否","是")</f>
        <v>否</v>
      </c>
    </row>
    <row r="2753" spans="1:15" hidden="1">
      <c r="A2753" t="s">
        <v>75</v>
      </c>
      <c r="B2753" t="s">
        <v>32</v>
      </c>
      <c r="C2753">
        <v>0</v>
      </c>
      <c r="D2753">
        <v>0</v>
      </c>
      <c r="E2753" s="27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 s="9">
        <v>45361</v>
      </c>
      <c r="L2753">
        <f xml:space="preserve"> (交易處理資料__3[[#This Row],[售出工時]] * 60) / 5</f>
        <v>0</v>
      </c>
      <c r="M2753" t="str">
        <f>VLOOKUP(交易處理資料__3[[#This Row],[人員代號]],團隊分組!$B$1:$C$52,2,FALSE)</f>
        <v>快速保養團隊B</v>
      </c>
      <c r="N2753">
        <f>IF(交易處理資料__3[[#This Row],[上班時間]]=0,0,交易處理資料__3[[#This Row],[售出工時]]/交易處理資料__3[[#This Row],[上班時間]])</f>
        <v>0</v>
      </c>
      <c r="O2753" s="31" t="str">
        <f>IF(交易處理資料__3[[#This Row],[上班時間]]=0,"否","是")</f>
        <v>否</v>
      </c>
    </row>
    <row r="2754" spans="1:15">
      <c r="A2754" t="s">
        <v>75</v>
      </c>
      <c r="B2754" t="s">
        <v>33</v>
      </c>
      <c r="C2754">
        <v>0</v>
      </c>
      <c r="D2754">
        <v>0</v>
      </c>
      <c r="E2754" s="27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 s="9">
        <v>45361</v>
      </c>
      <c r="L2754">
        <f xml:space="preserve"> (交易處理資料__3[[#This Row],[售出工時]] * 60) / 5</f>
        <v>0</v>
      </c>
      <c r="M2754" t="str">
        <f>VLOOKUP(交易處理資料__3[[#This Row],[人員代號]],團隊分組!$B$1:$C$52,2,FALSE)</f>
        <v>快速保養團隊B</v>
      </c>
      <c r="N2754">
        <f>IF(交易處理資料__3[[#This Row],[上班時間]]=0,0,交易處理資料__3[[#This Row],[售出工時]]/交易處理資料__3[[#This Row],[上班時間]])</f>
        <v>0</v>
      </c>
      <c r="O2754" s="31" t="str">
        <f>IF(交易處理資料__3[[#This Row],[上班時間]]=0,"否","是")</f>
        <v>否</v>
      </c>
    </row>
    <row r="2755" spans="1:15" hidden="1">
      <c r="A2755" t="s">
        <v>75</v>
      </c>
      <c r="B2755" t="s">
        <v>34</v>
      </c>
      <c r="C2755">
        <v>0</v>
      </c>
      <c r="D2755">
        <v>0</v>
      </c>
      <c r="E2755" s="27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 s="9">
        <v>45361</v>
      </c>
      <c r="L2755">
        <f xml:space="preserve"> (交易處理資料__3[[#This Row],[售出工時]] * 60) / 5</f>
        <v>0</v>
      </c>
      <c r="M2755" t="str">
        <f>VLOOKUP(交易處理資料__3[[#This Row],[人員代號]],團隊分組!$B$1:$C$52,2,FALSE)</f>
        <v>快速保養團隊A</v>
      </c>
      <c r="N2755">
        <f>IF(交易處理資料__3[[#This Row],[上班時間]]=0,0,交易處理資料__3[[#This Row],[售出工時]]/交易處理資料__3[[#This Row],[上班時間]])</f>
        <v>0</v>
      </c>
      <c r="O2755" s="31" t="str">
        <f>IF(交易處理資料__3[[#This Row],[上班時間]]=0,"否","是")</f>
        <v>否</v>
      </c>
    </row>
    <row r="2756" spans="1:15" hidden="1">
      <c r="A2756" t="s">
        <v>75</v>
      </c>
      <c r="B2756" t="s">
        <v>35</v>
      </c>
      <c r="C2756">
        <v>0</v>
      </c>
      <c r="D2756">
        <v>0</v>
      </c>
      <c r="E2756" s="27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 s="9">
        <v>45361</v>
      </c>
      <c r="L2756">
        <f xml:space="preserve"> (交易處理資料__3[[#This Row],[售出工時]] * 60) / 5</f>
        <v>0</v>
      </c>
      <c r="M2756" t="str">
        <f>VLOOKUP(交易處理資料__3[[#This Row],[人員代號]],團隊分組!$B$1:$C$52,2,FALSE)</f>
        <v>查修團隊B</v>
      </c>
      <c r="N2756">
        <f>IF(交易處理資料__3[[#This Row],[上班時間]]=0,0,交易處理資料__3[[#This Row],[售出工時]]/交易處理資料__3[[#This Row],[上班時間]])</f>
        <v>0</v>
      </c>
      <c r="O2756" s="31" t="str">
        <f>IF(交易處理資料__3[[#This Row],[上班時間]]=0,"否","是")</f>
        <v>否</v>
      </c>
    </row>
    <row r="2757" spans="1:15" hidden="1">
      <c r="A2757" t="s">
        <v>75</v>
      </c>
      <c r="B2757" t="s">
        <v>36</v>
      </c>
      <c r="C2757">
        <v>0</v>
      </c>
      <c r="D2757">
        <v>0</v>
      </c>
      <c r="E2757" s="2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 s="9">
        <v>45361</v>
      </c>
      <c r="L2757">
        <f xml:space="preserve"> (交易處理資料__3[[#This Row],[售出工時]] * 60) / 5</f>
        <v>0</v>
      </c>
      <c r="M2757" t="str">
        <f>VLOOKUP(交易處理資料__3[[#This Row],[人員代號]],團隊分組!$B$1:$C$52,2,FALSE)</f>
        <v>查修團隊B</v>
      </c>
      <c r="N2757">
        <f>IF(交易處理資料__3[[#This Row],[上班時間]]=0,0,交易處理資料__3[[#This Row],[售出工時]]/交易處理資料__3[[#This Row],[上班時間]])</f>
        <v>0</v>
      </c>
      <c r="O2757" s="31" t="str">
        <f>IF(交易處理資料__3[[#This Row],[上班時間]]=0,"否","是")</f>
        <v>否</v>
      </c>
    </row>
    <row r="2758" spans="1:15" hidden="1">
      <c r="A2758" t="s">
        <v>75</v>
      </c>
      <c r="B2758" t="s">
        <v>37</v>
      </c>
      <c r="C2758">
        <v>0</v>
      </c>
      <c r="D2758">
        <v>0</v>
      </c>
      <c r="E2758" s="27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 s="9">
        <v>45361</v>
      </c>
      <c r="L2758">
        <f xml:space="preserve"> (交易處理資料__3[[#This Row],[售出工時]] * 60) / 5</f>
        <v>0</v>
      </c>
      <c r="M2758" t="str">
        <f>VLOOKUP(交易處理資料__3[[#This Row],[人員代號]],團隊分組!$B$1:$C$52,2,FALSE)</f>
        <v>查修團隊A</v>
      </c>
      <c r="N2758">
        <f>IF(交易處理資料__3[[#This Row],[上班時間]]=0,0,交易處理資料__3[[#This Row],[售出工時]]/交易處理資料__3[[#This Row],[上班時間]])</f>
        <v>0</v>
      </c>
      <c r="O2758" s="31" t="str">
        <f>IF(交易處理資料__3[[#This Row],[上班時間]]=0,"否","是")</f>
        <v>否</v>
      </c>
    </row>
    <row r="2759" spans="1:15" hidden="1">
      <c r="A2759" t="s">
        <v>75</v>
      </c>
      <c r="B2759" t="s">
        <v>38</v>
      </c>
      <c r="C2759">
        <v>0</v>
      </c>
      <c r="D2759">
        <v>0</v>
      </c>
      <c r="E2759" s="27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 s="9">
        <v>45361</v>
      </c>
      <c r="L2759">
        <f xml:space="preserve"> (交易處理資料__3[[#This Row],[售出工時]] * 60) / 5</f>
        <v>0</v>
      </c>
      <c r="M2759" t="str">
        <f>VLOOKUP(交易處理資料__3[[#This Row],[人員代號]],團隊分組!$B$1:$C$52,2,FALSE)</f>
        <v>快速保養團隊A</v>
      </c>
      <c r="N2759">
        <f>IF(交易處理資料__3[[#This Row],[上班時間]]=0,0,交易處理資料__3[[#This Row],[售出工時]]/交易處理資料__3[[#This Row],[上班時間]])</f>
        <v>0</v>
      </c>
      <c r="O2759" s="31" t="str">
        <f>IF(交易處理資料__3[[#This Row],[上班時間]]=0,"否","是")</f>
        <v>否</v>
      </c>
    </row>
    <row r="2760" spans="1:15" hidden="1">
      <c r="A2760" t="s">
        <v>75</v>
      </c>
      <c r="B2760" t="s">
        <v>39</v>
      </c>
      <c r="C2760">
        <v>0</v>
      </c>
      <c r="D2760">
        <v>0</v>
      </c>
      <c r="E2760" s="27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 s="9">
        <v>45361</v>
      </c>
      <c r="L2760">
        <f xml:space="preserve"> (交易處理資料__3[[#This Row],[售出工時]] * 60) / 5</f>
        <v>0</v>
      </c>
      <c r="M2760" t="str">
        <f>VLOOKUP(交易處理資料__3[[#This Row],[人員代號]],團隊分組!$B$1:$C$52,2,FALSE)</f>
        <v>查修團隊A</v>
      </c>
      <c r="N2760">
        <f>IF(交易處理資料__3[[#This Row],[上班時間]]=0,0,交易處理資料__3[[#This Row],[售出工時]]/交易處理資料__3[[#This Row],[上班時間]])</f>
        <v>0</v>
      </c>
      <c r="O2760" s="31" t="str">
        <f>IF(交易處理資料__3[[#This Row],[上班時間]]=0,"否","是")</f>
        <v>否</v>
      </c>
    </row>
    <row r="2761" spans="1:15" hidden="1">
      <c r="A2761" t="s">
        <v>75</v>
      </c>
      <c r="B2761" t="s">
        <v>40</v>
      </c>
      <c r="C2761">
        <v>0</v>
      </c>
      <c r="D2761">
        <v>0</v>
      </c>
      <c r="E2761" s="27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 s="9">
        <v>45361</v>
      </c>
      <c r="L2761">
        <f xml:space="preserve"> (交易處理資料__3[[#This Row],[售出工時]] * 60) / 5</f>
        <v>0</v>
      </c>
      <c r="M2761" t="str">
        <f>VLOOKUP(交易處理資料__3[[#This Row],[人員代號]],團隊分組!$B$1:$C$52,2,FALSE)</f>
        <v>查修團隊A</v>
      </c>
      <c r="N2761">
        <f>IF(交易處理資料__3[[#This Row],[上班時間]]=0,0,交易處理資料__3[[#This Row],[售出工時]]/交易處理資料__3[[#This Row],[上班時間]])</f>
        <v>0</v>
      </c>
      <c r="O2761" s="31" t="str">
        <f>IF(交易處理資料__3[[#This Row],[上班時間]]=0,"否","是")</f>
        <v>否</v>
      </c>
    </row>
    <row r="2762" spans="1:15" hidden="1">
      <c r="A2762" t="s">
        <v>75</v>
      </c>
      <c r="B2762" t="s">
        <v>41</v>
      </c>
      <c r="C2762">
        <v>0</v>
      </c>
      <c r="D2762">
        <v>0</v>
      </c>
      <c r="E2762" s="27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 s="9">
        <v>45361</v>
      </c>
      <c r="L2762">
        <f xml:space="preserve"> (交易處理資料__3[[#This Row],[售出工時]] * 60) / 5</f>
        <v>0</v>
      </c>
      <c r="M2762" t="str">
        <f>VLOOKUP(交易處理資料__3[[#This Row],[人員代號]],團隊分組!$B$1:$C$52,2,FALSE)</f>
        <v>快速保養團隊A</v>
      </c>
      <c r="N2762">
        <f>IF(交易處理資料__3[[#This Row],[上班時間]]=0,0,交易處理資料__3[[#This Row],[售出工時]]/交易處理資料__3[[#This Row],[上班時間]])</f>
        <v>0</v>
      </c>
      <c r="O2762" s="31" t="str">
        <f>IF(交易處理資料__3[[#This Row],[上班時間]]=0,"否","是")</f>
        <v>否</v>
      </c>
    </row>
    <row r="2763" spans="1:15" hidden="1">
      <c r="A2763" t="s">
        <v>75</v>
      </c>
      <c r="B2763" t="s">
        <v>42</v>
      </c>
      <c r="C2763">
        <v>0</v>
      </c>
      <c r="D2763">
        <v>0</v>
      </c>
      <c r="E2763" s="27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 s="9">
        <v>45361</v>
      </c>
      <c r="L2763">
        <f xml:space="preserve"> (交易處理資料__3[[#This Row],[售出工時]] * 60) / 5</f>
        <v>0</v>
      </c>
      <c r="M2763" t="str">
        <f>VLOOKUP(交易處理資料__3[[#This Row],[人員代號]],團隊分組!$B$1:$C$52,2,FALSE)</f>
        <v>快速保養團隊A</v>
      </c>
      <c r="N2763">
        <f>IF(交易處理資料__3[[#This Row],[上班時間]]=0,0,交易處理資料__3[[#This Row],[售出工時]]/交易處理資料__3[[#This Row],[上班時間]])</f>
        <v>0</v>
      </c>
      <c r="O2763" s="31" t="str">
        <f>IF(交易處理資料__3[[#This Row],[上班時間]]=0,"否","是")</f>
        <v>否</v>
      </c>
    </row>
    <row r="2764" spans="1:15" hidden="1">
      <c r="A2764" t="s">
        <v>75</v>
      </c>
      <c r="B2764" t="s">
        <v>43</v>
      </c>
      <c r="C2764">
        <v>0</v>
      </c>
      <c r="D2764">
        <v>0</v>
      </c>
      <c r="E2764" s="27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 s="9">
        <v>45361</v>
      </c>
      <c r="L2764">
        <f xml:space="preserve"> (交易處理資料__3[[#This Row],[售出工時]] * 60) / 5</f>
        <v>0</v>
      </c>
      <c r="M2764" t="str">
        <f>VLOOKUP(交易處理資料__3[[#This Row],[人員代號]],團隊分組!$B$1:$C$52,2,FALSE)</f>
        <v>查修團隊B</v>
      </c>
      <c r="N2764">
        <f>IF(交易處理資料__3[[#This Row],[上班時間]]=0,0,交易處理資料__3[[#This Row],[售出工時]]/交易處理資料__3[[#This Row],[上班時間]])</f>
        <v>0</v>
      </c>
      <c r="O2764" s="31" t="str">
        <f>IF(交易處理資料__3[[#This Row],[上班時間]]=0,"否","是")</f>
        <v>否</v>
      </c>
    </row>
    <row r="2765" spans="1:15" hidden="1">
      <c r="A2765" t="s">
        <v>75</v>
      </c>
      <c r="B2765" t="s">
        <v>44</v>
      </c>
      <c r="C2765">
        <v>0</v>
      </c>
      <c r="D2765">
        <v>0</v>
      </c>
      <c r="E2765" s="27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 s="9">
        <v>45361</v>
      </c>
      <c r="L2765">
        <f xml:space="preserve"> (交易處理資料__3[[#This Row],[售出工時]] * 60) / 5</f>
        <v>0</v>
      </c>
      <c r="M2765" t="str">
        <f>VLOOKUP(交易處理資料__3[[#This Row],[人員代號]],團隊分組!$B$1:$C$52,2,FALSE)</f>
        <v>快速保養團隊B</v>
      </c>
      <c r="N2765">
        <f>IF(交易處理資料__3[[#This Row],[上班時間]]=0,0,交易處理資料__3[[#This Row],[售出工時]]/交易處理資料__3[[#This Row],[上班時間]])</f>
        <v>0</v>
      </c>
      <c r="O2765" s="31" t="str">
        <f>IF(交易處理資料__3[[#This Row],[上班時間]]=0,"否","是")</f>
        <v>否</v>
      </c>
    </row>
    <row r="2766" spans="1:15" hidden="1">
      <c r="A2766" t="s">
        <v>75</v>
      </c>
      <c r="B2766" t="s">
        <v>45</v>
      </c>
      <c r="C2766">
        <v>0</v>
      </c>
      <c r="D2766">
        <v>0</v>
      </c>
      <c r="E2766" s="27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 s="9">
        <v>45361</v>
      </c>
      <c r="L2766">
        <f xml:space="preserve"> (交易處理資料__3[[#This Row],[售出工時]] * 60) / 5</f>
        <v>0</v>
      </c>
      <c r="M2766" t="str">
        <f>VLOOKUP(交易處理資料__3[[#This Row],[人員代號]],團隊分組!$B$1:$C$52,2,FALSE)</f>
        <v>快速保養團隊A</v>
      </c>
      <c r="N2766">
        <f>IF(交易處理資料__3[[#This Row],[上班時間]]=0,0,交易處理資料__3[[#This Row],[售出工時]]/交易處理資料__3[[#This Row],[上班時間]])</f>
        <v>0</v>
      </c>
      <c r="O2766" s="31" t="str">
        <f>IF(交易處理資料__3[[#This Row],[上班時間]]=0,"否","是")</f>
        <v>否</v>
      </c>
    </row>
    <row r="2767" spans="1:15" hidden="1">
      <c r="A2767" t="s">
        <v>75</v>
      </c>
      <c r="B2767" t="s">
        <v>46</v>
      </c>
      <c r="C2767">
        <v>0</v>
      </c>
      <c r="D2767">
        <v>0</v>
      </c>
      <c r="E2767" s="2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 s="9">
        <v>45361</v>
      </c>
      <c r="L2767">
        <f xml:space="preserve"> (交易處理資料__3[[#This Row],[售出工時]] * 60) / 5</f>
        <v>0</v>
      </c>
      <c r="M2767" t="str">
        <f>VLOOKUP(交易處理資料__3[[#This Row],[人員代號]],團隊分組!$B$1:$C$52,2,FALSE)</f>
        <v>查修團隊B</v>
      </c>
      <c r="N2767">
        <f>IF(交易處理資料__3[[#This Row],[上班時間]]=0,0,交易處理資料__3[[#This Row],[售出工時]]/交易處理資料__3[[#This Row],[上班時間]])</f>
        <v>0</v>
      </c>
      <c r="O2767" s="31" t="str">
        <f>IF(交易處理資料__3[[#This Row],[上班時間]]=0,"否","是")</f>
        <v>否</v>
      </c>
    </row>
    <row r="2768" spans="1:15" hidden="1">
      <c r="A2768" t="s">
        <v>75</v>
      </c>
      <c r="B2768" t="s">
        <v>47</v>
      </c>
      <c r="C2768">
        <v>0</v>
      </c>
      <c r="D2768">
        <v>0</v>
      </c>
      <c r="E2768" s="27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 s="9">
        <v>45361</v>
      </c>
      <c r="L2768">
        <f xml:space="preserve"> (交易處理資料__3[[#This Row],[售出工時]] * 60) / 5</f>
        <v>0</v>
      </c>
      <c r="M2768" t="str">
        <f>VLOOKUP(交易處理資料__3[[#This Row],[人員代號]],團隊分組!$B$1:$C$52,2,FALSE)</f>
        <v>查修團隊B</v>
      </c>
      <c r="N2768">
        <f>IF(交易處理資料__3[[#This Row],[上班時間]]=0,0,交易處理資料__3[[#This Row],[售出工時]]/交易處理資料__3[[#This Row],[上班時間]])</f>
        <v>0</v>
      </c>
      <c r="O2768" s="31" t="str">
        <f>IF(交易處理資料__3[[#This Row],[上班時間]]=0,"否","是")</f>
        <v>否</v>
      </c>
    </row>
    <row r="2769" spans="1:15" hidden="1">
      <c r="A2769" t="s">
        <v>75</v>
      </c>
      <c r="B2769" t="s">
        <v>48</v>
      </c>
      <c r="C2769">
        <v>0</v>
      </c>
      <c r="D2769">
        <v>0</v>
      </c>
      <c r="E2769" s="27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 s="9">
        <v>45361</v>
      </c>
      <c r="L2769">
        <f xml:space="preserve"> (交易處理資料__3[[#This Row],[售出工時]] * 60) / 5</f>
        <v>0</v>
      </c>
      <c r="M2769" t="str">
        <f>VLOOKUP(交易處理資料__3[[#This Row],[人員代號]],團隊分組!$B$1:$C$52,2,FALSE)</f>
        <v>查修團隊A</v>
      </c>
      <c r="N2769">
        <f>IF(交易處理資料__3[[#This Row],[上班時間]]=0,0,交易處理資料__3[[#This Row],[售出工時]]/交易處理資料__3[[#This Row],[上班時間]])</f>
        <v>0</v>
      </c>
      <c r="O2769" s="31" t="str">
        <f>IF(交易處理資料__3[[#This Row],[上班時間]]=0,"否","是")</f>
        <v>否</v>
      </c>
    </row>
    <row r="2770" spans="1:15" hidden="1">
      <c r="A2770" t="s">
        <v>75</v>
      </c>
      <c r="B2770" t="s">
        <v>49</v>
      </c>
      <c r="C2770">
        <v>0</v>
      </c>
      <c r="D2770">
        <v>0</v>
      </c>
      <c r="E2770" s="27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 s="9">
        <v>45361</v>
      </c>
      <c r="L2770">
        <f xml:space="preserve"> (交易處理資料__3[[#This Row],[售出工時]] * 60) / 5</f>
        <v>0</v>
      </c>
      <c r="M2770" t="str">
        <f>VLOOKUP(交易處理資料__3[[#This Row],[人員代號]],團隊分組!$B$1:$C$52,2,FALSE)</f>
        <v>查修團隊A</v>
      </c>
      <c r="N2770">
        <f>IF(交易處理資料__3[[#This Row],[上班時間]]=0,0,交易處理資料__3[[#This Row],[售出工時]]/交易處理資料__3[[#This Row],[上班時間]])</f>
        <v>0</v>
      </c>
      <c r="O2770" s="31" t="str">
        <f>IF(交易處理資料__3[[#This Row],[上班時間]]=0,"否","是")</f>
        <v>否</v>
      </c>
    </row>
    <row r="2771" spans="1:15" hidden="1">
      <c r="A2771" t="s">
        <v>75</v>
      </c>
      <c r="B2771" t="s">
        <v>50</v>
      </c>
      <c r="C2771">
        <v>0</v>
      </c>
      <c r="D2771">
        <v>0</v>
      </c>
      <c r="E2771" s="27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 s="9">
        <v>45361</v>
      </c>
      <c r="L2771">
        <f xml:space="preserve"> (交易處理資料__3[[#This Row],[售出工時]] * 60) / 5</f>
        <v>0</v>
      </c>
      <c r="M2771" t="str">
        <f>VLOOKUP(交易處理資料__3[[#This Row],[人員代號]],團隊分組!$B$1:$C$52,2,FALSE)</f>
        <v>快速保養團隊B</v>
      </c>
      <c r="N2771">
        <f>IF(交易處理資料__3[[#This Row],[上班時間]]=0,0,交易處理資料__3[[#This Row],[售出工時]]/交易處理資料__3[[#This Row],[上班時間]])</f>
        <v>0</v>
      </c>
      <c r="O2771" s="31" t="str">
        <f>IF(交易處理資料__3[[#This Row],[上班時間]]=0,"否","是")</f>
        <v>否</v>
      </c>
    </row>
    <row r="2772" spans="1:15" hidden="1">
      <c r="A2772" t="s">
        <v>75</v>
      </c>
      <c r="B2772" t="s">
        <v>51</v>
      </c>
      <c r="C2772">
        <v>0</v>
      </c>
      <c r="D2772">
        <v>0</v>
      </c>
      <c r="E2772" s="27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 s="9">
        <v>45361</v>
      </c>
      <c r="L2772">
        <f xml:space="preserve"> (交易處理資料__3[[#This Row],[售出工時]] * 60) / 5</f>
        <v>0</v>
      </c>
      <c r="M2772" t="str">
        <f>VLOOKUP(交易處理資料__3[[#This Row],[人員代號]],團隊分組!$B$1:$C$52,2,FALSE)</f>
        <v>無效數據</v>
      </c>
      <c r="N2772">
        <f>IF(交易處理資料__3[[#This Row],[上班時間]]=0,0,交易處理資料__3[[#This Row],[售出工時]]/交易處理資料__3[[#This Row],[上班時間]])</f>
        <v>0</v>
      </c>
      <c r="O2772" s="31" t="str">
        <f>IF(交易處理資料__3[[#This Row],[上班時間]]=0,"否","是")</f>
        <v>否</v>
      </c>
    </row>
    <row r="2773" spans="1:15" hidden="1">
      <c r="A2773" t="s">
        <v>75</v>
      </c>
      <c r="B2773" t="s">
        <v>52</v>
      </c>
      <c r="C2773">
        <v>0</v>
      </c>
      <c r="D2773">
        <v>0</v>
      </c>
      <c r="E2773" s="27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 s="9">
        <v>45361</v>
      </c>
      <c r="L2773">
        <f xml:space="preserve"> (交易處理資料__3[[#This Row],[售出工時]] * 60) / 5</f>
        <v>0</v>
      </c>
      <c r="M2773" t="str">
        <f>VLOOKUP(交易處理資料__3[[#This Row],[人員代號]],團隊分組!$B$1:$C$52,2,FALSE)</f>
        <v>查修團隊B</v>
      </c>
      <c r="N2773">
        <f>IF(交易處理資料__3[[#This Row],[上班時間]]=0,0,交易處理資料__3[[#This Row],[售出工時]]/交易處理資料__3[[#This Row],[上班時間]])</f>
        <v>0</v>
      </c>
      <c r="O2773" s="31" t="str">
        <f>IF(交易處理資料__3[[#This Row],[上班時間]]=0,"否","是")</f>
        <v>否</v>
      </c>
    </row>
    <row r="2774" spans="1:15" hidden="1">
      <c r="A2774" t="s">
        <v>75</v>
      </c>
      <c r="B2774" t="s">
        <v>53</v>
      </c>
      <c r="C2774">
        <v>0</v>
      </c>
      <c r="D2774">
        <v>0</v>
      </c>
      <c r="E2774" s="27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 s="9">
        <v>45361</v>
      </c>
      <c r="L2774">
        <f xml:space="preserve"> (交易處理資料__3[[#This Row],[售出工時]] * 60) / 5</f>
        <v>0</v>
      </c>
      <c r="M2774" t="str">
        <f>VLOOKUP(交易處理資料__3[[#This Row],[人員代號]],團隊分組!$B$1:$C$52,2,FALSE)</f>
        <v>查修團隊A</v>
      </c>
      <c r="N2774">
        <f>IF(交易處理資料__3[[#This Row],[上班時間]]=0,0,交易處理資料__3[[#This Row],[售出工時]]/交易處理資料__3[[#This Row],[上班時間]])</f>
        <v>0</v>
      </c>
      <c r="O2774" s="31" t="str">
        <f>IF(交易處理資料__3[[#This Row],[上班時間]]=0,"否","是")</f>
        <v>否</v>
      </c>
    </row>
    <row r="2775" spans="1:15" hidden="1">
      <c r="A2775" s="10" t="s">
        <v>73</v>
      </c>
      <c r="B2775" t="s">
        <v>1</v>
      </c>
      <c r="C2775">
        <v>0</v>
      </c>
      <c r="D2775">
        <v>0</v>
      </c>
      <c r="E2775" s="27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 s="9">
        <v>45362</v>
      </c>
      <c r="L2775">
        <f xml:space="preserve"> (交易處理資料__3[[#This Row],[售出工時]] * 60) / 5</f>
        <v>0</v>
      </c>
      <c r="M2775" t="str">
        <f>VLOOKUP(交易處理資料__3[[#This Row],[人員代號]],團隊分組!$B$1:$C$52,2,FALSE)</f>
        <v>噴漆維修組</v>
      </c>
      <c r="N2775">
        <f>IF(交易處理資料__3[[#This Row],[上班時間]]=0,0,交易處理資料__3[[#This Row],[售出工時]]/交易處理資料__3[[#This Row],[上班時間]])</f>
        <v>0</v>
      </c>
      <c r="O2775" s="31" t="str">
        <f>IF(交易處理資料__3[[#This Row],[上班時間]]=0,"否","是")</f>
        <v>否</v>
      </c>
    </row>
    <row r="2776" spans="1:15" hidden="1">
      <c r="A2776" s="10" t="s">
        <v>73</v>
      </c>
      <c r="B2776" t="s">
        <v>2</v>
      </c>
      <c r="C2776">
        <v>1.19</v>
      </c>
      <c r="D2776">
        <v>6.95</v>
      </c>
      <c r="E2776" s="27">
        <v>17.12230216</v>
      </c>
      <c r="F2776">
        <v>10.24</v>
      </c>
      <c r="G2776">
        <v>0.14000000000000001</v>
      </c>
      <c r="H2776">
        <v>10.38</v>
      </c>
      <c r="I2776">
        <v>98.65</v>
      </c>
      <c r="J2776">
        <v>11.46</v>
      </c>
      <c r="K2776" s="9">
        <v>45362</v>
      </c>
      <c r="L2776">
        <f xml:space="preserve"> (交易處理資料__3[[#This Row],[售出工時]] * 60) / 5</f>
        <v>14.279999999999998</v>
      </c>
      <c r="M2776" t="str">
        <f>VLOOKUP(交易處理資料__3[[#This Row],[人員代號]],團隊分組!$B$1:$C$52,2,FALSE)</f>
        <v>噴漆維修組</v>
      </c>
      <c r="N2776">
        <f>IF(交易處理資料__3[[#This Row],[上班時間]]=0,0,交易處理資料__3[[#This Row],[售出工時]]/交易處理資料__3[[#This Row],[上班時間]])</f>
        <v>0.11464354527938342</v>
      </c>
      <c r="O2776" s="31" t="str">
        <f>IF(交易處理資料__3[[#This Row],[上班時間]]=0,"否","是")</f>
        <v>是</v>
      </c>
    </row>
    <row r="2777" spans="1:15" hidden="1">
      <c r="A2777" s="10" t="s">
        <v>73</v>
      </c>
      <c r="B2777" t="s">
        <v>3</v>
      </c>
      <c r="C2777">
        <v>1.19</v>
      </c>
      <c r="D2777">
        <v>6.95</v>
      </c>
      <c r="E2777" s="27">
        <v>17.12230216</v>
      </c>
      <c r="F2777">
        <v>10.25</v>
      </c>
      <c r="G2777">
        <v>0.14000000000000001</v>
      </c>
      <c r="H2777">
        <v>10.39</v>
      </c>
      <c r="I2777">
        <v>98.65</v>
      </c>
      <c r="J2777">
        <v>11.45</v>
      </c>
      <c r="K2777" s="9">
        <v>45362</v>
      </c>
      <c r="L2777">
        <f xml:space="preserve"> (交易處理資料__3[[#This Row],[售出工時]] * 60) / 5</f>
        <v>14.279999999999998</v>
      </c>
      <c r="M2777" t="str">
        <f>VLOOKUP(交易處理資料__3[[#This Row],[人員代號]],團隊分組!$B$1:$C$52,2,FALSE)</f>
        <v>噴漆維修組</v>
      </c>
      <c r="N2777">
        <f>IF(交易處理資料__3[[#This Row],[上班時間]]=0,0,交易處理資料__3[[#This Row],[售出工時]]/交易處理資料__3[[#This Row],[上班時間]])</f>
        <v>0.1145332050048123</v>
      </c>
      <c r="O2777" s="31" t="str">
        <f>IF(交易處理資料__3[[#This Row],[上班時間]]=0,"否","是")</f>
        <v>是</v>
      </c>
    </row>
    <row r="2778" spans="1:15" hidden="1">
      <c r="A2778" s="10" t="s">
        <v>73</v>
      </c>
      <c r="B2778" t="s">
        <v>4</v>
      </c>
      <c r="C2778">
        <v>0.75</v>
      </c>
      <c r="D2778">
        <v>6</v>
      </c>
      <c r="E2778" s="27">
        <v>12.5</v>
      </c>
      <c r="F2778">
        <v>7.9</v>
      </c>
      <c r="G2778">
        <v>0.09</v>
      </c>
      <c r="H2778">
        <v>7.99</v>
      </c>
      <c r="I2778">
        <v>98.87</v>
      </c>
      <c r="J2778">
        <v>9.39</v>
      </c>
      <c r="K2778" s="9">
        <v>45362</v>
      </c>
      <c r="L2778">
        <f xml:space="preserve"> (交易處理資料__3[[#This Row],[售出工時]] * 60) / 5</f>
        <v>9</v>
      </c>
      <c r="M2778" t="str">
        <f>VLOOKUP(交易處理資料__3[[#This Row],[人員代號]],團隊分組!$B$1:$C$52,2,FALSE)</f>
        <v>噴漆維修組</v>
      </c>
      <c r="N2778">
        <f>IF(交易處理資料__3[[#This Row],[上班時間]]=0,0,交易處理資料__3[[#This Row],[售出工時]]/交易處理資料__3[[#This Row],[上班時間]])</f>
        <v>9.3867334167709635E-2</v>
      </c>
      <c r="O2778" s="31" t="str">
        <f>IF(交易處理資料__3[[#This Row],[上班時間]]=0,"否","是")</f>
        <v>是</v>
      </c>
    </row>
    <row r="2779" spans="1:15" hidden="1">
      <c r="A2779" s="10" t="s">
        <v>73</v>
      </c>
      <c r="B2779" t="s">
        <v>5</v>
      </c>
      <c r="C2779">
        <v>5.55</v>
      </c>
      <c r="D2779">
        <v>8.41</v>
      </c>
      <c r="E2779" s="27">
        <v>65.992865640000005</v>
      </c>
      <c r="F2779">
        <v>10.27</v>
      </c>
      <c r="G2779">
        <v>0.16</v>
      </c>
      <c r="H2779">
        <v>10.43</v>
      </c>
      <c r="I2779">
        <v>98.47</v>
      </c>
      <c r="J2779">
        <v>53.21</v>
      </c>
      <c r="K2779" s="9">
        <v>45362</v>
      </c>
      <c r="L2779">
        <f xml:space="preserve"> (交易處理資料__3[[#This Row],[售出工時]] * 60) / 5</f>
        <v>66.599999999999994</v>
      </c>
      <c r="M2779" t="str">
        <f>VLOOKUP(交易處理資料__3[[#This Row],[人員代號]],團隊分組!$B$1:$C$52,2,FALSE)</f>
        <v>噴漆維修組</v>
      </c>
      <c r="N2779">
        <f>IF(交易處理資料__3[[#This Row],[上班時間]]=0,0,交易處理資料__3[[#This Row],[售出工時]]/交易處理資料__3[[#This Row],[上班時間]])</f>
        <v>0.53211888782358585</v>
      </c>
      <c r="O2779" s="31" t="str">
        <f>IF(交易處理資料__3[[#This Row],[上班時間]]=0,"否","是")</f>
        <v>是</v>
      </c>
    </row>
    <row r="2780" spans="1:15" hidden="1">
      <c r="A2780" s="10" t="s">
        <v>73</v>
      </c>
      <c r="B2780" t="s">
        <v>6</v>
      </c>
      <c r="C2780">
        <v>1.19</v>
      </c>
      <c r="D2780">
        <v>6.95</v>
      </c>
      <c r="E2780" s="27">
        <v>17.12230216</v>
      </c>
      <c r="F2780">
        <v>10.23</v>
      </c>
      <c r="G2780">
        <v>0.14000000000000001</v>
      </c>
      <c r="H2780">
        <v>10.37</v>
      </c>
      <c r="I2780">
        <v>98.65</v>
      </c>
      <c r="J2780">
        <v>11.48</v>
      </c>
      <c r="K2780" s="9">
        <v>45362</v>
      </c>
      <c r="L2780">
        <f xml:space="preserve"> (交易處理資料__3[[#This Row],[售出工時]] * 60) / 5</f>
        <v>14.279999999999998</v>
      </c>
      <c r="M2780" t="str">
        <f>VLOOKUP(交易處理資料__3[[#This Row],[人員代號]],團隊分組!$B$1:$C$52,2,FALSE)</f>
        <v>噴漆維修組</v>
      </c>
      <c r="N2780">
        <f>IF(交易處理資料__3[[#This Row],[上班時間]]=0,0,交易處理資料__3[[#This Row],[售出工時]]/交易處理資料__3[[#This Row],[上班時間]])</f>
        <v>0.11475409836065574</v>
      </c>
      <c r="O2780" s="31" t="str">
        <f>IF(交易處理資料__3[[#This Row],[上班時間]]=0,"否","是")</f>
        <v>是</v>
      </c>
    </row>
    <row r="2781" spans="1:15" hidden="1">
      <c r="A2781" s="10" t="s">
        <v>73</v>
      </c>
      <c r="B2781" t="s">
        <v>7</v>
      </c>
      <c r="C2781">
        <v>7.2166666670000001</v>
      </c>
      <c r="D2781">
        <v>8.91</v>
      </c>
      <c r="E2781" s="27">
        <v>80.995136549999998</v>
      </c>
      <c r="F2781">
        <v>10.26</v>
      </c>
      <c r="G2781">
        <v>0.16</v>
      </c>
      <c r="H2781">
        <v>10.42</v>
      </c>
      <c r="I2781">
        <v>98.46</v>
      </c>
      <c r="J2781">
        <v>69.260000000000005</v>
      </c>
      <c r="K2781" s="9">
        <v>45362</v>
      </c>
      <c r="L2781">
        <f xml:space="preserve"> (交易處理資料__3[[#This Row],[售出工時]] * 60) / 5</f>
        <v>86.600000004000009</v>
      </c>
      <c r="M2781" t="str">
        <f>VLOOKUP(交易處理資料__3[[#This Row],[人員代號]],團隊分組!$B$1:$C$52,2,FALSE)</f>
        <v>噴漆維修組</v>
      </c>
      <c r="N2781">
        <f>IF(交易處理資料__3[[#This Row],[上班時間]]=0,0,交易處理資料__3[[#This Row],[售出工時]]/交易處理資料__3[[#This Row],[上班時間]])</f>
        <v>0.69257837495201535</v>
      </c>
      <c r="O2781" s="31" t="str">
        <f>IF(交易處理資料__3[[#This Row],[上班時間]]=0,"否","是")</f>
        <v>是</v>
      </c>
    </row>
    <row r="2782" spans="1:15" hidden="1">
      <c r="A2782" s="10" t="s">
        <v>73</v>
      </c>
      <c r="B2782" t="s">
        <v>8</v>
      </c>
      <c r="C2782">
        <v>3.29</v>
      </c>
      <c r="D2782">
        <v>9.61</v>
      </c>
      <c r="E2782" s="27">
        <v>34.235171700000002</v>
      </c>
      <c r="F2782">
        <v>10.18</v>
      </c>
      <c r="G2782">
        <v>0.09</v>
      </c>
      <c r="H2782">
        <v>10.27</v>
      </c>
      <c r="I2782">
        <v>99.12</v>
      </c>
      <c r="J2782">
        <v>32.04</v>
      </c>
      <c r="K2782" s="9">
        <v>45362</v>
      </c>
      <c r="L2782">
        <f xml:space="preserve"> (交易處理資料__3[[#This Row],[售出工時]] * 60) / 5</f>
        <v>39.480000000000004</v>
      </c>
      <c r="M2782" t="str">
        <f>VLOOKUP(交易處理資料__3[[#This Row],[人員代號]],團隊分組!$B$1:$C$52,2,FALSE)</f>
        <v>噴漆維修組</v>
      </c>
      <c r="N2782">
        <f>IF(交易處理資料__3[[#This Row],[上班時間]]=0,0,交易處理資料__3[[#This Row],[售出工時]]/交易處理資料__3[[#This Row],[上班時間]])</f>
        <v>0.32035053554040899</v>
      </c>
      <c r="O2782" s="31" t="str">
        <f>IF(交易處理資料__3[[#This Row],[上班時間]]=0,"否","是")</f>
        <v>是</v>
      </c>
    </row>
    <row r="2783" spans="1:15" hidden="1">
      <c r="A2783" s="10" t="s">
        <v>73</v>
      </c>
      <c r="B2783" t="s">
        <v>9</v>
      </c>
      <c r="C2783">
        <v>4.37</v>
      </c>
      <c r="D2783">
        <v>6.23</v>
      </c>
      <c r="E2783" s="27">
        <v>70.144462279999999</v>
      </c>
      <c r="F2783">
        <v>10.31</v>
      </c>
      <c r="G2783">
        <v>0.19</v>
      </c>
      <c r="H2783">
        <v>10.5</v>
      </c>
      <c r="I2783">
        <v>98.19</v>
      </c>
      <c r="J2783">
        <v>41.62</v>
      </c>
      <c r="K2783" s="9">
        <v>45362</v>
      </c>
      <c r="L2783">
        <f xml:space="preserve"> (交易處理資料__3[[#This Row],[售出工時]] * 60) / 5</f>
        <v>52.44</v>
      </c>
      <c r="M2783" t="str">
        <f>VLOOKUP(交易處理資料__3[[#This Row],[人員代號]],團隊分組!$B$1:$C$52,2,FALSE)</f>
        <v>噴漆維修組</v>
      </c>
      <c r="N2783">
        <f>IF(交易處理資料__3[[#This Row],[上班時間]]=0,0,交易處理資料__3[[#This Row],[售出工時]]/交易處理資料__3[[#This Row],[上班時間]])</f>
        <v>0.41619047619047622</v>
      </c>
      <c r="O2783" s="31" t="str">
        <f>IF(交易處理資料__3[[#This Row],[上班時間]]=0,"否","是")</f>
        <v>是</v>
      </c>
    </row>
    <row r="2784" spans="1:15" hidden="1">
      <c r="A2784" t="s">
        <v>74</v>
      </c>
      <c r="B2784" t="s">
        <v>11</v>
      </c>
      <c r="C2784">
        <v>0</v>
      </c>
      <c r="D2784">
        <v>0</v>
      </c>
      <c r="E2784" s="27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 s="9">
        <v>45362</v>
      </c>
      <c r="L2784">
        <f xml:space="preserve"> (交易處理資料__3[[#This Row],[售出工時]] * 60) / 5</f>
        <v>0</v>
      </c>
      <c r="M2784" t="str">
        <f>VLOOKUP(交易處理資料__3[[#This Row],[人員代號]],團隊分組!$B$1:$C$52,2,FALSE)</f>
        <v>鈑金維修組</v>
      </c>
      <c r="N2784">
        <f>IF(交易處理資料__3[[#This Row],[上班時間]]=0,0,交易處理資料__3[[#This Row],[售出工時]]/交易處理資料__3[[#This Row],[上班時間]])</f>
        <v>0</v>
      </c>
      <c r="O2784" s="31" t="str">
        <f>IF(交易處理資料__3[[#This Row],[上班時間]]=0,"否","是")</f>
        <v>否</v>
      </c>
    </row>
    <row r="2785" spans="1:15" hidden="1">
      <c r="A2785" t="s">
        <v>74</v>
      </c>
      <c r="B2785" t="s">
        <v>12</v>
      </c>
      <c r="C2785">
        <v>0</v>
      </c>
      <c r="D2785">
        <v>0</v>
      </c>
      <c r="E2785" s="27">
        <v>0</v>
      </c>
      <c r="F2785">
        <v>5.39</v>
      </c>
      <c r="G2785">
        <v>2.56</v>
      </c>
      <c r="H2785">
        <v>7.95</v>
      </c>
      <c r="I2785">
        <v>67.8</v>
      </c>
      <c r="J2785">
        <v>0</v>
      </c>
      <c r="K2785" s="9">
        <v>45362</v>
      </c>
      <c r="L2785">
        <f xml:space="preserve"> (交易處理資料__3[[#This Row],[售出工時]] * 60) / 5</f>
        <v>0</v>
      </c>
      <c r="M2785" t="str">
        <f>VLOOKUP(交易處理資料__3[[#This Row],[人員代號]],團隊分組!$B$1:$C$52,2,FALSE)</f>
        <v>鈑金維修組</v>
      </c>
      <c r="N2785">
        <f>IF(交易處理資料__3[[#This Row],[上班時間]]=0,0,交易處理資料__3[[#This Row],[售出工時]]/交易處理資料__3[[#This Row],[上班時間]])</f>
        <v>0</v>
      </c>
      <c r="O2785" s="31" t="str">
        <f>IF(交易處理資料__3[[#This Row],[上班時間]]=0,"否","是")</f>
        <v>是</v>
      </c>
    </row>
    <row r="2786" spans="1:15" hidden="1">
      <c r="A2786" t="s">
        <v>74</v>
      </c>
      <c r="B2786" t="s">
        <v>14</v>
      </c>
      <c r="C2786">
        <v>6.86</v>
      </c>
      <c r="D2786">
        <v>6.35</v>
      </c>
      <c r="E2786" s="27">
        <v>108.0314961</v>
      </c>
      <c r="F2786">
        <v>3.55</v>
      </c>
      <c r="G2786">
        <v>4.45</v>
      </c>
      <c r="H2786">
        <v>8</v>
      </c>
      <c r="I2786">
        <v>44.38</v>
      </c>
      <c r="J2786">
        <v>85.75</v>
      </c>
      <c r="K2786" s="9">
        <v>45362</v>
      </c>
      <c r="L2786">
        <f xml:space="preserve"> (交易處理資料__3[[#This Row],[售出工時]] * 60) / 5</f>
        <v>82.320000000000007</v>
      </c>
      <c r="M2786" t="str">
        <f>VLOOKUP(交易處理資料__3[[#This Row],[人員代號]],團隊分組!$B$1:$C$52,2,FALSE)</f>
        <v>鈑金維修組</v>
      </c>
      <c r="N2786">
        <f>IF(交易處理資料__3[[#This Row],[上班時間]]=0,0,交易處理資料__3[[#This Row],[售出工時]]/交易處理資料__3[[#This Row],[上班時間]])</f>
        <v>0.85750000000000004</v>
      </c>
      <c r="O2786" s="31" t="str">
        <f>IF(交易處理資料__3[[#This Row],[上班時間]]=0,"否","是")</f>
        <v>是</v>
      </c>
    </row>
    <row r="2787" spans="1:15" hidden="1">
      <c r="A2787" t="s">
        <v>75</v>
      </c>
      <c r="B2787" t="s">
        <v>17</v>
      </c>
      <c r="C2787">
        <v>11.41666667</v>
      </c>
      <c r="D2787">
        <v>4.7300000000000004</v>
      </c>
      <c r="E2787" s="27">
        <v>241.36716000000001</v>
      </c>
      <c r="F2787">
        <v>6.33</v>
      </c>
      <c r="G2787">
        <v>1.68</v>
      </c>
      <c r="H2787">
        <v>8.01</v>
      </c>
      <c r="I2787">
        <v>79.03</v>
      </c>
      <c r="J2787">
        <v>142.53</v>
      </c>
      <c r="K2787" s="9">
        <v>45362</v>
      </c>
      <c r="L2787">
        <f xml:space="preserve"> (交易處理資料__3[[#This Row],[售出工時]] * 60) / 5</f>
        <v>137.00000003999997</v>
      </c>
      <c r="M2787" t="str">
        <f>VLOOKUP(交易處理資料__3[[#This Row],[人員代號]],團隊分組!$B$1:$C$52,2,FALSE)</f>
        <v>快速保養團隊A</v>
      </c>
      <c r="N2787">
        <f>IF(交易處理資料__3[[#This Row],[上班時間]]=0,0,交易處理資料__3[[#This Row],[售出工時]]/交易處理資料__3[[#This Row],[上班時間]])</f>
        <v>1.4253017066167291</v>
      </c>
      <c r="O2787" s="31" t="str">
        <f>IF(交易處理資料__3[[#This Row],[上班時間]]=0,"否","是")</f>
        <v>是</v>
      </c>
    </row>
    <row r="2788" spans="1:15" hidden="1">
      <c r="A2788" t="s">
        <v>75</v>
      </c>
      <c r="B2788" t="s">
        <v>18</v>
      </c>
      <c r="C2788">
        <v>1.6666666670000001</v>
      </c>
      <c r="D2788">
        <v>3.87</v>
      </c>
      <c r="E2788" s="27">
        <v>43.066322139999997</v>
      </c>
      <c r="F2788">
        <v>7.93</v>
      </c>
      <c r="G2788">
        <v>0.2</v>
      </c>
      <c r="H2788">
        <v>8.1300000000000008</v>
      </c>
      <c r="I2788">
        <v>97.54</v>
      </c>
      <c r="J2788">
        <v>20.5</v>
      </c>
      <c r="K2788" s="9">
        <v>45362</v>
      </c>
      <c r="L2788">
        <f xml:space="preserve"> (交易處理資料__3[[#This Row],[售出工時]] * 60) / 5</f>
        <v>20.000000004</v>
      </c>
      <c r="M2788" t="str">
        <f>VLOOKUP(交易處理資料__3[[#This Row],[人員代號]],團隊分組!$B$1:$C$52,2,FALSE)</f>
        <v>查修團隊B</v>
      </c>
      <c r="N2788">
        <f>IF(交易處理資料__3[[#This Row],[上班時間]]=0,0,交易處理資料__3[[#This Row],[售出工時]]/交易處理資料__3[[#This Row],[上班時間]])</f>
        <v>0.2050020500615006</v>
      </c>
      <c r="O2788" s="31" t="str">
        <f>IF(交易處理資料__3[[#This Row],[上班時間]]=0,"否","是")</f>
        <v>是</v>
      </c>
    </row>
    <row r="2789" spans="1:15" hidden="1">
      <c r="A2789" t="s">
        <v>75</v>
      </c>
      <c r="B2789" t="s">
        <v>19</v>
      </c>
      <c r="C2789">
        <v>1.01</v>
      </c>
      <c r="D2789">
        <v>0.9</v>
      </c>
      <c r="E2789" s="27">
        <v>112.2222222</v>
      </c>
      <c r="F2789">
        <v>7.84</v>
      </c>
      <c r="G2789">
        <v>0.27</v>
      </c>
      <c r="H2789">
        <v>8.11</v>
      </c>
      <c r="I2789">
        <v>96.67</v>
      </c>
      <c r="J2789">
        <v>12.45</v>
      </c>
      <c r="K2789" s="9">
        <v>45362</v>
      </c>
      <c r="L2789">
        <f xml:space="preserve"> (交易處理資料__3[[#This Row],[售出工時]] * 60) / 5</f>
        <v>12.120000000000001</v>
      </c>
      <c r="M2789" t="str">
        <f>VLOOKUP(交易處理資料__3[[#This Row],[人員代號]],團隊分組!$B$1:$C$52,2,FALSE)</f>
        <v>查修團隊A</v>
      </c>
      <c r="N2789">
        <f>IF(交易處理資料__3[[#This Row],[上班時間]]=0,0,交易處理資料__3[[#This Row],[售出工時]]/交易處理資料__3[[#This Row],[上班時間]])</f>
        <v>0.124537607891492</v>
      </c>
      <c r="O2789" s="31" t="str">
        <f>IF(交易處理資料__3[[#This Row],[上班時間]]=0,"否","是")</f>
        <v>是</v>
      </c>
    </row>
    <row r="2790" spans="1:15" hidden="1">
      <c r="A2790" t="s">
        <v>75</v>
      </c>
      <c r="B2790" t="s">
        <v>20</v>
      </c>
      <c r="C2790">
        <v>1.25</v>
      </c>
      <c r="D2790">
        <v>4.05</v>
      </c>
      <c r="E2790" s="27">
        <v>30.864197529999998</v>
      </c>
      <c r="F2790">
        <v>6.69</v>
      </c>
      <c r="G2790">
        <v>3.15</v>
      </c>
      <c r="H2790">
        <v>9.84</v>
      </c>
      <c r="I2790">
        <v>67.989999999999995</v>
      </c>
      <c r="J2790">
        <v>12.7</v>
      </c>
      <c r="K2790" s="9">
        <v>45362</v>
      </c>
      <c r="L2790">
        <f xml:space="preserve"> (交易處理資料__3[[#This Row],[售出工時]] * 60) / 5</f>
        <v>15</v>
      </c>
      <c r="M2790" t="str">
        <f>VLOOKUP(交易處理資料__3[[#This Row],[人員代號]],團隊分組!$B$1:$C$52,2,FALSE)</f>
        <v>查修團隊B</v>
      </c>
      <c r="N2790">
        <f>IF(交易處理資料__3[[#This Row],[上班時間]]=0,0,交易處理資料__3[[#This Row],[售出工時]]/交易處理資料__3[[#This Row],[上班時間]])</f>
        <v>0.12703252032520326</v>
      </c>
      <c r="O2790" s="31" t="str">
        <f>IF(交易處理資料__3[[#This Row],[上班時間]]=0,"否","是")</f>
        <v>是</v>
      </c>
    </row>
    <row r="2791" spans="1:15" hidden="1">
      <c r="A2791" t="s">
        <v>75</v>
      </c>
      <c r="B2791" t="s">
        <v>21</v>
      </c>
      <c r="C2791">
        <v>0</v>
      </c>
      <c r="D2791">
        <v>0</v>
      </c>
      <c r="E2791" s="27">
        <v>0</v>
      </c>
      <c r="F2791">
        <v>4.88</v>
      </c>
      <c r="G2791">
        <v>3.04</v>
      </c>
      <c r="H2791">
        <v>7.92</v>
      </c>
      <c r="I2791">
        <v>61.62</v>
      </c>
      <c r="J2791">
        <v>0</v>
      </c>
      <c r="K2791" s="9">
        <v>45362</v>
      </c>
      <c r="L2791">
        <f xml:space="preserve"> (交易處理資料__3[[#This Row],[售出工時]] * 60) / 5</f>
        <v>0</v>
      </c>
      <c r="M2791" t="str">
        <f>VLOOKUP(交易處理資料__3[[#This Row],[人員代號]],團隊分組!$B$1:$C$52,2,FALSE)</f>
        <v>查修團隊B</v>
      </c>
      <c r="N2791">
        <f>IF(交易處理資料__3[[#This Row],[上班時間]]=0,0,交易處理資料__3[[#This Row],[售出工時]]/交易處理資料__3[[#This Row],[上班時間]])</f>
        <v>0</v>
      </c>
      <c r="O2791" s="31" t="str">
        <f>IF(交易處理資料__3[[#This Row],[上班時間]]=0,"否","是")</f>
        <v>是</v>
      </c>
    </row>
    <row r="2792" spans="1:15" hidden="1">
      <c r="A2792" t="s">
        <v>75</v>
      </c>
      <c r="B2792" t="s">
        <v>22</v>
      </c>
      <c r="C2792">
        <v>7.1666666670000003</v>
      </c>
      <c r="D2792">
        <v>5.32</v>
      </c>
      <c r="E2792" s="27">
        <v>134.71177940000001</v>
      </c>
      <c r="F2792">
        <v>7.12</v>
      </c>
      <c r="G2792">
        <v>0.84</v>
      </c>
      <c r="H2792">
        <v>7.96</v>
      </c>
      <c r="I2792">
        <v>89.45</v>
      </c>
      <c r="J2792">
        <v>90.03</v>
      </c>
      <c r="K2792" s="9">
        <v>45362</v>
      </c>
      <c r="L2792">
        <f xml:space="preserve"> (交易處理資料__3[[#This Row],[售出工時]] * 60) / 5</f>
        <v>86.000000004</v>
      </c>
      <c r="M2792" t="str">
        <f>VLOOKUP(交易處理資料__3[[#This Row],[人員代號]],團隊分組!$B$1:$C$52,2,FALSE)</f>
        <v>快速保養團隊A</v>
      </c>
      <c r="N2792">
        <f>IF(交易處理資料__3[[#This Row],[上班時間]]=0,0,交易處理資料__3[[#This Row],[售出工時]]/交易處理資料__3[[#This Row],[上班時間]])</f>
        <v>0.90033500841708547</v>
      </c>
      <c r="O2792" s="31" t="str">
        <f>IF(交易處理資料__3[[#This Row],[上班時間]]=0,"否","是")</f>
        <v>是</v>
      </c>
    </row>
    <row r="2793" spans="1:15" hidden="1">
      <c r="A2793" t="s">
        <v>75</v>
      </c>
      <c r="B2793" t="s">
        <v>23</v>
      </c>
      <c r="C2793">
        <v>7.2866666670000004</v>
      </c>
      <c r="D2793">
        <v>5.87</v>
      </c>
      <c r="E2793" s="27">
        <v>124.1340148</v>
      </c>
      <c r="F2793">
        <v>6.99</v>
      </c>
      <c r="G2793">
        <v>1.1100000000000001</v>
      </c>
      <c r="H2793">
        <v>8.1</v>
      </c>
      <c r="I2793">
        <v>86.3</v>
      </c>
      <c r="J2793">
        <v>89.96</v>
      </c>
      <c r="K2793" s="9">
        <v>45362</v>
      </c>
      <c r="L2793">
        <f xml:space="preserve"> (交易處理資料__3[[#This Row],[售出工時]] * 60) / 5</f>
        <v>87.440000003999998</v>
      </c>
      <c r="M2793" t="str">
        <f>VLOOKUP(交易處理資料__3[[#This Row],[人員代號]],團隊分組!$B$1:$C$52,2,FALSE)</f>
        <v>快速保養團隊B</v>
      </c>
      <c r="N2793">
        <f>IF(交易處理資料__3[[#This Row],[上班時間]]=0,0,交易處理資料__3[[#This Row],[售出工時]]/交易處理資料__3[[#This Row],[上班時間]])</f>
        <v>0.89958847740740755</v>
      </c>
      <c r="O2793" s="31" t="str">
        <f>IF(交易處理資料__3[[#This Row],[上班時間]]=0,"否","是")</f>
        <v>是</v>
      </c>
    </row>
    <row r="2794" spans="1:15" hidden="1">
      <c r="A2794" t="s">
        <v>75</v>
      </c>
      <c r="B2794" t="s">
        <v>24</v>
      </c>
      <c r="C2794">
        <v>11.91666667</v>
      </c>
      <c r="D2794">
        <v>6.88</v>
      </c>
      <c r="E2794" s="27">
        <v>173.20736429999999</v>
      </c>
      <c r="F2794">
        <v>6.87</v>
      </c>
      <c r="G2794">
        <v>1.07</v>
      </c>
      <c r="H2794">
        <v>7.94</v>
      </c>
      <c r="I2794">
        <v>86.52</v>
      </c>
      <c r="J2794">
        <v>150.08000000000001</v>
      </c>
      <c r="K2794" s="9">
        <v>45362</v>
      </c>
      <c r="L2794">
        <f xml:space="preserve"> (交易處理資料__3[[#This Row],[售出工時]] * 60) / 5</f>
        <v>143.00000003999997</v>
      </c>
      <c r="M2794" t="str">
        <f>VLOOKUP(交易處理資料__3[[#This Row],[人員代號]],團隊分組!$B$1:$C$52,2,FALSE)</f>
        <v>快速保養團隊A</v>
      </c>
      <c r="N2794">
        <f>IF(交易處理資料__3[[#This Row],[上班時間]]=0,0,交易處理資料__3[[#This Row],[售出工時]]/交易處理資料__3[[#This Row],[上班時間]])</f>
        <v>1.5008396309823677</v>
      </c>
      <c r="O2794" s="31" t="str">
        <f>IF(交易處理資料__3[[#This Row],[上班時間]]=0,"否","是")</f>
        <v>是</v>
      </c>
    </row>
    <row r="2795" spans="1:15" hidden="1">
      <c r="A2795" t="s">
        <v>75</v>
      </c>
      <c r="B2795" t="s">
        <v>25</v>
      </c>
      <c r="C2795">
        <v>0</v>
      </c>
      <c r="D2795">
        <v>0</v>
      </c>
      <c r="E2795" s="27">
        <v>0</v>
      </c>
      <c r="F2795">
        <v>6.97</v>
      </c>
      <c r="G2795">
        <v>1.1100000000000001</v>
      </c>
      <c r="H2795">
        <v>8.08</v>
      </c>
      <c r="I2795">
        <v>86.26</v>
      </c>
      <c r="J2795">
        <v>0</v>
      </c>
      <c r="K2795" s="9">
        <v>45362</v>
      </c>
      <c r="L2795">
        <f xml:space="preserve"> (交易處理資料__3[[#This Row],[售出工時]] * 60) / 5</f>
        <v>0</v>
      </c>
      <c r="M2795" t="str">
        <f>VLOOKUP(交易處理資料__3[[#This Row],[人員代號]],團隊分組!$B$1:$C$52,2,FALSE)</f>
        <v>查修團隊A</v>
      </c>
      <c r="N2795">
        <f>IF(交易處理資料__3[[#This Row],[上班時間]]=0,0,交易處理資料__3[[#This Row],[售出工時]]/交易處理資料__3[[#This Row],[上班時間]])</f>
        <v>0</v>
      </c>
      <c r="O2795" s="31" t="str">
        <f>IF(交易處理資料__3[[#This Row],[上班時間]]=0,"否","是")</f>
        <v>是</v>
      </c>
    </row>
    <row r="2796" spans="1:15" hidden="1">
      <c r="A2796" t="s">
        <v>75</v>
      </c>
      <c r="B2796" t="s">
        <v>26</v>
      </c>
      <c r="C2796">
        <v>0</v>
      </c>
      <c r="D2796">
        <v>0</v>
      </c>
      <c r="E2796" s="27">
        <v>0</v>
      </c>
      <c r="F2796">
        <v>2.02</v>
      </c>
      <c r="G2796">
        <v>7.85</v>
      </c>
      <c r="H2796">
        <v>9.8699999999999992</v>
      </c>
      <c r="I2796">
        <v>20.47</v>
      </c>
      <c r="J2796">
        <v>0</v>
      </c>
      <c r="K2796" s="9">
        <v>45362</v>
      </c>
      <c r="L2796">
        <f xml:space="preserve"> (交易處理資料__3[[#This Row],[售出工時]] * 60) / 5</f>
        <v>0</v>
      </c>
      <c r="M2796" t="str">
        <f>VLOOKUP(交易處理資料__3[[#This Row],[人員代號]],團隊分組!$B$1:$C$52,2,FALSE)</f>
        <v>查修團隊B</v>
      </c>
      <c r="N2796">
        <f>IF(交易處理資料__3[[#This Row],[上班時間]]=0,0,交易處理資料__3[[#This Row],[售出工時]]/交易處理資料__3[[#This Row],[上班時間]])</f>
        <v>0</v>
      </c>
      <c r="O2796" s="31" t="str">
        <f>IF(交易處理資料__3[[#This Row],[上班時間]]=0,"否","是")</f>
        <v>是</v>
      </c>
    </row>
    <row r="2797" spans="1:15" hidden="1">
      <c r="A2797" t="s">
        <v>75</v>
      </c>
      <c r="B2797" t="s">
        <v>27</v>
      </c>
      <c r="C2797">
        <v>1.04</v>
      </c>
      <c r="D2797">
        <v>0.82</v>
      </c>
      <c r="E2797" s="27">
        <v>126.8292683</v>
      </c>
      <c r="F2797">
        <v>7.53</v>
      </c>
      <c r="G2797">
        <v>0.41</v>
      </c>
      <c r="H2797">
        <v>7.94</v>
      </c>
      <c r="I2797">
        <v>94.84</v>
      </c>
      <c r="J2797">
        <v>13.1</v>
      </c>
      <c r="K2797" s="9">
        <v>45362</v>
      </c>
      <c r="L2797">
        <f xml:space="preserve"> (交易處理資料__3[[#This Row],[售出工時]] * 60) / 5</f>
        <v>12.48</v>
      </c>
      <c r="M2797" t="str">
        <f>VLOOKUP(交易處理資料__3[[#This Row],[人員代號]],團隊分組!$B$1:$C$52,2,FALSE)</f>
        <v>快速保養團隊B</v>
      </c>
      <c r="N2797">
        <f>IF(交易處理資料__3[[#This Row],[上班時間]]=0,0,交易處理資料__3[[#This Row],[售出工時]]/交易處理資料__3[[#This Row],[上班時間]])</f>
        <v>0.13098236775818639</v>
      </c>
      <c r="O2797" s="31" t="str">
        <f>IF(交易處理資料__3[[#This Row],[上班時間]]=0,"否","是")</f>
        <v>是</v>
      </c>
    </row>
    <row r="2798" spans="1:15" hidden="1">
      <c r="A2798" t="s">
        <v>75</v>
      </c>
      <c r="B2798" t="s">
        <v>28</v>
      </c>
      <c r="C2798">
        <v>6.8333333329999997</v>
      </c>
      <c r="D2798">
        <v>6.21</v>
      </c>
      <c r="E2798" s="27">
        <v>110.0375738</v>
      </c>
      <c r="F2798">
        <v>6.21</v>
      </c>
      <c r="G2798">
        <v>1.74</v>
      </c>
      <c r="H2798">
        <v>7.95</v>
      </c>
      <c r="I2798">
        <v>78.11</v>
      </c>
      <c r="J2798">
        <v>85.95</v>
      </c>
      <c r="K2798" s="9">
        <v>45362</v>
      </c>
      <c r="L2798">
        <f xml:space="preserve"> (交易處理資料__3[[#This Row],[售出工時]] * 60) / 5</f>
        <v>81.999999996</v>
      </c>
      <c r="M2798" t="str">
        <f>VLOOKUP(交易處理資料__3[[#This Row],[人員代號]],團隊分組!$B$1:$C$52,2,FALSE)</f>
        <v>快速保養團隊A</v>
      </c>
      <c r="N2798">
        <f>IF(交易處理資料__3[[#This Row],[上班時間]]=0,0,交易處理資料__3[[#This Row],[售出工時]]/交易處理資料__3[[#This Row],[上班時間]])</f>
        <v>0.85953878402515715</v>
      </c>
      <c r="O2798" s="31" t="str">
        <f>IF(交易處理資料__3[[#This Row],[上班時間]]=0,"否","是")</f>
        <v>是</v>
      </c>
    </row>
    <row r="2799" spans="1:15" hidden="1">
      <c r="A2799" t="s">
        <v>75</v>
      </c>
      <c r="B2799" t="s">
        <v>29</v>
      </c>
      <c r="C2799">
        <v>6.1666666670000003</v>
      </c>
      <c r="D2799">
        <v>5.24</v>
      </c>
      <c r="E2799" s="27">
        <v>117.6844784</v>
      </c>
      <c r="F2799">
        <v>5.23</v>
      </c>
      <c r="G2799">
        <v>2.85</v>
      </c>
      <c r="H2799">
        <v>8.08</v>
      </c>
      <c r="I2799">
        <v>64.73</v>
      </c>
      <c r="J2799">
        <v>76.319999999999993</v>
      </c>
      <c r="K2799" s="9">
        <v>45362</v>
      </c>
      <c r="L2799">
        <f xml:space="preserve"> (交易處理資料__3[[#This Row],[售出工時]] * 60) / 5</f>
        <v>74.000000004</v>
      </c>
      <c r="M2799" t="str">
        <f>VLOOKUP(交易處理資料__3[[#This Row],[人員代號]],團隊分組!$B$1:$C$52,2,FALSE)</f>
        <v>查修團隊B</v>
      </c>
      <c r="N2799">
        <f>IF(交易處理資料__3[[#This Row],[上班時間]]=0,0,交易處理資料__3[[#This Row],[售出工時]]/交易處理資料__3[[#This Row],[上班時間]])</f>
        <v>0.76320132017326736</v>
      </c>
      <c r="O2799" s="31" t="str">
        <f>IF(交易處理資料__3[[#This Row],[上班時間]]=0,"否","是")</f>
        <v>是</v>
      </c>
    </row>
    <row r="2800" spans="1:15" hidden="1">
      <c r="A2800" t="s">
        <v>75</v>
      </c>
      <c r="B2800" t="s">
        <v>30</v>
      </c>
      <c r="C2800">
        <v>9.5399999999999991</v>
      </c>
      <c r="D2800">
        <v>4.74</v>
      </c>
      <c r="E2800" s="27">
        <v>201.2658228</v>
      </c>
      <c r="F2800">
        <v>7.55</v>
      </c>
      <c r="G2800">
        <v>0.39</v>
      </c>
      <c r="H2800">
        <v>7.94</v>
      </c>
      <c r="I2800">
        <v>95.09</v>
      </c>
      <c r="J2800">
        <v>120.15</v>
      </c>
      <c r="K2800" s="9">
        <v>45362</v>
      </c>
      <c r="L2800">
        <f xml:space="preserve"> (交易處理資料__3[[#This Row],[售出工時]] * 60) / 5</f>
        <v>114.47999999999999</v>
      </c>
      <c r="M2800" t="str">
        <f>VLOOKUP(交易處理資料__3[[#This Row],[人員代號]],團隊分組!$B$1:$C$52,2,FALSE)</f>
        <v>快速保養團隊B</v>
      </c>
      <c r="N2800">
        <f>IF(交易處理資料__3[[#This Row],[上班時間]]=0,0,交易處理資料__3[[#This Row],[售出工時]]/交易處理資料__3[[#This Row],[上班時間]])</f>
        <v>1.2015113350125943</v>
      </c>
      <c r="O2800" s="31" t="str">
        <f>IF(交易處理資料__3[[#This Row],[上班時間]]=0,"否","是")</f>
        <v>是</v>
      </c>
    </row>
    <row r="2801" spans="1:15" hidden="1">
      <c r="A2801" t="s">
        <v>75</v>
      </c>
      <c r="B2801" t="s">
        <v>34</v>
      </c>
      <c r="C2801">
        <v>9.443333333</v>
      </c>
      <c r="D2801">
        <v>5.42</v>
      </c>
      <c r="E2801" s="27">
        <v>174.23124229999999</v>
      </c>
      <c r="F2801">
        <v>6.57</v>
      </c>
      <c r="G2801">
        <v>1.35</v>
      </c>
      <c r="H2801">
        <v>7.92</v>
      </c>
      <c r="I2801">
        <v>82.95</v>
      </c>
      <c r="J2801">
        <v>119.23</v>
      </c>
      <c r="K2801" s="9">
        <v>45362</v>
      </c>
      <c r="L2801">
        <f xml:space="preserve"> (交易處理資料__3[[#This Row],[售出工時]] * 60) / 5</f>
        <v>113.31999999600001</v>
      </c>
      <c r="M2801" t="str">
        <f>VLOOKUP(交易處理資料__3[[#This Row],[人員代號]],團隊分組!$B$1:$C$52,2,FALSE)</f>
        <v>快速保養團隊A</v>
      </c>
      <c r="N2801">
        <f>IF(交易處理資料__3[[#This Row],[上班時間]]=0,0,交易處理資料__3[[#This Row],[售出工時]]/交易處理資料__3[[#This Row],[上班時間]])</f>
        <v>1.1923400672979798</v>
      </c>
      <c r="O2801" s="31" t="str">
        <f>IF(交易處理資料__3[[#This Row],[上班時間]]=0,"否","是")</f>
        <v>是</v>
      </c>
    </row>
    <row r="2802" spans="1:15" hidden="1">
      <c r="A2802" t="s">
        <v>75</v>
      </c>
      <c r="B2802" t="s">
        <v>35</v>
      </c>
      <c r="C2802">
        <v>0.66666666699999999</v>
      </c>
      <c r="D2802">
        <v>3.49</v>
      </c>
      <c r="E2802" s="27">
        <v>19.102196750000001</v>
      </c>
      <c r="F2802">
        <v>4.6500000000000004</v>
      </c>
      <c r="G2802">
        <v>4.76</v>
      </c>
      <c r="H2802">
        <v>9.41</v>
      </c>
      <c r="I2802">
        <v>49.42</v>
      </c>
      <c r="J2802">
        <v>7.08</v>
      </c>
      <c r="K2802" s="9">
        <v>45362</v>
      </c>
      <c r="L2802">
        <f xml:space="preserve"> (交易處理資料__3[[#This Row],[售出工時]] * 60) / 5</f>
        <v>8.0000000040000003</v>
      </c>
      <c r="M2802" t="str">
        <f>VLOOKUP(交易處理資料__3[[#This Row],[人員代號]],團隊分組!$B$1:$C$52,2,FALSE)</f>
        <v>查修團隊B</v>
      </c>
      <c r="N2802">
        <f>IF(交易處理資料__3[[#This Row],[上班時間]]=0,0,交易處理資料__3[[#This Row],[售出工時]]/交易處理資料__3[[#This Row],[上班時間]])</f>
        <v>7.0846617109458027E-2</v>
      </c>
      <c r="O2802" s="31" t="str">
        <f>IF(交易處理資料__3[[#This Row],[上班時間]]=0,"否","是")</f>
        <v>是</v>
      </c>
    </row>
    <row r="2803" spans="1:15" hidden="1">
      <c r="A2803" t="s">
        <v>75</v>
      </c>
      <c r="B2803" t="s">
        <v>36</v>
      </c>
      <c r="C2803">
        <v>1.76</v>
      </c>
      <c r="D2803">
        <v>2.1800000000000002</v>
      </c>
      <c r="E2803" s="27">
        <v>80.733944949999994</v>
      </c>
      <c r="F2803">
        <v>1.1200000000000001</v>
      </c>
      <c r="G2803">
        <v>4.45</v>
      </c>
      <c r="H2803">
        <v>5.57</v>
      </c>
      <c r="I2803">
        <v>20.11</v>
      </c>
      <c r="J2803">
        <v>31.6</v>
      </c>
      <c r="K2803" s="9">
        <v>45362</v>
      </c>
      <c r="L2803">
        <f xml:space="preserve"> (交易處理資料__3[[#This Row],[售出工時]] * 60) / 5</f>
        <v>21.119999999999997</v>
      </c>
      <c r="M2803" t="str">
        <f>VLOOKUP(交易處理資料__3[[#This Row],[人員代號]],團隊分組!$B$1:$C$52,2,FALSE)</f>
        <v>查修團隊B</v>
      </c>
      <c r="N2803">
        <f>IF(交易處理資料__3[[#This Row],[上班時間]]=0,0,交易處理資料__3[[#This Row],[售出工時]]/交易處理資料__3[[#This Row],[上班時間]])</f>
        <v>0.31597845601436264</v>
      </c>
      <c r="O2803" s="31" t="str">
        <f>IF(交易處理資料__3[[#This Row],[上班時間]]=0,"否","是")</f>
        <v>是</v>
      </c>
    </row>
    <row r="2804" spans="1:15" hidden="1">
      <c r="A2804" t="s">
        <v>75</v>
      </c>
      <c r="B2804" t="s">
        <v>38</v>
      </c>
      <c r="C2804">
        <v>6.0833333329999997</v>
      </c>
      <c r="D2804">
        <v>4.7699999999999996</v>
      </c>
      <c r="E2804" s="27">
        <v>127.5331936</v>
      </c>
      <c r="F2804">
        <v>9.31</v>
      </c>
      <c r="G2804">
        <v>0.67</v>
      </c>
      <c r="H2804">
        <v>9.98</v>
      </c>
      <c r="I2804">
        <v>93.29</v>
      </c>
      <c r="J2804">
        <v>60.96</v>
      </c>
      <c r="K2804" s="9">
        <v>45362</v>
      </c>
      <c r="L2804">
        <f xml:space="preserve"> (交易處理資料__3[[#This Row],[售出工時]] * 60) / 5</f>
        <v>72.999999996</v>
      </c>
      <c r="M2804" t="str">
        <f>VLOOKUP(交易處理資料__3[[#This Row],[人員代號]],團隊分組!$B$1:$C$52,2,FALSE)</f>
        <v>快速保養團隊A</v>
      </c>
      <c r="N2804">
        <f>IF(交易處理資料__3[[#This Row],[上班時間]]=0,0,交易處理資料__3[[#This Row],[售出工時]]/交易處理資料__3[[#This Row],[上班時間]])</f>
        <v>0.60955243817635263</v>
      </c>
      <c r="O2804" s="31" t="str">
        <f>IF(交易處理資料__3[[#This Row],[上班時間]]=0,"否","是")</f>
        <v>是</v>
      </c>
    </row>
    <row r="2805" spans="1:15" hidden="1">
      <c r="A2805" t="s">
        <v>75</v>
      </c>
      <c r="B2805" t="s">
        <v>40</v>
      </c>
      <c r="C2805">
        <v>0</v>
      </c>
      <c r="D2805">
        <v>0</v>
      </c>
      <c r="E2805" s="27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 s="9">
        <v>45362</v>
      </c>
      <c r="L2805">
        <f xml:space="preserve"> (交易處理資料__3[[#This Row],[售出工時]] * 60) / 5</f>
        <v>0</v>
      </c>
      <c r="M2805" t="str">
        <f>VLOOKUP(交易處理資料__3[[#This Row],[人員代號]],團隊分組!$B$1:$C$52,2,FALSE)</f>
        <v>查修團隊A</v>
      </c>
      <c r="N2805">
        <f>IF(交易處理資料__3[[#This Row],[上班時間]]=0,0,交易處理資料__3[[#This Row],[售出工時]]/交易處理資料__3[[#This Row],[上班時間]])</f>
        <v>0</v>
      </c>
      <c r="O2805" s="31" t="str">
        <f>IF(交易處理資料__3[[#This Row],[上班時間]]=0,"否","是")</f>
        <v>否</v>
      </c>
    </row>
    <row r="2806" spans="1:15" hidden="1">
      <c r="A2806" t="s">
        <v>75</v>
      </c>
      <c r="B2806" t="s">
        <v>41</v>
      </c>
      <c r="C2806">
        <v>15.08333333</v>
      </c>
      <c r="D2806">
        <v>7.26</v>
      </c>
      <c r="E2806" s="27">
        <v>207.75941230000001</v>
      </c>
      <c r="F2806">
        <v>8.58</v>
      </c>
      <c r="G2806">
        <v>1.37</v>
      </c>
      <c r="H2806">
        <v>9.9499999999999993</v>
      </c>
      <c r="I2806">
        <v>86.23</v>
      </c>
      <c r="J2806">
        <v>151.59</v>
      </c>
      <c r="K2806" s="9">
        <v>45362</v>
      </c>
      <c r="L2806">
        <f xml:space="preserve"> (交易處理資料__3[[#This Row],[售出工時]] * 60) / 5</f>
        <v>180.99999996000003</v>
      </c>
      <c r="M2806" t="str">
        <f>VLOOKUP(交易處理資料__3[[#This Row],[人員代號]],團隊分組!$B$1:$C$52,2,FALSE)</f>
        <v>快速保養團隊A</v>
      </c>
      <c r="N2806">
        <f>IF(交易處理資料__3[[#This Row],[上班時間]]=0,0,交易處理資料__3[[#This Row],[售出工時]]/交易處理資料__3[[#This Row],[上班時間]])</f>
        <v>1.5159128974874374</v>
      </c>
      <c r="O2806" s="31" t="str">
        <f>IF(交易處理資料__3[[#This Row],[上班時間]]=0,"否","是")</f>
        <v>是</v>
      </c>
    </row>
    <row r="2807" spans="1:15" hidden="1">
      <c r="A2807" t="s">
        <v>75</v>
      </c>
      <c r="B2807" t="s">
        <v>42</v>
      </c>
      <c r="C2807">
        <v>3.9166666669999999</v>
      </c>
      <c r="D2807">
        <v>3.43</v>
      </c>
      <c r="E2807" s="27">
        <v>114.1885326</v>
      </c>
      <c r="F2807">
        <v>6.24</v>
      </c>
      <c r="G2807">
        <v>1.69</v>
      </c>
      <c r="H2807">
        <v>7.93</v>
      </c>
      <c r="I2807">
        <v>78.69</v>
      </c>
      <c r="J2807">
        <v>49.39</v>
      </c>
      <c r="K2807" s="9">
        <v>45362</v>
      </c>
      <c r="L2807">
        <f xml:space="preserve"> (交易處理資料__3[[#This Row],[售出工時]] * 60) / 5</f>
        <v>47.000000004</v>
      </c>
      <c r="M2807" t="str">
        <f>VLOOKUP(交易處理資料__3[[#This Row],[人員代號]],團隊分組!$B$1:$C$52,2,FALSE)</f>
        <v>快速保養團隊A</v>
      </c>
      <c r="N2807">
        <f>IF(交易處理資料__3[[#This Row],[上班時間]]=0,0,交易處理資料__3[[#This Row],[售出工時]]/交易處理資料__3[[#This Row],[上班時間]])</f>
        <v>0.49390500214375788</v>
      </c>
      <c r="O2807" s="31" t="str">
        <f>IF(交易處理資料__3[[#This Row],[上班時間]]=0,"否","是")</f>
        <v>是</v>
      </c>
    </row>
    <row r="2808" spans="1:15" hidden="1">
      <c r="A2808" t="s">
        <v>75</v>
      </c>
      <c r="B2808" t="s">
        <v>43</v>
      </c>
      <c r="C2808">
        <v>1.74</v>
      </c>
      <c r="D2808">
        <v>2.15</v>
      </c>
      <c r="E2808" s="27">
        <v>80.930232559999993</v>
      </c>
      <c r="F2808">
        <v>2.97</v>
      </c>
      <c r="G2808">
        <v>4.8899999999999997</v>
      </c>
      <c r="H2808">
        <v>7.86</v>
      </c>
      <c r="I2808">
        <v>37.79</v>
      </c>
      <c r="J2808">
        <v>22.14</v>
      </c>
      <c r="K2808" s="9">
        <v>45362</v>
      </c>
      <c r="L2808">
        <f xml:space="preserve"> (交易處理資料__3[[#This Row],[售出工時]] * 60) / 5</f>
        <v>20.880000000000003</v>
      </c>
      <c r="M2808" t="str">
        <f>VLOOKUP(交易處理資料__3[[#This Row],[人員代號]],團隊分組!$B$1:$C$52,2,FALSE)</f>
        <v>查修團隊B</v>
      </c>
      <c r="N2808">
        <f>IF(交易處理資料__3[[#This Row],[上班時間]]=0,0,交易處理資料__3[[#This Row],[售出工時]]/交易處理資料__3[[#This Row],[上班時間]])</f>
        <v>0.2213740458015267</v>
      </c>
      <c r="O2808" s="31" t="str">
        <f>IF(交易處理資料__3[[#This Row],[上班時間]]=0,"否","是")</f>
        <v>是</v>
      </c>
    </row>
    <row r="2809" spans="1:15" hidden="1">
      <c r="A2809" t="s">
        <v>75</v>
      </c>
      <c r="B2809" t="s">
        <v>44</v>
      </c>
      <c r="C2809">
        <v>3.23</v>
      </c>
      <c r="D2809">
        <v>2.6</v>
      </c>
      <c r="E2809" s="27">
        <v>124.2307692</v>
      </c>
      <c r="F2809">
        <v>8.0500000000000007</v>
      </c>
      <c r="G2809">
        <v>1.93</v>
      </c>
      <c r="H2809">
        <v>9.98</v>
      </c>
      <c r="I2809">
        <v>80.66</v>
      </c>
      <c r="J2809">
        <v>32.36</v>
      </c>
      <c r="K2809" s="9">
        <v>45362</v>
      </c>
      <c r="L2809">
        <f xml:space="preserve"> (交易處理資料__3[[#This Row],[售出工時]] * 60) / 5</f>
        <v>38.760000000000005</v>
      </c>
      <c r="M2809" t="str">
        <f>VLOOKUP(交易處理資料__3[[#This Row],[人員代號]],團隊分組!$B$1:$C$52,2,FALSE)</f>
        <v>快速保養團隊B</v>
      </c>
      <c r="N2809">
        <f>IF(交易處理資料__3[[#This Row],[上班時間]]=0,0,交易處理資料__3[[#This Row],[售出工時]]/交易處理資料__3[[#This Row],[上班時間]])</f>
        <v>0.32364729458917835</v>
      </c>
      <c r="O2809" s="31" t="str">
        <f>IF(交易處理資料__3[[#This Row],[上班時間]]=0,"否","是")</f>
        <v>是</v>
      </c>
    </row>
    <row r="2810" spans="1:15" hidden="1">
      <c r="A2810" t="s">
        <v>75</v>
      </c>
      <c r="B2810" t="s">
        <v>45</v>
      </c>
      <c r="C2810">
        <v>10.963333329999999</v>
      </c>
      <c r="D2810">
        <v>8</v>
      </c>
      <c r="E2810" s="27">
        <v>137.04166670000001</v>
      </c>
      <c r="F2810">
        <v>7.25</v>
      </c>
      <c r="G2810">
        <v>0.76</v>
      </c>
      <c r="H2810">
        <v>8.01</v>
      </c>
      <c r="I2810">
        <v>90.51</v>
      </c>
      <c r="J2810">
        <v>136.87</v>
      </c>
      <c r="K2810" s="9">
        <v>45362</v>
      </c>
      <c r="L2810">
        <f xml:space="preserve"> (交易處理資料__3[[#This Row],[售出工時]] * 60) / 5</f>
        <v>131.55999995999997</v>
      </c>
      <c r="M2810" t="str">
        <f>VLOOKUP(交易處理資料__3[[#This Row],[人員代號]],團隊分組!$B$1:$C$52,2,FALSE)</f>
        <v>快速保養團隊A</v>
      </c>
      <c r="N2810">
        <f>IF(交易處理資料__3[[#This Row],[上班時間]]=0,0,交易處理資料__3[[#This Row],[售出工時]]/交易處理資料__3[[#This Row],[上班時間]])</f>
        <v>1.368705784019975</v>
      </c>
      <c r="O2810" s="31" t="str">
        <f>IF(交易處理資料__3[[#This Row],[上班時間]]=0,"否","是")</f>
        <v>是</v>
      </c>
    </row>
    <row r="2811" spans="1:15" hidden="1">
      <c r="A2811" t="s">
        <v>75</v>
      </c>
      <c r="B2811" t="s">
        <v>46</v>
      </c>
      <c r="C2811">
        <v>0</v>
      </c>
      <c r="D2811">
        <v>0</v>
      </c>
      <c r="E2811" s="27">
        <v>0</v>
      </c>
      <c r="F2811">
        <v>5.94</v>
      </c>
      <c r="G2811">
        <v>2.21</v>
      </c>
      <c r="H2811">
        <v>8.15</v>
      </c>
      <c r="I2811">
        <v>72.88</v>
      </c>
      <c r="J2811">
        <v>0</v>
      </c>
      <c r="K2811" s="9">
        <v>45362</v>
      </c>
      <c r="L2811">
        <f xml:space="preserve"> (交易處理資料__3[[#This Row],[售出工時]] * 60) / 5</f>
        <v>0</v>
      </c>
      <c r="M2811" t="str">
        <f>VLOOKUP(交易處理資料__3[[#This Row],[人員代號]],團隊分組!$B$1:$C$52,2,FALSE)</f>
        <v>查修團隊B</v>
      </c>
      <c r="N2811">
        <f>IF(交易處理資料__3[[#This Row],[上班時間]]=0,0,交易處理資料__3[[#This Row],[售出工時]]/交易處理資料__3[[#This Row],[上班時間]])</f>
        <v>0</v>
      </c>
      <c r="O2811" s="31" t="str">
        <f>IF(交易處理資料__3[[#This Row],[上班時間]]=0,"否","是")</f>
        <v>是</v>
      </c>
    </row>
    <row r="2812" spans="1:15" hidden="1">
      <c r="A2812" t="s">
        <v>75</v>
      </c>
      <c r="B2812" t="s">
        <v>47</v>
      </c>
      <c r="C2812">
        <v>4</v>
      </c>
      <c r="D2812">
        <v>4.59</v>
      </c>
      <c r="E2812" s="27">
        <v>87.145969500000007</v>
      </c>
      <c r="F2812">
        <v>4.58</v>
      </c>
      <c r="G2812">
        <v>3.54</v>
      </c>
      <c r="H2812">
        <v>8.1199999999999992</v>
      </c>
      <c r="I2812">
        <v>56.4</v>
      </c>
      <c r="J2812">
        <v>49.26</v>
      </c>
      <c r="K2812" s="9">
        <v>45362</v>
      </c>
      <c r="L2812">
        <f xml:space="preserve"> (交易處理資料__3[[#This Row],[售出工時]] * 60) / 5</f>
        <v>48</v>
      </c>
      <c r="M2812" t="str">
        <f>VLOOKUP(交易處理資料__3[[#This Row],[人員代號]],團隊分組!$B$1:$C$52,2,FALSE)</f>
        <v>查修團隊B</v>
      </c>
      <c r="N2812">
        <f>IF(交易處理資料__3[[#This Row],[上班時間]]=0,0,交易處理資料__3[[#This Row],[售出工時]]/交易處理資料__3[[#This Row],[上班時間]])</f>
        <v>0.49261083743842371</v>
      </c>
      <c r="O2812" s="31" t="str">
        <f>IF(交易處理資料__3[[#This Row],[上班時間]]=0,"否","是")</f>
        <v>是</v>
      </c>
    </row>
    <row r="2813" spans="1:15" hidden="1">
      <c r="A2813" t="s">
        <v>75</v>
      </c>
      <c r="B2813" t="s">
        <v>48</v>
      </c>
      <c r="C2813">
        <v>0</v>
      </c>
      <c r="D2813">
        <v>0</v>
      </c>
      <c r="E2813" s="27">
        <v>0</v>
      </c>
      <c r="F2813">
        <v>2.82</v>
      </c>
      <c r="G2813">
        <v>5.17</v>
      </c>
      <c r="H2813">
        <v>7.99</v>
      </c>
      <c r="I2813">
        <v>35.29</v>
      </c>
      <c r="J2813">
        <v>0</v>
      </c>
      <c r="K2813" s="9">
        <v>45362</v>
      </c>
      <c r="L2813">
        <f xml:space="preserve"> (交易處理資料__3[[#This Row],[售出工時]] * 60) / 5</f>
        <v>0</v>
      </c>
      <c r="M2813" t="str">
        <f>VLOOKUP(交易處理資料__3[[#This Row],[人員代號]],團隊分組!$B$1:$C$52,2,FALSE)</f>
        <v>查修團隊A</v>
      </c>
      <c r="N2813">
        <f>IF(交易處理資料__3[[#This Row],[上班時間]]=0,0,交易處理資料__3[[#This Row],[售出工時]]/交易處理資料__3[[#This Row],[上班時間]])</f>
        <v>0</v>
      </c>
      <c r="O2813" s="31" t="str">
        <f>IF(交易處理資料__3[[#This Row],[上班時間]]=0,"否","是")</f>
        <v>是</v>
      </c>
    </row>
    <row r="2814" spans="1:15" hidden="1">
      <c r="A2814" t="s">
        <v>75</v>
      </c>
      <c r="B2814" t="s">
        <v>49</v>
      </c>
      <c r="C2814">
        <v>0.99</v>
      </c>
      <c r="D2814">
        <v>0.88</v>
      </c>
      <c r="E2814" s="27">
        <v>112.5</v>
      </c>
      <c r="F2814">
        <v>7.78</v>
      </c>
      <c r="G2814">
        <v>0.28999999999999998</v>
      </c>
      <c r="H2814">
        <v>8.07</v>
      </c>
      <c r="I2814">
        <v>96.41</v>
      </c>
      <c r="J2814">
        <v>12.27</v>
      </c>
      <c r="K2814" s="9">
        <v>45362</v>
      </c>
      <c r="L2814">
        <f xml:space="preserve"> (交易處理資料__3[[#This Row],[售出工時]] * 60) / 5</f>
        <v>11.879999999999999</v>
      </c>
      <c r="M2814" t="str">
        <f>VLOOKUP(交易處理資料__3[[#This Row],[人員代號]],團隊分組!$B$1:$C$52,2,FALSE)</f>
        <v>查修團隊A</v>
      </c>
      <c r="N2814">
        <f>IF(交易處理資料__3[[#This Row],[上班時間]]=0,0,交易處理資料__3[[#This Row],[售出工時]]/交易處理資料__3[[#This Row],[上班時間]])</f>
        <v>0.12267657992565055</v>
      </c>
      <c r="O2814" s="31" t="str">
        <f>IF(交易處理資料__3[[#This Row],[上班時間]]=0,"否","是")</f>
        <v>是</v>
      </c>
    </row>
    <row r="2815" spans="1:15" hidden="1">
      <c r="A2815" t="s">
        <v>75</v>
      </c>
      <c r="B2815" t="s">
        <v>50</v>
      </c>
      <c r="C2815">
        <v>4.0433333329999996</v>
      </c>
      <c r="D2815">
        <v>4.18</v>
      </c>
      <c r="E2815" s="27">
        <v>96.730462520000003</v>
      </c>
      <c r="F2815">
        <v>7.68</v>
      </c>
      <c r="G2815">
        <v>0.3</v>
      </c>
      <c r="H2815">
        <v>7.98</v>
      </c>
      <c r="I2815">
        <v>96.24</v>
      </c>
      <c r="J2815">
        <v>50.67</v>
      </c>
      <c r="K2815" s="9">
        <v>45362</v>
      </c>
      <c r="L2815">
        <f xml:space="preserve"> (交易處理資料__3[[#This Row],[售出工時]] * 60) / 5</f>
        <v>48.519999995999996</v>
      </c>
      <c r="M2815" t="str">
        <f>VLOOKUP(交易處理資料__3[[#This Row],[人員代號]],團隊分組!$B$1:$C$52,2,FALSE)</f>
        <v>快速保養團隊B</v>
      </c>
      <c r="N2815">
        <f>IF(交易處理資料__3[[#This Row],[上班時間]]=0,0,交易處理資料__3[[#This Row],[售出工時]]/交易處理資料__3[[#This Row],[上班時間]])</f>
        <v>0.50668337506265659</v>
      </c>
      <c r="O2815" s="31" t="str">
        <f>IF(交易處理資料__3[[#This Row],[上班時間]]=0,"否","是")</f>
        <v>是</v>
      </c>
    </row>
    <row r="2816" spans="1:15" hidden="1">
      <c r="A2816" t="s">
        <v>75</v>
      </c>
      <c r="B2816" t="s">
        <v>51</v>
      </c>
      <c r="C2816">
        <v>0</v>
      </c>
      <c r="D2816">
        <v>0</v>
      </c>
      <c r="E2816" s="27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 s="9">
        <v>45362</v>
      </c>
      <c r="L2816">
        <f xml:space="preserve"> (交易處理資料__3[[#This Row],[售出工時]] * 60) / 5</f>
        <v>0</v>
      </c>
      <c r="M2816" t="str">
        <f>VLOOKUP(交易處理資料__3[[#This Row],[人員代號]],團隊分組!$B$1:$C$52,2,FALSE)</f>
        <v>無效數據</v>
      </c>
      <c r="N2816">
        <f>IF(交易處理資料__3[[#This Row],[上班時間]]=0,0,交易處理資料__3[[#This Row],[售出工時]]/交易處理資料__3[[#This Row],[上班時間]])</f>
        <v>0</v>
      </c>
      <c r="O2816" s="31" t="str">
        <f>IF(交易處理資料__3[[#This Row],[上班時間]]=0,"否","是")</f>
        <v>否</v>
      </c>
    </row>
    <row r="2817" spans="1:15" hidden="1">
      <c r="A2817" t="s">
        <v>75</v>
      </c>
      <c r="B2817" t="s">
        <v>53</v>
      </c>
      <c r="C2817">
        <v>0</v>
      </c>
      <c r="D2817">
        <v>0</v>
      </c>
      <c r="E2817" s="27">
        <v>0</v>
      </c>
      <c r="F2817">
        <v>7.77</v>
      </c>
      <c r="G2817">
        <v>0.43</v>
      </c>
      <c r="H2817">
        <v>8.1999999999999993</v>
      </c>
      <c r="I2817">
        <v>94.76</v>
      </c>
      <c r="J2817">
        <v>0</v>
      </c>
      <c r="K2817" s="9">
        <v>45362</v>
      </c>
      <c r="L2817">
        <f xml:space="preserve"> (交易處理資料__3[[#This Row],[售出工時]] * 60) / 5</f>
        <v>0</v>
      </c>
      <c r="M2817" t="str">
        <f>VLOOKUP(交易處理資料__3[[#This Row],[人員代號]],團隊分組!$B$1:$C$52,2,FALSE)</f>
        <v>查修團隊A</v>
      </c>
      <c r="N2817">
        <f>IF(交易處理資料__3[[#This Row],[上班時間]]=0,0,交易處理資料__3[[#This Row],[售出工時]]/交易處理資料__3[[#This Row],[上班時間]])</f>
        <v>0</v>
      </c>
      <c r="O2817" s="31" t="str">
        <f>IF(交易處理資料__3[[#This Row],[上班時間]]=0,"否","是")</f>
        <v>是</v>
      </c>
    </row>
    <row r="2818" spans="1:15" hidden="1">
      <c r="A2818" s="10" t="s">
        <v>73</v>
      </c>
      <c r="B2818" t="s">
        <v>1</v>
      </c>
      <c r="C2818">
        <v>0</v>
      </c>
      <c r="D2818">
        <v>0</v>
      </c>
      <c r="E2818" s="27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 s="9">
        <v>45363</v>
      </c>
      <c r="L2818">
        <f xml:space="preserve"> (交易處理資料__3[[#This Row],[售出工時]] * 60) / 5</f>
        <v>0</v>
      </c>
      <c r="M2818" t="str">
        <f>VLOOKUP(交易處理資料__3[[#This Row],[人員代號]],團隊分組!$B$1:$C$52,2,FALSE)</f>
        <v>噴漆維修組</v>
      </c>
      <c r="N2818">
        <f>IF(交易處理資料__3[[#This Row],[上班時間]]=0,0,交易處理資料__3[[#This Row],[售出工時]]/交易處理資料__3[[#This Row],[上班時間]])</f>
        <v>0</v>
      </c>
      <c r="O2818" s="31" t="str">
        <f>IF(交易處理資料__3[[#This Row],[上班時間]]=0,"否","是")</f>
        <v>否</v>
      </c>
    </row>
    <row r="2819" spans="1:15" hidden="1">
      <c r="A2819" s="10" t="s">
        <v>73</v>
      </c>
      <c r="B2819" t="s">
        <v>2</v>
      </c>
      <c r="C2819">
        <v>1.92</v>
      </c>
      <c r="D2819">
        <v>5.6</v>
      </c>
      <c r="E2819" s="27">
        <v>34.285714290000001</v>
      </c>
      <c r="F2819">
        <v>10.88</v>
      </c>
      <c r="G2819">
        <v>0.13</v>
      </c>
      <c r="H2819">
        <v>11.01</v>
      </c>
      <c r="I2819">
        <v>98.82</v>
      </c>
      <c r="J2819">
        <v>17.440000000000001</v>
      </c>
      <c r="K2819" s="9">
        <v>45363</v>
      </c>
      <c r="L2819">
        <f xml:space="preserve"> (交易處理資料__3[[#This Row],[售出工時]] * 60) / 5</f>
        <v>23.04</v>
      </c>
      <c r="M2819" t="str">
        <f>VLOOKUP(交易處理資料__3[[#This Row],[人員代號]],團隊分組!$B$1:$C$52,2,FALSE)</f>
        <v>噴漆維修組</v>
      </c>
      <c r="N2819">
        <f>IF(交易處理資料__3[[#This Row],[上班時間]]=0,0,交易處理資料__3[[#This Row],[售出工時]]/交易處理資料__3[[#This Row],[上班時間]])</f>
        <v>0.17438692098092642</v>
      </c>
      <c r="O2819" s="31" t="str">
        <f>IF(交易處理資料__3[[#This Row],[上班時間]]=0,"否","是")</f>
        <v>是</v>
      </c>
    </row>
    <row r="2820" spans="1:15" hidden="1">
      <c r="A2820" s="10" t="s">
        <v>73</v>
      </c>
      <c r="B2820" t="s">
        <v>3</v>
      </c>
      <c r="C2820">
        <v>3.21</v>
      </c>
      <c r="D2820">
        <v>9.59</v>
      </c>
      <c r="E2820" s="27">
        <v>33.472367050000003</v>
      </c>
      <c r="F2820">
        <v>10.93</v>
      </c>
      <c r="G2820">
        <v>0.09</v>
      </c>
      <c r="H2820">
        <v>11.02</v>
      </c>
      <c r="I2820">
        <v>99.18</v>
      </c>
      <c r="J2820">
        <v>29.13</v>
      </c>
      <c r="K2820" s="9">
        <v>45363</v>
      </c>
      <c r="L2820">
        <f xml:space="preserve"> (交易處理資料__3[[#This Row],[售出工時]] * 60) / 5</f>
        <v>38.519999999999996</v>
      </c>
      <c r="M2820" t="str">
        <f>VLOOKUP(交易處理資料__3[[#This Row],[人員代號]],團隊分組!$B$1:$C$52,2,FALSE)</f>
        <v>噴漆維修組</v>
      </c>
      <c r="N2820">
        <f>IF(交易處理資料__3[[#This Row],[上班時間]]=0,0,交易處理資料__3[[#This Row],[售出工時]]/交易處理資料__3[[#This Row],[上班時間]])</f>
        <v>0.29128856624319421</v>
      </c>
      <c r="O2820" s="31" t="str">
        <f>IF(交易處理資料__3[[#This Row],[上班時間]]=0,"否","是")</f>
        <v>是</v>
      </c>
    </row>
    <row r="2821" spans="1:15" hidden="1">
      <c r="A2821" s="10" t="s">
        <v>73</v>
      </c>
      <c r="B2821" t="s">
        <v>4</v>
      </c>
      <c r="C2821">
        <v>0</v>
      </c>
      <c r="D2821">
        <v>0</v>
      </c>
      <c r="E2821" s="27">
        <v>0</v>
      </c>
      <c r="F2821">
        <v>7.71</v>
      </c>
      <c r="G2821">
        <v>0.36</v>
      </c>
      <c r="H2821">
        <v>8.07</v>
      </c>
      <c r="I2821">
        <v>95.54</v>
      </c>
      <c r="J2821">
        <v>0</v>
      </c>
      <c r="K2821" s="9">
        <v>45363</v>
      </c>
      <c r="L2821">
        <f xml:space="preserve"> (交易處理資料__3[[#This Row],[售出工時]] * 60) / 5</f>
        <v>0</v>
      </c>
      <c r="M2821" t="str">
        <f>VLOOKUP(交易處理資料__3[[#This Row],[人員代號]],團隊分組!$B$1:$C$52,2,FALSE)</f>
        <v>噴漆維修組</v>
      </c>
      <c r="N2821">
        <f>IF(交易處理資料__3[[#This Row],[上班時間]]=0,0,交易處理資料__3[[#This Row],[售出工時]]/交易處理資料__3[[#This Row],[上班時間]])</f>
        <v>0</v>
      </c>
      <c r="O2821" s="31" t="str">
        <f>IF(交易處理資料__3[[#This Row],[上班時間]]=0,"否","是")</f>
        <v>是</v>
      </c>
    </row>
    <row r="2822" spans="1:15" hidden="1">
      <c r="A2822" s="10" t="s">
        <v>73</v>
      </c>
      <c r="B2822" t="s">
        <v>5</v>
      </c>
      <c r="C2822">
        <v>3.58</v>
      </c>
      <c r="D2822">
        <v>4.03</v>
      </c>
      <c r="E2822" s="27">
        <v>88.833746899999994</v>
      </c>
      <c r="F2822">
        <v>10.48</v>
      </c>
      <c r="G2822">
        <v>0.13</v>
      </c>
      <c r="H2822">
        <v>10.61</v>
      </c>
      <c r="I2822">
        <v>98.77</v>
      </c>
      <c r="J2822">
        <v>33.74</v>
      </c>
      <c r="K2822" s="9">
        <v>45363</v>
      </c>
      <c r="L2822">
        <f xml:space="preserve"> (交易處理資料__3[[#This Row],[售出工時]] * 60) / 5</f>
        <v>42.96</v>
      </c>
      <c r="M2822" t="str">
        <f>VLOOKUP(交易處理資料__3[[#This Row],[人員代號]],團隊分組!$B$1:$C$52,2,FALSE)</f>
        <v>噴漆維修組</v>
      </c>
      <c r="N2822">
        <f>IF(交易處理資料__3[[#This Row],[上班時間]]=0,0,交易處理資料__3[[#This Row],[售出工時]]/交易處理資料__3[[#This Row],[上班時間]])</f>
        <v>0.33741753063147978</v>
      </c>
      <c r="O2822" s="31" t="str">
        <f>IF(交易處理資料__3[[#This Row],[上班時間]]=0,"否","是")</f>
        <v>是</v>
      </c>
    </row>
    <row r="2823" spans="1:15" hidden="1">
      <c r="A2823" s="10" t="s">
        <v>73</v>
      </c>
      <c r="B2823" t="s">
        <v>6</v>
      </c>
      <c r="C2823">
        <v>3.21</v>
      </c>
      <c r="D2823">
        <v>9.59</v>
      </c>
      <c r="E2823" s="27">
        <v>33.472367050000003</v>
      </c>
      <c r="F2823">
        <v>10.55</v>
      </c>
      <c r="G2823">
        <v>0.08</v>
      </c>
      <c r="H2823">
        <v>10.63</v>
      </c>
      <c r="I2823">
        <v>99.25</v>
      </c>
      <c r="J2823">
        <v>30.2</v>
      </c>
      <c r="K2823" s="9">
        <v>45363</v>
      </c>
      <c r="L2823">
        <f xml:space="preserve"> (交易處理資料__3[[#This Row],[售出工時]] * 60) / 5</f>
        <v>38.519999999999996</v>
      </c>
      <c r="M2823" t="str">
        <f>VLOOKUP(交易處理資料__3[[#This Row],[人員代號]],團隊分組!$B$1:$C$52,2,FALSE)</f>
        <v>噴漆維修組</v>
      </c>
      <c r="N2823">
        <f>IF(交易處理資料__3[[#This Row],[上班時間]]=0,0,交易處理資料__3[[#This Row],[售出工時]]/交易處理資料__3[[#This Row],[上班時間]])</f>
        <v>0.30197554092191908</v>
      </c>
      <c r="O2823" s="31" t="str">
        <f>IF(交易處理資料__3[[#This Row],[上班時間]]=0,"否","是")</f>
        <v>是</v>
      </c>
    </row>
    <row r="2824" spans="1:15" hidden="1">
      <c r="A2824" s="10" t="s">
        <v>73</v>
      </c>
      <c r="B2824" t="s">
        <v>8</v>
      </c>
      <c r="C2824">
        <v>2.19</v>
      </c>
      <c r="D2824">
        <v>3.9</v>
      </c>
      <c r="E2824" s="27">
        <v>56.15384615</v>
      </c>
      <c r="F2824">
        <v>7.67</v>
      </c>
      <c r="G2824">
        <v>0.35</v>
      </c>
      <c r="H2824">
        <v>8.02</v>
      </c>
      <c r="I2824">
        <v>95.64</v>
      </c>
      <c r="J2824">
        <v>27.31</v>
      </c>
      <c r="K2824" s="9">
        <v>45363</v>
      </c>
      <c r="L2824">
        <f xml:space="preserve"> (交易處理資料__3[[#This Row],[售出工時]] * 60) / 5</f>
        <v>26.28</v>
      </c>
      <c r="M2824" t="str">
        <f>VLOOKUP(交易處理資料__3[[#This Row],[人員代號]],團隊分組!$B$1:$C$52,2,FALSE)</f>
        <v>噴漆維修組</v>
      </c>
      <c r="N2824">
        <f>IF(交易處理資料__3[[#This Row],[上班時間]]=0,0,交易處理資料__3[[#This Row],[售出工時]]/交易處理資料__3[[#This Row],[上班時間]])</f>
        <v>0.27306733167082298</v>
      </c>
      <c r="O2824" s="31" t="str">
        <f>IF(交易處理資料__3[[#This Row],[上班時間]]=0,"否","是")</f>
        <v>是</v>
      </c>
    </row>
    <row r="2825" spans="1:15" hidden="1">
      <c r="A2825" t="s">
        <v>74</v>
      </c>
      <c r="B2825" t="s">
        <v>12</v>
      </c>
      <c r="C2825">
        <v>4.8333333329999997</v>
      </c>
      <c r="D2825">
        <v>1.97</v>
      </c>
      <c r="E2825" s="27">
        <v>245.34686970000001</v>
      </c>
      <c r="F2825">
        <v>10.01</v>
      </c>
      <c r="G2825">
        <v>0.56000000000000005</v>
      </c>
      <c r="H2825">
        <v>10.57</v>
      </c>
      <c r="I2825">
        <v>94.7</v>
      </c>
      <c r="J2825">
        <v>45.73</v>
      </c>
      <c r="K2825" s="9">
        <v>45363</v>
      </c>
      <c r="L2825">
        <f xml:space="preserve"> (交易處理資料__3[[#This Row],[售出工時]] * 60) / 5</f>
        <v>57.999999996</v>
      </c>
      <c r="M2825" t="str">
        <f>VLOOKUP(交易處理資料__3[[#This Row],[人員代號]],團隊分組!$B$1:$C$52,2,FALSE)</f>
        <v>鈑金維修組</v>
      </c>
      <c r="N2825">
        <f>IF(交易處理資料__3[[#This Row],[上班時間]]=0,0,交易處理資料__3[[#This Row],[售出工時]]/交易處理資料__3[[#This Row],[上班時間]])</f>
        <v>0.45726900028382211</v>
      </c>
      <c r="O2825" s="31" t="str">
        <f>IF(交易處理資料__3[[#This Row],[上班時間]]=0,"否","是")</f>
        <v>是</v>
      </c>
    </row>
    <row r="2826" spans="1:15" hidden="1">
      <c r="A2826" t="s">
        <v>74</v>
      </c>
      <c r="B2826" t="s">
        <v>13</v>
      </c>
      <c r="C2826">
        <v>5.3633333329999999</v>
      </c>
      <c r="D2826">
        <v>3.44</v>
      </c>
      <c r="E2826" s="27">
        <v>155.91085269999999</v>
      </c>
      <c r="F2826">
        <v>6.99</v>
      </c>
      <c r="G2826">
        <v>1.05</v>
      </c>
      <c r="H2826">
        <v>8.0399999999999991</v>
      </c>
      <c r="I2826">
        <v>86.94</v>
      </c>
      <c r="J2826">
        <v>66.709999999999994</v>
      </c>
      <c r="K2826" s="9">
        <v>45363</v>
      </c>
      <c r="L2826">
        <f xml:space="preserve"> (交易處理資料__3[[#This Row],[售出工時]] * 60) / 5</f>
        <v>64.359999995999999</v>
      </c>
      <c r="M2826" t="str">
        <f>VLOOKUP(交易處理資料__3[[#This Row],[人員代號]],團隊分組!$B$1:$C$52,2,FALSE)</f>
        <v>鈑金維修組</v>
      </c>
      <c r="N2826">
        <f>IF(交易處理資料__3[[#This Row],[上班時間]]=0,0,交易處理資料__3[[#This Row],[售出工時]]/交易處理資料__3[[#This Row],[上班時間]])</f>
        <v>0.66708126032338311</v>
      </c>
      <c r="O2826" s="31" t="str">
        <f>IF(交易處理資料__3[[#This Row],[上班時間]]=0,"否","是")</f>
        <v>是</v>
      </c>
    </row>
    <row r="2827" spans="1:15" hidden="1">
      <c r="A2827" t="s">
        <v>74</v>
      </c>
      <c r="B2827" t="s">
        <v>14</v>
      </c>
      <c r="C2827">
        <v>6.43</v>
      </c>
      <c r="D2827">
        <v>7.66</v>
      </c>
      <c r="E2827" s="27">
        <v>83.942558750000003</v>
      </c>
      <c r="F2827">
        <v>8.93</v>
      </c>
      <c r="G2827">
        <v>1.25</v>
      </c>
      <c r="H2827">
        <v>10.18</v>
      </c>
      <c r="I2827">
        <v>87.72</v>
      </c>
      <c r="J2827">
        <v>63.16</v>
      </c>
      <c r="K2827" s="9">
        <v>45363</v>
      </c>
      <c r="L2827">
        <f xml:space="preserve"> (交易處理資料__3[[#This Row],[售出工時]] * 60) / 5</f>
        <v>77.16</v>
      </c>
      <c r="M2827" t="str">
        <f>VLOOKUP(交易處理資料__3[[#This Row],[人員代號]],團隊分組!$B$1:$C$52,2,FALSE)</f>
        <v>鈑金維修組</v>
      </c>
      <c r="N2827">
        <f>IF(交易處理資料__3[[#This Row],[上班時間]]=0,0,交易處理資料__3[[#This Row],[售出工時]]/交易處理資料__3[[#This Row],[上班時間]])</f>
        <v>0.63163064833005889</v>
      </c>
      <c r="O2827" s="31" t="str">
        <f>IF(交易處理資料__3[[#This Row],[上班時間]]=0,"否","是")</f>
        <v>是</v>
      </c>
    </row>
    <row r="2828" spans="1:15" hidden="1">
      <c r="A2828" t="s">
        <v>75</v>
      </c>
      <c r="B2828" t="s">
        <v>17</v>
      </c>
      <c r="C2828">
        <v>15.83333333</v>
      </c>
      <c r="D2828">
        <v>6.61</v>
      </c>
      <c r="E2828" s="27">
        <v>239.5360565</v>
      </c>
      <c r="F2828">
        <v>7.43</v>
      </c>
      <c r="G2828">
        <v>0.5</v>
      </c>
      <c r="H2828">
        <v>7.93</v>
      </c>
      <c r="I2828">
        <v>93.69</v>
      </c>
      <c r="J2828">
        <v>199.66</v>
      </c>
      <c r="K2828" s="9">
        <v>45363</v>
      </c>
      <c r="L2828">
        <f xml:space="preserve"> (交易處理資料__3[[#This Row],[售出工時]] * 60) / 5</f>
        <v>189.99999996000003</v>
      </c>
      <c r="M2828" t="str">
        <f>VLOOKUP(交易處理資料__3[[#This Row],[人員代號]],團隊分組!$B$1:$C$52,2,FALSE)</f>
        <v>快速保養團隊A</v>
      </c>
      <c r="N2828">
        <f>IF(交易處理資料__3[[#This Row],[上班時間]]=0,0,交易處理資料__3[[#This Row],[售出工時]]/交易處理資料__3[[#This Row],[上班時間]])</f>
        <v>1.9966372421185372</v>
      </c>
      <c r="O2828" s="31" t="str">
        <f>IF(交易處理資料__3[[#This Row],[上班時間]]=0,"否","是")</f>
        <v>是</v>
      </c>
    </row>
    <row r="2829" spans="1:15" hidden="1">
      <c r="A2829" t="s">
        <v>75</v>
      </c>
      <c r="B2829" t="s">
        <v>18</v>
      </c>
      <c r="C2829">
        <v>1.1666666670000001</v>
      </c>
      <c r="D2829">
        <v>3.03</v>
      </c>
      <c r="E2829" s="27">
        <v>38.503850389999997</v>
      </c>
      <c r="F2829">
        <v>8.01</v>
      </c>
      <c r="G2829">
        <v>1.25</v>
      </c>
      <c r="H2829">
        <v>9.26</v>
      </c>
      <c r="I2829">
        <v>86.5</v>
      </c>
      <c r="J2829">
        <v>12.6</v>
      </c>
      <c r="K2829" s="9">
        <v>45363</v>
      </c>
      <c r="L2829">
        <f xml:space="preserve"> (交易處理資料__3[[#This Row],[售出工時]] * 60) / 5</f>
        <v>14.000000004</v>
      </c>
      <c r="M2829" t="str">
        <f>VLOOKUP(交易處理資料__3[[#This Row],[人員代號]],團隊分組!$B$1:$C$52,2,FALSE)</f>
        <v>查修團隊B</v>
      </c>
      <c r="N2829">
        <f>IF(交易處理資料__3[[#This Row],[上班時間]]=0,0,交易處理資料__3[[#This Row],[售出工時]]/交易處理資料__3[[#This Row],[上班時間]])</f>
        <v>0.12598992084233263</v>
      </c>
      <c r="O2829" s="31" t="str">
        <f>IF(交易處理資料__3[[#This Row],[上班時間]]=0,"否","是")</f>
        <v>是</v>
      </c>
    </row>
    <row r="2830" spans="1:15" hidden="1">
      <c r="A2830" t="s">
        <v>75</v>
      </c>
      <c r="B2830" t="s">
        <v>20</v>
      </c>
      <c r="C2830">
        <v>0</v>
      </c>
      <c r="D2830">
        <v>0</v>
      </c>
      <c r="E2830" s="27">
        <v>0</v>
      </c>
      <c r="F2830">
        <v>0</v>
      </c>
      <c r="G2830">
        <v>11.13</v>
      </c>
      <c r="H2830">
        <v>11.13</v>
      </c>
      <c r="I2830">
        <v>0</v>
      </c>
      <c r="J2830">
        <v>0</v>
      </c>
      <c r="K2830" s="9">
        <v>45363</v>
      </c>
      <c r="L2830">
        <f xml:space="preserve"> (交易處理資料__3[[#This Row],[售出工時]] * 60) / 5</f>
        <v>0</v>
      </c>
      <c r="M2830" t="str">
        <f>VLOOKUP(交易處理資料__3[[#This Row],[人員代號]],團隊分組!$B$1:$C$52,2,FALSE)</f>
        <v>查修團隊B</v>
      </c>
      <c r="N2830">
        <f>IF(交易處理資料__3[[#This Row],[上班時間]]=0,0,交易處理資料__3[[#This Row],[售出工時]]/交易處理資料__3[[#This Row],[上班時間]])</f>
        <v>0</v>
      </c>
      <c r="O2830" s="31" t="str">
        <f>IF(交易處理資料__3[[#This Row],[上班時間]]=0,"否","是")</f>
        <v>是</v>
      </c>
    </row>
    <row r="2831" spans="1:15" hidden="1">
      <c r="A2831" t="s">
        <v>75</v>
      </c>
      <c r="B2831" t="s">
        <v>23</v>
      </c>
      <c r="C2831">
        <v>1.7</v>
      </c>
      <c r="D2831">
        <v>1.03</v>
      </c>
      <c r="E2831" s="27">
        <v>165.04854370000001</v>
      </c>
      <c r="F2831">
        <v>7.88</v>
      </c>
      <c r="G2831">
        <v>0.37</v>
      </c>
      <c r="H2831">
        <v>8.25</v>
      </c>
      <c r="I2831">
        <v>95.52</v>
      </c>
      <c r="J2831">
        <v>20.61</v>
      </c>
      <c r="K2831" s="9">
        <v>45363</v>
      </c>
      <c r="L2831">
        <f xml:space="preserve"> (交易處理資料__3[[#This Row],[售出工時]] * 60) / 5</f>
        <v>20.399999999999999</v>
      </c>
      <c r="M2831" t="str">
        <f>VLOOKUP(交易處理資料__3[[#This Row],[人員代號]],團隊分組!$B$1:$C$52,2,FALSE)</f>
        <v>快速保養團隊B</v>
      </c>
      <c r="N2831">
        <f>IF(交易處理資料__3[[#This Row],[上班時間]]=0,0,交易處理資料__3[[#This Row],[售出工時]]/交易處理資料__3[[#This Row],[上班時間]])</f>
        <v>0.20606060606060606</v>
      </c>
      <c r="O2831" s="31" t="str">
        <f>IF(交易處理資料__3[[#This Row],[上班時間]]=0,"否","是")</f>
        <v>是</v>
      </c>
    </row>
    <row r="2832" spans="1:15" hidden="1">
      <c r="A2832" t="s">
        <v>75</v>
      </c>
      <c r="B2832" t="s">
        <v>24</v>
      </c>
      <c r="C2832">
        <v>10.83333333</v>
      </c>
      <c r="D2832">
        <v>4.8099999999999996</v>
      </c>
      <c r="E2832" s="27">
        <v>225.22522520000001</v>
      </c>
      <c r="F2832">
        <v>7.14</v>
      </c>
      <c r="G2832">
        <v>0.85</v>
      </c>
      <c r="H2832">
        <v>7.99</v>
      </c>
      <c r="I2832">
        <v>89.36</v>
      </c>
      <c r="J2832">
        <v>135.59</v>
      </c>
      <c r="K2832" s="9">
        <v>45363</v>
      </c>
      <c r="L2832">
        <f xml:space="preserve"> (交易處理資料__3[[#This Row],[售出工時]] * 60) / 5</f>
        <v>129.99999996000003</v>
      </c>
      <c r="M2832" t="str">
        <f>VLOOKUP(交易處理資料__3[[#This Row],[人員代號]],團隊分組!$B$1:$C$52,2,FALSE)</f>
        <v>快速保養團隊A</v>
      </c>
      <c r="N2832">
        <f>IF(交易處理資料__3[[#This Row],[上班時間]]=0,0,交易處理資料__3[[#This Row],[售出工時]]/交易處理資料__3[[#This Row],[上班時間]])</f>
        <v>1.3558614931163955</v>
      </c>
      <c r="O2832" s="31" t="str">
        <f>IF(交易處理資料__3[[#This Row],[上班時間]]=0,"否","是")</f>
        <v>是</v>
      </c>
    </row>
    <row r="2833" spans="1:15" hidden="1">
      <c r="A2833" t="s">
        <v>75</v>
      </c>
      <c r="B2833" t="s">
        <v>26</v>
      </c>
      <c r="C2833">
        <v>0</v>
      </c>
      <c r="D2833">
        <v>0</v>
      </c>
      <c r="E2833" s="27">
        <v>0</v>
      </c>
      <c r="F2833">
        <v>8.81</v>
      </c>
      <c r="G2833">
        <v>2.29</v>
      </c>
      <c r="H2833">
        <v>11.1</v>
      </c>
      <c r="I2833">
        <v>79.37</v>
      </c>
      <c r="J2833">
        <v>0</v>
      </c>
      <c r="K2833" s="9">
        <v>45363</v>
      </c>
      <c r="L2833">
        <f xml:space="preserve"> (交易處理資料__3[[#This Row],[售出工時]] * 60) / 5</f>
        <v>0</v>
      </c>
      <c r="M2833" t="str">
        <f>VLOOKUP(交易處理資料__3[[#This Row],[人員代號]],團隊分組!$B$1:$C$52,2,FALSE)</f>
        <v>查修團隊B</v>
      </c>
      <c r="N2833">
        <f>IF(交易處理資料__3[[#This Row],[上班時間]]=0,0,交易處理資料__3[[#This Row],[售出工時]]/交易處理資料__3[[#This Row],[上班時間]])</f>
        <v>0</v>
      </c>
      <c r="O2833" s="31" t="str">
        <f>IF(交易處理資料__3[[#This Row],[上班時間]]=0,"否","是")</f>
        <v>是</v>
      </c>
    </row>
    <row r="2834" spans="1:15" hidden="1">
      <c r="A2834" t="s">
        <v>75</v>
      </c>
      <c r="B2834" t="s">
        <v>28</v>
      </c>
      <c r="C2834">
        <v>7.4166666670000003</v>
      </c>
      <c r="D2834">
        <v>6.28</v>
      </c>
      <c r="E2834" s="27">
        <v>118.09978769999999</v>
      </c>
      <c r="F2834">
        <v>6.28</v>
      </c>
      <c r="G2834">
        <v>1.74</v>
      </c>
      <c r="H2834">
        <v>8.02</v>
      </c>
      <c r="I2834">
        <v>78.3</v>
      </c>
      <c r="J2834">
        <v>92.48</v>
      </c>
      <c r="K2834" s="9">
        <v>45363</v>
      </c>
      <c r="L2834">
        <f xml:space="preserve"> (交易處理資料__3[[#This Row],[售出工時]] * 60) / 5</f>
        <v>89.000000004</v>
      </c>
      <c r="M2834" t="str">
        <f>VLOOKUP(交易處理資料__3[[#This Row],[人員代號]],團隊分組!$B$1:$C$52,2,FALSE)</f>
        <v>快速保養團隊A</v>
      </c>
      <c r="N2834">
        <f>IF(交易處理資料__3[[#This Row],[上班時間]]=0,0,交易處理資料__3[[#This Row],[售出工時]]/交易處理資料__3[[#This Row],[上班時間]])</f>
        <v>0.92477140486284293</v>
      </c>
      <c r="O2834" s="31" t="str">
        <f>IF(交易處理資料__3[[#This Row],[上班時間]]=0,"否","是")</f>
        <v>是</v>
      </c>
    </row>
    <row r="2835" spans="1:15">
      <c r="A2835" t="s">
        <v>75</v>
      </c>
      <c r="B2835" t="s">
        <v>33</v>
      </c>
      <c r="C2835">
        <v>8.1633333330000006</v>
      </c>
      <c r="D2835">
        <v>7.6</v>
      </c>
      <c r="E2835" s="27">
        <v>107.4122807</v>
      </c>
      <c r="F2835">
        <v>7.77</v>
      </c>
      <c r="G2835">
        <v>0.46</v>
      </c>
      <c r="H2835">
        <v>8.23</v>
      </c>
      <c r="I2835">
        <v>94.41</v>
      </c>
      <c r="J2835">
        <v>99.19</v>
      </c>
      <c r="K2835" s="9">
        <v>45363</v>
      </c>
      <c r="L2835">
        <f xml:space="preserve"> (交易處理資料__3[[#This Row],[售出工時]] * 60) / 5</f>
        <v>97.959999996000008</v>
      </c>
      <c r="M2835" t="str">
        <f>VLOOKUP(交易處理資料__3[[#This Row],[人員代號]],團隊分組!$B$1:$C$52,2,FALSE)</f>
        <v>快速保養團隊B</v>
      </c>
      <c r="N2835">
        <f>IF(交易處理資料__3[[#This Row],[上班時間]]=0,0,交易處理資料__3[[#This Row],[售出工時]]/交易處理資料__3[[#This Row],[上班時間]])</f>
        <v>0.991899554434994</v>
      </c>
      <c r="O2835" s="31" t="str">
        <f>IF(交易處理資料__3[[#This Row],[上班時間]]=0,"否","是")</f>
        <v>是</v>
      </c>
    </row>
    <row r="2836" spans="1:15" hidden="1">
      <c r="A2836" t="s">
        <v>75</v>
      </c>
      <c r="B2836" t="s">
        <v>35</v>
      </c>
      <c r="C2836">
        <v>0.3</v>
      </c>
      <c r="D2836">
        <v>1.98</v>
      </c>
      <c r="E2836" s="27">
        <v>15.15151515</v>
      </c>
      <c r="F2836">
        <v>9.51</v>
      </c>
      <c r="G2836">
        <v>1.61</v>
      </c>
      <c r="H2836">
        <v>11.12</v>
      </c>
      <c r="I2836">
        <v>85.52</v>
      </c>
      <c r="J2836">
        <v>2.7</v>
      </c>
      <c r="K2836" s="9">
        <v>45363</v>
      </c>
      <c r="L2836">
        <f xml:space="preserve"> (交易處理資料__3[[#This Row],[售出工時]] * 60) / 5</f>
        <v>3.6</v>
      </c>
      <c r="M2836" t="str">
        <f>VLOOKUP(交易處理資料__3[[#This Row],[人員代號]],團隊分組!$B$1:$C$52,2,FALSE)</f>
        <v>查修團隊B</v>
      </c>
      <c r="N2836">
        <f>IF(交易處理資料__3[[#This Row],[上班時間]]=0,0,交易處理資料__3[[#This Row],[售出工時]]/交易處理資料__3[[#This Row],[上班時間]])</f>
        <v>2.6978417266187053E-2</v>
      </c>
      <c r="O2836" s="31" t="str">
        <f>IF(交易處理資料__3[[#This Row],[上班時間]]=0,"否","是")</f>
        <v>是</v>
      </c>
    </row>
    <row r="2837" spans="1:15" hidden="1">
      <c r="A2837" t="s">
        <v>75</v>
      </c>
      <c r="B2837" t="s">
        <v>36</v>
      </c>
      <c r="C2837">
        <v>2.41</v>
      </c>
      <c r="D2837">
        <v>3.71</v>
      </c>
      <c r="E2837" s="27">
        <v>64.959568730000001</v>
      </c>
      <c r="F2837">
        <v>6.78</v>
      </c>
      <c r="G2837">
        <v>2.2799999999999998</v>
      </c>
      <c r="H2837">
        <v>9.06</v>
      </c>
      <c r="I2837">
        <v>74.83</v>
      </c>
      <c r="J2837">
        <v>26.6</v>
      </c>
      <c r="K2837" s="9">
        <v>45363</v>
      </c>
      <c r="L2837">
        <f xml:space="preserve"> (交易處理資料__3[[#This Row],[售出工時]] * 60) / 5</f>
        <v>28.920000000000005</v>
      </c>
      <c r="M2837" t="str">
        <f>VLOOKUP(交易處理資料__3[[#This Row],[人員代號]],團隊分組!$B$1:$C$52,2,FALSE)</f>
        <v>查修團隊B</v>
      </c>
      <c r="N2837">
        <f>IF(交易處理資料__3[[#This Row],[上班時間]]=0,0,交易處理資料__3[[#This Row],[售出工時]]/交易處理資料__3[[#This Row],[上班時間]])</f>
        <v>0.26600441501103755</v>
      </c>
      <c r="O2837" s="31" t="str">
        <f>IF(交易處理資料__3[[#This Row],[上班時間]]=0,"否","是")</f>
        <v>是</v>
      </c>
    </row>
    <row r="2838" spans="1:15" hidden="1">
      <c r="A2838" t="s">
        <v>75</v>
      </c>
      <c r="B2838" t="s">
        <v>37</v>
      </c>
      <c r="C2838">
        <v>0.66666666699999999</v>
      </c>
      <c r="D2838">
        <v>0.82</v>
      </c>
      <c r="E2838" s="27">
        <v>81.300813009999999</v>
      </c>
      <c r="F2838">
        <v>8.4700000000000006</v>
      </c>
      <c r="G2838">
        <v>1.64</v>
      </c>
      <c r="H2838">
        <v>10.11</v>
      </c>
      <c r="I2838">
        <v>83.78</v>
      </c>
      <c r="J2838">
        <v>6.59</v>
      </c>
      <c r="K2838" s="9">
        <v>45363</v>
      </c>
      <c r="L2838">
        <f xml:space="preserve"> (交易處理資料__3[[#This Row],[售出工時]] * 60) / 5</f>
        <v>8.0000000040000003</v>
      </c>
      <c r="M2838" t="str">
        <f>VLOOKUP(交易處理資料__3[[#This Row],[人員代號]],團隊分組!$B$1:$C$52,2,FALSE)</f>
        <v>查修團隊A</v>
      </c>
      <c r="N2838">
        <f>IF(交易處理資料__3[[#This Row],[上班時間]]=0,0,交易處理資料__3[[#This Row],[售出工時]]/交易處理資料__3[[#This Row],[上班時間]])</f>
        <v>6.5941312265084082E-2</v>
      </c>
      <c r="O2838" s="31" t="str">
        <f>IF(交易處理資料__3[[#This Row],[上班時間]]=0,"否","是")</f>
        <v>是</v>
      </c>
    </row>
    <row r="2839" spans="1:15" hidden="1">
      <c r="A2839" t="s">
        <v>75</v>
      </c>
      <c r="B2839" t="s">
        <v>39</v>
      </c>
      <c r="C2839">
        <v>0</v>
      </c>
      <c r="D2839">
        <v>0</v>
      </c>
      <c r="E2839" s="27">
        <v>0</v>
      </c>
      <c r="F2839">
        <v>8.69</v>
      </c>
      <c r="G2839">
        <v>1.41</v>
      </c>
      <c r="H2839">
        <v>10.1</v>
      </c>
      <c r="I2839">
        <v>86.04</v>
      </c>
      <c r="J2839">
        <v>0</v>
      </c>
      <c r="K2839" s="9">
        <v>45363</v>
      </c>
      <c r="L2839">
        <f xml:space="preserve"> (交易處理資料__3[[#This Row],[售出工時]] * 60) / 5</f>
        <v>0</v>
      </c>
      <c r="M2839" t="str">
        <f>VLOOKUP(交易處理資料__3[[#This Row],[人員代號]],團隊分組!$B$1:$C$52,2,FALSE)</f>
        <v>查修團隊A</v>
      </c>
      <c r="N2839">
        <f>IF(交易處理資料__3[[#This Row],[上班時間]]=0,0,交易處理資料__3[[#This Row],[售出工時]]/交易處理資料__3[[#This Row],[上班時間]])</f>
        <v>0</v>
      </c>
      <c r="O2839" s="31" t="str">
        <f>IF(交易處理資料__3[[#This Row],[上班時間]]=0,"否","是")</f>
        <v>是</v>
      </c>
    </row>
    <row r="2840" spans="1:15" hidden="1">
      <c r="A2840" t="s">
        <v>75</v>
      </c>
      <c r="B2840" t="s">
        <v>40</v>
      </c>
      <c r="C2840">
        <v>0</v>
      </c>
      <c r="D2840">
        <v>0</v>
      </c>
      <c r="E2840" s="27">
        <v>0</v>
      </c>
      <c r="F2840">
        <v>8.1999999999999993</v>
      </c>
      <c r="G2840">
        <v>0.96</v>
      </c>
      <c r="H2840">
        <v>9.16</v>
      </c>
      <c r="I2840">
        <v>89.52</v>
      </c>
      <c r="J2840">
        <v>0</v>
      </c>
      <c r="K2840" s="9">
        <v>45363</v>
      </c>
      <c r="L2840">
        <f xml:space="preserve"> (交易處理資料__3[[#This Row],[售出工時]] * 60) / 5</f>
        <v>0</v>
      </c>
      <c r="M2840" t="str">
        <f>VLOOKUP(交易處理資料__3[[#This Row],[人員代號]],團隊分組!$B$1:$C$52,2,FALSE)</f>
        <v>查修團隊A</v>
      </c>
      <c r="N2840">
        <f>IF(交易處理資料__3[[#This Row],[上班時間]]=0,0,交易處理資料__3[[#This Row],[售出工時]]/交易處理資料__3[[#This Row],[上班時間]])</f>
        <v>0</v>
      </c>
      <c r="O2840" s="31" t="str">
        <f>IF(交易處理資料__3[[#This Row],[上班時間]]=0,"否","是")</f>
        <v>是</v>
      </c>
    </row>
    <row r="2841" spans="1:15" hidden="1">
      <c r="A2841" t="s">
        <v>75</v>
      </c>
      <c r="B2841" t="s">
        <v>41</v>
      </c>
      <c r="C2841">
        <v>11.33333333</v>
      </c>
      <c r="D2841">
        <v>6.77</v>
      </c>
      <c r="E2841" s="27">
        <v>167.40521910000001</v>
      </c>
      <c r="F2841">
        <v>9.23</v>
      </c>
      <c r="G2841">
        <v>0.4</v>
      </c>
      <c r="H2841">
        <v>9.6300000000000008</v>
      </c>
      <c r="I2841">
        <v>95.85</v>
      </c>
      <c r="J2841">
        <v>117.69</v>
      </c>
      <c r="K2841" s="9">
        <v>45363</v>
      </c>
      <c r="L2841">
        <f xml:space="preserve"> (交易處理資料__3[[#This Row],[售出工時]] * 60) / 5</f>
        <v>135.99999996000003</v>
      </c>
      <c r="M2841" t="str">
        <f>VLOOKUP(交易處理資料__3[[#This Row],[人員代號]],團隊分組!$B$1:$C$52,2,FALSE)</f>
        <v>快速保養團隊A</v>
      </c>
      <c r="N2841">
        <f>IF(交易處理資料__3[[#This Row],[上班時間]]=0,0,交易處理資料__3[[#This Row],[售出工時]]/交易處理資料__3[[#This Row],[上班時間]])</f>
        <v>1.1768778120456904</v>
      </c>
      <c r="O2841" s="31" t="str">
        <f>IF(交易處理資料__3[[#This Row],[上班時間]]=0,"否","是")</f>
        <v>是</v>
      </c>
    </row>
    <row r="2842" spans="1:15" hidden="1">
      <c r="A2842" t="s">
        <v>75</v>
      </c>
      <c r="B2842" t="s">
        <v>42</v>
      </c>
      <c r="C2842">
        <v>9.3333333330000006</v>
      </c>
      <c r="D2842">
        <v>7.84</v>
      </c>
      <c r="E2842" s="27">
        <v>119.047619</v>
      </c>
      <c r="F2842">
        <v>7.03</v>
      </c>
      <c r="G2842">
        <v>0.96</v>
      </c>
      <c r="H2842">
        <v>7.99</v>
      </c>
      <c r="I2842">
        <v>87.98</v>
      </c>
      <c r="J2842">
        <v>116.81</v>
      </c>
      <c r="K2842" s="9">
        <v>45363</v>
      </c>
      <c r="L2842">
        <f xml:space="preserve"> (交易處理資料__3[[#This Row],[售出工時]] * 60) / 5</f>
        <v>111.999999996</v>
      </c>
      <c r="M2842" t="str">
        <f>VLOOKUP(交易處理資料__3[[#This Row],[人員代號]],團隊分組!$B$1:$C$52,2,FALSE)</f>
        <v>快速保養團隊A</v>
      </c>
      <c r="N2842">
        <f>IF(交易處理資料__3[[#This Row],[上班時間]]=0,0,交易處理資料__3[[#This Row],[售出工時]]/交易處理資料__3[[#This Row],[上班時間]])</f>
        <v>1.1681268251564456</v>
      </c>
      <c r="O2842" s="31" t="str">
        <f>IF(交易處理資料__3[[#This Row],[上班時間]]=0,"否","是")</f>
        <v>是</v>
      </c>
    </row>
    <row r="2843" spans="1:15" hidden="1">
      <c r="A2843" t="s">
        <v>75</v>
      </c>
      <c r="B2843" t="s">
        <v>43</v>
      </c>
      <c r="C2843">
        <v>3.43</v>
      </c>
      <c r="D2843">
        <v>4.41</v>
      </c>
      <c r="E2843" s="27">
        <v>77.777777779999994</v>
      </c>
      <c r="F2843">
        <v>8.82</v>
      </c>
      <c r="G2843">
        <v>2.2799999999999998</v>
      </c>
      <c r="H2843">
        <v>11.1</v>
      </c>
      <c r="I2843">
        <v>79.459999999999994</v>
      </c>
      <c r="J2843">
        <v>30.9</v>
      </c>
      <c r="K2843" s="9">
        <v>45363</v>
      </c>
      <c r="L2843">
        <f xml:space="preserve"> (交易處理資料__3[[#This Row],[售出工時]] * 60) / 5</f>
        <v>41.160000000000004</v>
      </c>
      <c r="M2843" t="str">
        <f>VLOOKUP(交易處理資料__3[[#This Row],[人員代號]],團隊分組!$B$1:$C$52,2,FALSE)</f>
        <v>查修團隊B</v>
      </c>
      <c r="N2843">
        <f>IF(交易處理資料__3[[#This Row],[上班時間]]=0,0,交易處理資料__3[[#This Row],[售出工時]]/交易處理資料__3[[#This Row],[上班時間]])</f>
        <v>0.30900900900900902</v>
      </c>
      <c r="O2843" s="31" t="str">
        <f>IF(交易處理資料__3[[#This Row],[上班時間]]=0,"否","是")</f>
        <v>是</v>
      </c>
    </row>
    <row r="2844" spans="1:15" hidden="1">
      <c r="A2844" t="s">
        <v>75</v>
      </c>
      <c r="B2844" t="s">
        <v>44</v>
      </c>
      <c r="C2844">
        <v>5.23</v>
      </c>
      <c r="D2844">
        <v>4.41</v>
      </c>
      <c r="E2844" s="27">
        <v>118.5941043</v>
      </c>
      <c r="F2844">
        <v>7.96</v>
      </c>
      <c r="G2844">
        <v>0.12</v>
      </c>
      <c r="H2844">
        <v>8.08</v>
      </c>
      <c r="I2844">
        <v>98.51</v>
      </c>
      <c r="J2844">
        <v>64.73</v>
      </c>
      <c r="K2844" s="9">
        <v>45363</v>
      </c>
      <c r="L2844">
        <f xml:space="preserve"> (交易處理資料__3[[#This Row],[售出工時]] * 60) / 5</f>
        <v>62.760000000000005</v>
      </c>
      <c r="M2844" t="str">
        <f>VLOOKUP(交易處理資料__3[[#This Row],[人員代號]],團隊分組!$B$1:$C$52,2,FALSE)</f>
        <v>快速保養團隊B</v>
      </c>
      <c r="N2844">
        <f>IF(交易處理資料__3[[#This Row],[上班時間]]=0,0,交易處理資料__3[[#This Row],[售出工時]]/交易處理資料__3[[#This Row],[上班時間]])</f>
        <v>0.6472772277227723</v>
      </c>
      <c r="O2844" s="31" t="str">
        <f>IF(交易處理資料__3[[#This Row],[上班時間]]=0,"否","是")</f>
        <v>是</v>
      </c>
    </row>
    <row r="2845" spans="1:15" hidden="1">
      <c r="A2845" t="s">
        <v>75</v>
      </c>
      <c r="B2845" t="s">
        <v>49</v>
      </c>
      <c r="C2845">
        <v>0.51</v>
      </c>
      <c r="D2845">
        <v>0.8</v>
      </c>
      <c r="E2845" s="27">
        <v>63.75</v>
      </c>
      <c r="F2845">
        <v>7.53</v>
      </c>
      <c r="G2845">
        <v>0.56999999999999995</v>
      </c>
      <c r="H2845">
        <v>8.1</v>
      </c>
      <c r="I2845">
        <v>92.96</v>
      </c>
      <c r="J2845">
        <v>6.3</v>
      </c>
      <c r="K2845" s="9">
        <v>45363</v>
      </c>
      <c r="L2845">
        <f xml:space="preserve"> (交易處理資料__3[[#This Row],[售出工時]] * 60) / 5</f>
        <v>6.12</v>
      </c>
      <c r="M2845" t="str">
        <f>VLOOKUP(交易處理資料__3[[#This Row],[人員代號]],團隊分組!$B$1:$C$52,2,FALSE)</f>
        <v>查修團隊A</v>
      </c>
      <c r="N2845">
        <f>IF(交易處理資料__3[[#This Row],[上班時間]]=0,0,交易處理資料__3[[#This Row],[售出工時]]/交易處理資料__3[[#This Row],[上班時間]])</f>
        <v>6.2962962962962971E-2</v>
      </c>
      <c r="O2845" s="31" t="str">
        <f>IF(交易處理資料__3[[#This Row],[上班時間]]=0,"否","是")</f>
        <v>是</v>
      </c>
    </row>
    <row r="2846" spans="1:15" hidden="1">
      <c r="A2846" t="s">
        <v>75</v>
      </c>
      <c r="B2846" t="s">
        <v>50</v>
      </c>
      <c r="C2846">
        <v>6.7566666670000002</v>
      </c>
      <c r="D2846">
        <v>5.47</v>
      </c>
      <c r="E2846" s="27">
        <v>123.5222425</v>
      </c>
      <c r="F2846">
        <v>8.01</v>
      </c>
      <c r="G2846">
        <v>0.1</v>
      </c>
      <c r="H2846">
        <v>8.11</v>
      </c>
      <c r="I2846">
        <v>98.77</v>
      </c>
      <c r="J2846">
        <v>83.31</v>
      </c>
      <c r="K2846" s="9">
        <v>45363</v>
      </c>
      <c r="L2846">
        <f xml:space="preserve"> (交易處理資料__3[[#This Row],[售出工時]] * 60) / 5</f>
        <v>81.080000003999999</v>
      </c>
      <c r="M2846" t="str">
        <f>VLOOKUP(交易處理資料__3[[#This Row],[人員代號]],團隊分組!$B$1:$C$52,2,FALSE)</f>
        <v>快速保養團隊B</v>
      </c>
      <c r="N2846">
        <f>IF(交易處理資料__3[[#This Row],[上班時間]]=0,0,交易處理資料__3[[#This Row],[售出工時]]/交易處理資料__3[[#This Row],[上班時間]])</f>
        <v>0.83312782577065359</v>
      </c>
      <c r="O2846" s="31" t="str">
        <f>IF(交易處理資料__3[[#This Row],[上班時間]]=0,"否","是")</f>
        <v>是</v>
      </c>
    </row>
    <row r="2847" spans="1:15" hidden="1">
      <c r="A2847" t="s">
        <v>75</v>
      </c>
      <c r="B2847" t="s">
        <v>51</v>
      </c>
      <c r="C2847">
        <v>0</v>
      </c>
      <c r="D2847">
        <v>0</v>
      </c>
      <c r="E2847" s="2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 s="9">
        <v>45363</v>
      </c>
      <c r="L2847">
        <f xml:space="preserve"> (交易處理資料__3[[#This Row],[售出工時]] * 60) / 5</f>
        <v>0</v>
      </c>
      <c r="M2847" t="str">
        <f>VLOOKUP(交易處理資料__3[[#This Row],[人員代號]],團隊分組!$B$1:$C$52,2,FALSE)</f>
        <v>無效數據</v>
      </c>
      <c r="N2847">
        <f>IF(交易處理資料__3[[#This Row],[上班時間]]=0,0,交易處理資料__3[[#This Row],[售出工時]]/交易處理資料__3[[#This Row],[上班時間]])</f>
        <v>0</v>
      </c>
      <c r="O2847" s="31" t="str">
        <f>IF(交易處理資料__3[[#This Row],[上班時間]]=0,"否","是")</f>
        <v>否</v>
      </c>
    </row>
    <row r="2848" spans="1:15" hidden="1">
      <c r="A2848" t="s">
        <v>75</v>
      </c>
      <c r="B2848" t="s">
        <v>52</v>
      </c>
      <c r="C2848">
        <v>1</v>
      </c>
      <c r="D2848">
        <v>1.25</v>
      </c>
      <c r="E2848" s="27">
        <v>80</v>
      </c>
      <c r="F2848">
        <v>7.68</v>
      </c>
      <c r="G2848">
        <v>1.31</v>
      </c>
      <c r="H2848">
        <v>8.99</v>
      </c>
      <c r="I2848">
        <v>85.43</v>
      </c>
      <c r="J2848">
        <v>11.12</v>
      </c>
      <c r="K2848" s="9">
        <v>45363</v>
      </c>
      <c r="L2848">
        <f xml:space="preserve"> (交易處理資料__3[[#This Row],[售出工時]] * 60) / 5</f>
        <v>12</v>
      </c>
      <c r="M2848" t="str">
        <f>VLOOKUP(交易處理資料__3[[#This Row],[人員代號]],團隊分組!$B$1:$C$52,2,FALSE)</f>
        <v>查修團隊B</v>
      </c>
      <c r="N2848">
        <f>IF(交易處理資料__3[[#This Row],[上班時間]]=0,0,交易處理資料__3[[#This Row],[售出工時]]/交易處理資料__3[[#This Row],[上班時間]])</f>
        <v>0.11123470522803114</v>
      </c>
      <c r="O2848" s="31" t="str">
        <f>IF(交易處理資料__3[[#This Row],[上班時間]]=0,"否","是")</f>
        <v>是</v>
      </c>
    </row>
    <row r="2849" spans="1:15" hidden="1">
      <c r="A2849" t="s">
        <v>75</v>
      </c>
      <c r="B2849" t="s">
        <v>53</v>
      </c>
      <c r="C2849">
        <v>1.9566666669999999</v>
      </c>
      <c r="D2849">
        <v>2</v>
      </c>
      <c r="E2849" s="27">
        <v>97.833333330000002</v>
      </c>
      <c r="F2849">
        <v>8.06</v>
      </c>
      <c r="G2849">
        <v>0.15</v>
      </c>
      <c r="H2849">
        <v>8.2100000000000009</v>
      </c>
      <c r="I2849">
        <v>98.17</v>
      </c>
      <c r="J2849">
        <v>23.83</v>
      </c>
      <c r="K2849" s="9">
        <v>45363</v>
      </c>
      <c r="L2849">
        <f xml:space="preserve"> (交易處理資料__3[[#This Row],[售出工時]] * 60) / 5</f>
        <v>23.480000003999997</v>
      </c>
      <c r="M2849" t="str">
        <f>VLOOKUP(交易處理資料__3[[#This Row],[人員代號]],團隊分組!$B$1:$C$52,2,FALSE)</f>
        <v>查修團隊A</v>
      </c>
      <c r="N2849">
        <f>IF(交易處理資料__3[[#This Row],[上班時間]]=0,0,交易處理資料__3[[#This Row],[售出工時]]/交易處理資料__3[[#This Row],[上班時間]])</f>
        <v>0.23832724323995125</v>
      </c>
      <c r="O2849" s="31" t="str">
        <f>IF(交易處理資料__3[[#This Row],[上班時間]]=0,"否","是")</f>
        <v>是</v>
      </c>
    </row>
    <row r="2850" spans="1:15" hidden="1">
      <c r="A2850" s="10" t="s">
        <v>73</v>
      </c>
      <c r="B2850" t="s">
        <v>1</v>
      </c>
      <c r="C2850">
        <v>0</v>
      </c>
      <c r="D2850">
        <v>0</v>
      </c>
      <c r="E2850" s="27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 s="9">
        <v>45364</v>
      </c>
      <c r="L2850">
        <f xml:space="preserve"> (交易處理資料__3[[#This Row],[售出工時]] * 60) / 5</f>
        <v>0</v>
      </c>
      <c r="M2850" t="str">
        <f>VLOOKUP(交易處理資料__3[[#This Row],[人員代號]],團隊分組!$B$1:$C$52,2,FALSE)</f>
        <v>噴漆維修組</v>
      </c>
      <c r="N2850">
        <f>IF(交易處理資料__3[[#This Row],[上班時間]]=0,0,交易處理資料__3[[#This Row],[售出工時]]/交易處理資料__3[[#This Row],[上班時間]])</f>
        <v>0</v>
      </c>
      <c r="O2850" s="31" t="str">
        <f>IF(交易處理資料__3[[#This Row],[上班時間]]=0,"否","是")</f>
        <v>否</v>
      </c>
    </row>
    <row r="2851" spans="1:15" hidden="1">
      <c r="A2851" s="10" t="s">
        <v>73</v>
      </c>
      <c r="B2851" t="s">
        <v>2</v>
      </c>
      <c r="C2851">
        <v>2.78</v>
      </c>
      <c r="D2851">
        <v>10.220000000000001</v>
      </c>
      <c r="E2851" s="27">
        <v>27.201565559999999</v>
      </c>
      <c r="F2851">
        <v>10.55</v>
      </c>
      <c r="G2851">
        <v>0.03</v>
      </c>
      <c r="H2851">
        <v>10.58</v>
      </c>
      <c r="I2851">
        <v>99.72</v>
      </c>
      <c r="J2851">
        <v>26.28</v>
      </c>
      <c r="K2851" s="9">
        <v>45364</v>
      </c>
      <c r="L2851">
        <f xml:space="preserve"> (交易處理資料__3[[#This Row],[售出工時]] * 60) / 5</f>
        <v>33.36</v>
      </c>
      <c r="M2851" t="str">
        <f>VLOOKUP(交易處理資料__3[[#This Row],[人員代號]],團隊分組!$B$1:$C$52,2,FALSE)</f>
        <v>噴漆維修組</v>
      </c>
      <c r="N2851">
        <f>IF(交易處理資料__3[[#This Row],[上班時間]]=0,0,交易處理資料__3[[#This Row],[售出工時]]/交易處理資料__3[[#This Row],[上班時間]])</f>
        <v>0.26275992438563323</v>
      </c>
      <c r="O2851" s="31" t="str">
        <f>IF(交易處理資料__3[[#This Row],[上班時間]]=0,"否","是")</f>
        <v>是</v>
      </c>
    </row>
    <row r="2852" spans="1:15" hidden="1">
      <c r="A2852" s="10" t="s">
        <v>73</v>
      </c>
      <c r="B2852" t="s">
        <v>5</v>
      </c>
      <c r="C2852">
        <v>1.25</v>
      </c>
      <c r="D2852">
        <v>3.48</v>
      </c>
      <c r="E2852" s="27">
        <v>35.919540230000003</v>
      </c>
      <c r="F2852">
        <v>9.61</v>
      </c>
      <c r="G2852">
        <v>0.86</v>
      </c>
      <c r="H2852">
        <v>10.47</v>
      </c>
      <c r="I2852">
        <v>91.79</v>
      </c>
      <c r="J2852">
        <v>11.94</v>
      </c>
      <c r="K2852" s="9">
        <v>45364</v>
      </c>
      <c r="L2852">
        <f xml:space="preserve"> (交易處理資料__3[[#This Row],[售出工時]] * 60) / 5</f>
        <v>15</v>
      </c>
      <c r="M2852" t="str">
        <f>VLOOKUP(交易處理資料__3[[#This Row],[人員代號]],團隊分組!$B$1:$C$52,2,FALSE)</f>
        <v>噴漆維修組</v>
      </c>
      <c r="N2852">
        <f>IF(交易處理資料__3[[#This Row],[上班時間]]=0,0,交易處理資料__3[[#This Row],[售出工時]]/交易處理資料__3[[#This Row],[上班時間]])</f>
        <v>0.11938872970391594</v>
      </c>
      <c r="O2852" s="31" t="str">
        <f>IF(交易處理資料__3[[#This Row],[上班時間]]=0,"否","是")</f>
        <v>是</v>
      </c>
    </row>
    <row r="2853" spans="1:15" hidden="1">
      <c r="A2853" s="10" t="s">
        <v>73</v>
      </c>
      <c r="B2853" t="s">
        <v>6</v>
      </c>
      <c r="C2853">
        <v>2.78</v>
      </c>
      <c r="D2853">
        <v>10.199999999999999</v>
      </c>
      <c r="E2853" s="27">
        <v>27.254901960000002</v>
      </c>
      <c r="F2853">
        <v>10.55</v>
      </c>
      <c r="G2853">
        <v>0.03</v>
      </c>
      <c r="H2853">
        <v>10.58</v>
      </c>
      <c r="I2853">
        <v>99.72</v>
      </c>
      <c r="J2853">
        <v>26.28</v>
      </c>
      <c r="K2853" s="9">
        <v>45364</v>
      </c>
      <c r="L2853">
        <f xml:space="preserve"> (交易處理資料__3[[#This Row],[售出工時]] * 60) / 5</f>
        <v>33.36</v>
      </c>
      <c r="M2853" t="str">
        <f>VLOOKUP(交易處理資料__3[[#This Row],[人員代號]],團隊分組!$B$1:$C$52,2,FALSE)</f>
        <v>噴漆維修組</v>
      </c>
      <c r="N2853">
        <f>IF(交易處理資料__3[[#This Row],[上班時間]]=0,0,交易處理資料__3[[#This Row],[售出工時]]/交易處理資料__3[[#This Row],[上班時間]])</f>
        <v>0.26275992438563323</v>
      </c>
      <c r="O2853" s="31" t="str">
        <f>IF(交易處理資料__3[[#This Row],[上班時間]]=0,"否","是")</f>
        <v>是</v>
      </c>
    </row>
    <row r="2854" spans="1:15" hidden="1">
      <c r="A2854" t="s">
        <v>74</v>
      </c>
      <c r="B2854" t="s">
        <v>11</v>
      </c>
      <c r="C2854">
        <v>0</v>
      </c>
      <c r="D2854">
        <v>0</v>
      </c>
      <c r="E2854" s="27">
        <v>0</v>
      </c>
      <c r="F2854">
        <v>1.66</v>
      </c>
      <c r="G2854">
        <v>6.4</v>
      </c>
      <c r="H2854">
        <v>8.06</v>
      </c>
      <c r="I2854">
        <v>20.6</v>
      </c>
      <c r="J2854">
        <v>0</v>
      </c>
      <c r="K2854" s="9">
        <v>45364</v>
      </c>
      <c r="L2854">
        <f xml:space="preserve"> (交易處理資料__3[[#This Row],[售出工時]] * 60) / 5</f>
        <v>0</v>
      </c>
      <c r="M2854" t="str">
        <f>VLOOKUP(交易處理資料__3[[#This Row],[人員代號]],團隊分組!$B$1:$C$52,2,FALSE)</f>
        <v>鈑金維修組</v>
      </c>
      <c r="N2854">
        <f>IF(交易處理資料__3[[#This Row],[上班時間]]=0,0,交易處理資料__3[[#This Row],[售出工時]]/交易處理資料__3[[#This Row],[上班時間]])</f>
        <v>0</v>
      </c>
      <c r="O2854" s="31" t="str">
        <f>IF(交易處理資料__3[[#This Row],[上班時間]]=0,"否","是")</f>
        <v>是</v>
      </c>
    </row>
    <row r="2855" spans="1:15" hidden="1">
      <c r="A2855" t="s">
        <v>74</v>
      </c>
      <c r="B2855" t="s">
        <v>12</v>
      </c>
      <c r="C2855">
        <v>2.4166666669999999</v>
      </c>
      <c r="D2855">
        <v>2.2599999999999998</v>
      </c>
      <c r="E2855" s="27">
        <v>106.9321534</v>
      </c>
      <c r="F2855">
        <v>6.76</v>
      </c>
      <c r="G2855">
        <v>1.3</v>
      </c>
      <c r="H2855">
        <v>8.06</v>
      </c>
      <c r="I2855">
        <v>83.87</v>
      </c>
      <c r="J2855">
        <v>29.98</v>
      </c>
      <c r="K2855" s="9">
        <v>45364</v>
      </c>
      <c r="L2855">
        <f xml:space="preserve"> (交易處理資料__3[[#This Row],[售出工時]] * 60) / 5</f>
        <v>29.000000003999997</v>
      </c>
      <c r="M2855" t="str">
        <f>VLOOKUP(交易處理資料__3[[#This Row],[人員代號]],團隊分組!$B$1:$C$52,2,FALSE)</f>
        <v>鈑金維修組</v>
      </c>
      <c r="N2855">
        <f>IF(交易處理資料__3[[#This Row],[上班時間]]=0,0,交易處理資料__3[[#This Row],[售出工時]]/交易處理資料__3[[#This Row],[上班時間]])</f>
        <v>0.29983457406947889</v>
      </c>
      <c r="O2855" s="31" t="str">
        <f>IF(交易處理資料__3[[#This Row],[上班時間]]=0,"否","是")</f>
        <v>是</v>
      </c>
    </row>
    <row r="2856" spans="1:15" hidden="1">
      <c r="A2856" t="s">
        <v>74</v>
      </c>
      <c r="B2856" t="s">
        <v>14</v>
      </c>
      <c r="C2856">
        <v>6.55</v>
      </c>
      <c r="D2856">
        <v>6.25</v>
      </c>
      <c r="E2856" s="27">
        <v>104.8</v>
      </c>
      <c r="F2856">
        <v>7.08</v>
      </c>
      <c r="G2856">
        <v>1</v>
      </c>
      <c r="H2856">
        <v>8.08</v>
      </c>
      <c r="I2856">
        <v>87.62</v>
      </c>
      <c r="J2856">
        <v>81.06</v>
      </c>
      <c r="K2856" s="9">
        <v>45364</v>
      </c>
      <c r="L2856">
        <f xml:space="preserve"> (交易處理資料__3[[#This Row],[售出工時]] * 60) / 5</f>
        <v>78.599999999999994</v>
      </c>
      <c r="M2856" t="str">
        <f>VLOOKUP(交易處理資料__3[[#This Row],[人員代號]],團隊分組!$B$1:$C$52,2,FALSE)</f>
        <v>鈑金維修組</v>
      </c>
      <c r="N2856">
        <f>IF(交易處理資料__3[[#This Row],[上班時間]]=0,0,交易處理資料__3[[#This Row],[售出工時]]/交易處理資料__3[[#This Row],[上班時間]])</f>
        <v>0.81064356435643559</v>
      </c>
      <c r="O2856" s="31" t="str">
        <f>IF(交易處理資料__3[[#This Row],[上班時間]]=0,"否","是")</f>
        <v>是</v>
      </c>
    </row>
    <row r="2857" spans="1:15" hidden="1">
      <c r="A2857" t="s">
        <v>74</v>
      </c>
      <c r="B2857" t="s">
        <v>15</v>
      </c>
      <c r="C2857">
        <v>4.1100000000000003</v>
      </c>
      <c r="D2857">
        <v>4.29</v>
      </c>
      <c r="E2857" s="27">
        <v>95.804195800000002</v>
      </c>
      <c r="F2857">
        <v>6.84</v>
      </c>
      <c r="G2857">
        <v>1.25</v>
      </c>
      <c r="H2857">
        <v>8.09</v>
      </c>
      <c r="I2857">
        <v>84.55</v>
      </c>
      <c r="J2857">
        <v>50.8</v>
      </c>
      <c r="K2857" s="9">
        <v>45364</v>
      </c>
      <c r="L2857">
        <f xml:space="preserve"> (交易處理資料__3[[#This Row],[售出工時]] * 60) / 5</f>
        <v>49.320000000000007</v>
      </c>
      <c r="M2857" t="str">
        <f>VLOOKUP(交易處理資料__3[[#This Row],[人員代號]],團隊分組!$B$1:$C$52,2,FALSE)</f>
        <v>鈑金維修組</v>
      </c>
      <c r="N2857">
        <f>IF(交易處理資料__3[[#This Row],[上班時間]]=0,0,交易處理資料__3[[#This Row],[售出工時]]/交易處理資料__3[[#This Row],[上班時間]])</f>
        <v>0.508034610630408</v>
      </c>
      <c r="O2857" s="31" t="str">
        <f>IF(交易處理資料__3[[#This Row],[上班時間]]=0,"否","是")</f>
        <v>是</v>
      </c>
    </row>
    <row r="2858" spans="1:15" hidden="1">
      <c r="A2858" t="s">
        <v>75</v>
      </c>
      <c r="B2858" t="s">
        <v>17</v>
      </c>
      <c r="C2858">
        <v>15.91666667</v>
      </c>
      <c r="D2858">
        <v>7.15</v>
      </c>
      <c r="E2858" s="27">
        <v>222.6107226</v>
      </c>
      <c r="F2858">
        <v>7.85</v>
      </c>
      <c r="G2858">
        <v>0.28999999999999998</v>
      </c>
      <c r="H2858">
        <v>8.14</v>
      </c>
      <c r="I2858">
        <v>96.44</v>
      </c>
      <c r="J2858">
        <v>195.54</v>
      </c>
      <c r="K2858" s="9">
        <v>45364</v>
      </c>
      <c r="L2858">
        <f xml:space="preserve"> (交易處理資料__3[[#This Row],[售出工時]] * 60) / 5</f>
        <v>191.00000003999997</v>
      </c>
      <c r="M2858" t="str">
        <f>VLOOKUP(交易處理資料__3[[#This Row],[人員代號]],團隊分組!$B$1:$C$52,2,FALSE)</f>
        <v>快速保養團隊A</v>
      </c>
      <c r="N2858">
        <f>IF(交易處理資料__3[[#This Row],[上班時間]]=0,0,交易處理資料__3[[#This Row],[售出工時]]/交易處理資料__3[[#This Row],[上班時間]])</f>
        <v>1.9553644557739556</v>
      </c>
      <c r="O2858" s="31" t="str">
        <f>IF(交易處理資料__3[[#This Row],[上班時間]]=0,"否","是")</f>
        <v>是</v>
      </c>
    </row>
    <row r="2859" spans="1:15" hidden="1">
      <c r="A2859" t="s">
        <v>75</v>
      </c>
      <c r="B2859" t="s">
        <v>19</v>
      </c>
      <c r="C2859">
        <v>0.49</v>
      </c>
      <c r="D2859">
        <v>0.65</v>
      </c>
      <c r="E2859" s="27">
        <v>75.38461538</v>
      </c>
      <c r="F2859">
        <v>7.81</v>
      </c>
      <c r="G2859">
        <v>0.24</v>
      </c>
      <c r="H2859">
        <v>8.0500000000000007</v>
      </c>
      <c r="I2859">
        <v>97.02</v>
      </c>
      <c r="J2859">
        <v>6.09</v>
      </c>
      <c r="K2859" s="9">
        <v>45364</v>
      </c>
      <c r="L2859">
        <f xml:space="preserve"> (交易處理資料__3[[#This Row],[售出工時]] * 60) / 5</f>
        <v>5.88</v>
      </c>
      <c r="M2859" t="str">
        <f>VLOOKUP(交易處理資料__3[[#This Row],[人員代號]],團隊分組!$B$1:$C$52,2,FALSE)</f>
        <v>查修團隊A</v>
      </c>
      <c r="N2859">
        <f>IF(交易處理資料__3[[#This Row],[上班時間]]=0,0,交易處理資料__3[[#This Row],[售出工時]]/交易處理資料__3[[#This Row],[上班時間]])</f>
        <v>6.08695652173913E-2</v>
      </c>
      <c r="O2859" s="31" t="str">
        <f>IF(交易處理資料__3[[#This Row],[上班時間]]=0,"否","是")</f>
        <v>是</v>
      </c>
    </row>
    <row r="2860" spans="1:15" hidden="1">
      <c r="A2860" t="s">
        <v>75</v>
      </c>
      <c r="B2860" t="s">
        <v>20</v>
      </c>
      <c r="C2860">
        <v>0.33333333300000001</v>
      </c>
      <c r="D2860">
        <v>0.43</v>
      </c>
      <c r="E2860" s="27">
        <v>77.519379839999999</v>
      </c>
      <c r="F2860">
        <v>5.56</v>
      </c>
      <c r="G2860">
        <v>4.03</v>
      </c>
      <c r="H2860">
        <v>9.59</v>
      </c>
      <c r="I2860">
        <v>57.98</v>
      </c>
      <c r="J2860">
        <v>3.48</v>
      </c>
      <c r="K2860" s="9">
        <v>45364</v>
      </c>
      <c r="L2860">
        <f xml:space="preserve"> (交易處理資料__3[[#This Row],[售出工時]] * 60) / 5</f>
        <v>3.9999999960000006</v>
      </c>
      <c r="M2860" t="str">
        <f>VLOOKUP(交易處理資料__3[[#This Row],[人員代號]],團隊分組!$B$1:$C$52,2,FALSE)</f>
        <v>查修團隊B</v>
      </c>
      <c r="N2860">
        <f>IF(交易處理資料__3[[#This Row],[上班時間]]=0,0,交易處理資料__3[[#This Row],[售出工時]]/交易處理資料__3[[#This Row],[上班時間]])</f>
        <v>3.4758428884254434E-2</v>
      </c>
      <c r="O2860" s="31" t="str">
        <f>IF(交易處理資料__3[[#This Row],[上班時間]]=0,"否","是")</f>
        <v>是</v>
      </c>
    </row>
    <row r="2861" spans="1:15" hidden="1">
      <c r="A2861" t="s">
        <v>75</v>
      </c>
      <c r="B2861" t="s">
        <v>21</v>
      </c>
      <c r="C2861">
        <v>2</v>
      </c>
      <c r="D2861">
        <v>5.23</v>
      </c>
      <c r="E2861" s="27">
        <v>38.240917779999997</v>
      </c>
      <c r="F2861">
        <v>6.59</v>
      </c>
      <c r="G2861">
        <v>2.1800000000000002</v>
      </c>
      <c r="H2861">
        <v>8.77</v>
      </c>
      <c r="I2861">
        <v>75.14</v>
      </c>
      <c r="J2861">
        <v>22.81</v>
      </c>
      <c r="K2861" s="9">
        <v>45364</v>
      </c>
      <c r="L2861">
        <f xml:space="preserve"> (交易處理資料__3[[#This Row],[售出工時]] * 60) / 5</f>
        <v>24</v>
      </c>
      <c r="M2861" t="str">
        <f>VLOOKUP(交易處理資料__3[[#This Row],[人員代號]],團隊分組!$B$1:$C$52,2,FALSE)</f>
        <v>查修團隊B</v>
      </c>
      <c r="N2861">
        <f>IF(交易處理資料__3[[#This Row],[上班時間]]=0,0,交易處理資料__3[[#This Row],[售出工時]]/交易處理資料__3[[#This Row],[上班時間]])</f>
        <v>0.22805017103762829</v>
      </c>
      <c r="O2861" s="31" t="str">
        <f>IF(交易處理資料__3[[#This Row],[上班時間]]=0,"否","是")</f>
        <v>是</v>
      </c>
    </row>
    <row r="2862" spans="1:15" hidden="1">
      <c r="A2862" t="s">
        <v>75</v>
      </c>
      <c r="B2862" t="s">
        <v>22</v>
      </c>
      <c r="C2862">
        <v>6</v>
      </c>
      <c r="D2862">
        <v>3.77</v>
      </c>
      <c r="E2862" s="27">
        <v>159.1511936</v>
      </c>
      <c r="F2862">
        <v>8.65</v>
      </c>
      <c r="G2862">
        <v>1.1399999999999999</v>
      </c>
      <c r="H2862">
        <v>9.7899999999999991</v>
      </c>
      <c r="I2862">
        <v>88.36</v>
      </c>
      <c r="J2862">
        <v>61.29</v>
      </c>
      <c r="K2862" s="9">
        <v>45364</v>
      </c>
      <c r="L2862">
        <f xml:space="preserve"> (交易處理資料__3[[#This Row],[售出工時]] * 60) / 5</f>
        <v>72</v>
      </c>
      <c r="M2862" t="str">
        <f>VLOOKUP(交易處理資料__3[[#This Row],[人員代號]],團隊分組!$B$1:$C$52,2,FALSE)</f>
        <v>快速保養團隊A</v>
      </c>
      <c r="N2862">
        <f>IF(交易處理資料__3[[#This Row],[上班時間]]=0,0,交易處理資料__3[[#This Row],[售出工時]]/交易處理資料__3[[#This Row],[上班時間]])</f>
        <v>0.61287027579162412</v>
      </c>
      <c r="O2862" s="31" t="str">
        <f>IF(交易處理資料__3[[#This Row],[上班時間]]=0,"否","是")</f>
        <v>是</v>
      </c>
    </row>
    <row r="2863" spans="1:15" hidden="1">
      <c r="A2863" t="s">
        <v>75</v>
      </c>
      <c r="B2863" t="s">
        <v>23</v>
      </c>
      <c r="C2863">
        <v>8.943333333</v>
      </c>
      <c r="D2863">
        <v>5.58</v>
      </c>
      <c r="E2863" s="27">
        <v>160.2747909</v>
      </c>
      <c r="F2863">
        <v>11.08</v>
      </c>
      <c r="G2863">
        <v>0.39</v>
      </c>
      <c r="H2863">
        <v>11.47</v>
      </c>
      <c r="I2863">
        <v>96.6</v>
      </c>
      <c r="J2863">
        <v>77.97</v>
      </c>
      <c r="K2863" s="9">
        <v>45364</v>
      </c>
      <c r="L2863">
        <f xml:space="preserve"> (交易處理資料__3[[#This Row],[售出工時]] * 60) / 5</f>
        <v>107.31999999600001</v>
      </c>
      <c r="M2863" t="str">
        <f>VLOOKUP(交易處理資料__3[[#This Row],[人員代號]],團隊分組!$B$1:$C$52,2,FALSE)</f>
        <v>快速保養團隊B</v>
      </c>
      <c r="N2863">
        <f>IF(交易處理資料__3[[#This Row],[上班時間]]=0,0,交易處理資料__3[[#This Row],[售出工時]]/交易處理資料__3[[#This Row],[上班時間]])</f>
        <v>0.77971519904097641</v>
      </c>
      <c r="O2863" s="31" t="str">
        <f>IF(交易處理資料__3[[#This Row],[上班時間]]=0,"否","是")</f>
        <v>是</v>
      </c>
    </row>
    <row r="2864" spans="1:15" hidden="1">
      <c r="A2864" t="s">
        <v>75</v>
      </c>
      <c r="B2864" t="s">
        <v>24</v>
      </c>
      <c r="C2864">
        <v>9</v>
      </c>
      <c r="D2864">
        <v>5.77</v>
      </c>
      <c r="E2864" s="27">
        <v>155.9792028</v>
      </c>
      <c r="F2864">
        <v>5.56</v>
      </c>
      <c r="G2864">
        <v>0.94</v>
      </c>
      <c r="H2864">
        <v>6.5</v>
      </c>
      <c r="I2864">
        <v>85.54</v>
      </c>
      <c r="J2864">
        <v>138.46</v>
      </c>
      <c r="K2864" s="9">
        <v>45364</v>
      </c>
      <c r="L2864">
        <f xml:space="preserve"> (交易處理資料__3[[#This Row],[售出工時]] * 60) / 5</f>
        <v>108</v>
      </c>
      <c r="M2864" t="str">
        <f>VLOOKUP(交易處理資料__3[[#This Row],[人員代號]],團隊分組!$B$1:$C$52,2,FALSE)</f>
        <v>快速保養團隊A</v>
      </c>
      <c r="N2864">
        <f>IF(交易處理資料__3[[#This Row],[上班時間]]=0,0,交易處理資料__3[[#This Row],[售出工時]]/交易處理資料__3[[#This Row],[上班時間]])</f>
        <v>1.3846153846153846</v>
      </c>
      <c r="O2864" s="31" t="str">
        <f>IF(交易處理資料__3[[#This Row],[上班時間]]=0,"否","是")</f>
        <v>是</v>
      </c>
    </row>
    <row r="2865" spans="1:15" hidden="1">
      <c r="A2865" t="s">
        <v>75</v>
      </c>
      <c r="B2865" t="s">
        <v>25</v>
      </c>
      <c r="C2865">
        <v>0</v>
      </c>
      <c r="D2865">
        <v>0</v>
      </c>
      <c r="E2865" s="27">
        <v>0</v>
      </c>
      <c r="F2865">
        <v>7.05</v>
      </c>
      <c r="G2865">
        <v>1.48</v>
      </c>
      <c r="H2865">
        <v>8.5299999999999994</v>
      </c>
      <c r="I2865">
        <v>82.65</v>
      </c>
      <c r="J2865">
        <v>0</v>
      </c>
      <c r="K2865" s="9">
        <v>45364</v>
      </c>
      <c r="L2865">
        <f xml:space="preserve"> (交易處理資料__3[[#This Row],[售出工時]] * 60) / 5</f>
        <v>0</v>
      </c>
      <c r="M2865" t="str">
        <f>VLOOKUP(交易處理資料__3[[#This Row],[人員代號]],團隊分組!$B$1:$C$52,2,FALSE)</f>
        <v>查修團隊A</v>
      </c>
      <c r="N2865">
        <f>IF(交易處理資料__3[[#This Row],[上班時間]]=0,0,交易處理資料__3[[#This Row],[售出工時]]/交易處理資料__3[[#This Row],[上班時間]])</f>
        <v>0</v>
      </c>
      <c r="O2865" s="31" t="str">
        <f>IF(交易處理資料__3[[#This Row],[上班時間]]=0,"否","是")</f>
        <v>是</v>
      </c>
    </row>
    <row r="2866" spans="1:15" hidden="1">
      <c r="A2866" t="s">
        <v>75</v>
      </c>
      <c r="B2866" t="s">
        <v>26</v>
      </c>
      <c r="C2866">
        <v>3.23</v>
      </c>
      <c r="D2866">
        <v>8.7100000000000009</v>
      </c>
      <c r="E2866" s="27">
        <v>37.083811709999999</v>
      </c>
      <c r="F2866">
        <v>4.3499999999999996</v>
      </c>
      <c r="G2866">
        <v>5.21</v>
      </c>
      <c r="H2866">
        <v>9.56</v>
      </c>
      <c r="I2866">
        <v>45.5</v>
      </c>
      <c r="J2866">
        <v>33.79</v>
      </c>
      <c r="K2866" s="9">
        <v>45364</v>
      </c>
      <c r="L2866">
        <f xml:space="preserve"> (交易處理資料__3[[#This Row],[售出工時]] * 60) / 5</f>
        <v>38.760000000000005</v>
      </c>
      <c r="M2866" t="str">
        <f>VLOOKUP(交易處理資料__3[[#This Row],[人員代號]],團隊分組!$B$1:$C$52,2,FALSE)</f>
        <v>查修團隊B</v>
      </c>
      <c r="N2866">
        <f>IF(交易處理資料__3[[#This Row],[上班時間]]=0,0,交易處理資料__3[[#This Row],[售出工時]]/交易處理資料__3[[#This Row],[上班時間]])</f>
        <v>0.33786610878661089</v>
      </c>
      <c r="O2866" s="31" t="str">
        <f>IF(交易處理資料__3[[#This Row],[上班時間]]=0,"否","是")</f>
        <v>是</v>
      </c>
    </row>
    <row r="2867" spans="1:15" hidden="1">
      <c r="A2867" t="s">
        <v>75</v>
      </c>
      <c r="B2867" t="s">
        <v>28</v>
      </c>
      <c r="C2867">
        <v>7.5</v>
      </c>
      <c r="D2867">
        <v>4.4400000000000004</v>
      </c>
      <c r="E2867" s="27">
        <v>168.91891889999999</v>
      </c>
      <c r="F2867">
        <v>7.02</v>
      </c>
      <c r="G2867">
        <v>1.1000000000000001</v>
      </c>
      <c r="H2867">
        <v>8.1199999999999992</v>
      </c>
      <c r="I2867">
        <v>86.45</v>
      </c>
      <c r="J2867">
        <v>92.36</v>
      </c>
      <c r="K2867" s="9">
        <v>45364</v>
      </c>
      <c r="L2867">
        <f xml:space="preserve"> (交易處理資料__3[[#This Row],[售出工時]] * 60) / 5</f>
        <v>90</v>
      </c>
      <c r="M2867" t="str">
        <f>VLOOKUP(交易處理資料__3[[#This Row],[人員代號]],團隊分組!$B$1:$C$52,2,FALSE)</f>
        <v>快速保養團隊A</v>
      </c>
      <c r="N2867">
        <f>IF(交易處理資料__3[[#This Row],[上班時間]]=0,0,交易處理資料__3[[#This Row],[售出工時]]/交易處理資料__3[[#This Row],[上班時間]])</f>
        <v>0.92364532019704437</v>
      </c>
      <c r="O2867" s="31" t="str">
        <f>IF(交易處理資料__3[[#This Row],[上班時間]]=0,"否","是")</f>
        <v>是</v>
      </c>
    </row>
    <row r="2868" spans="1:15" hidden="1">
      <c r="A2868" t="s">
        <v>75</v>
      </c>
      <c r="B2868" t="s">
        <v>29</v>
      </c>
      <c r="C2868">
        <v>4.7866666670000004</v>
      </c>
      <c r="D2868">
        <v>6.04</v>
      </c>
      <c r="E2868" s="27">
        <v>79.249448119999997</v>
      </c>
      <c r="F2868">
        <v>7.26</v>
      </c>
      <c r="G2868">
        <v>0.93</v>
      </c>
      <c r="H2868">
        <v>8.19</v>
      </c>
      <c r="I2868">
        <v>88.64</v>
      </c>
      <c r="J2868">
        <v>58.45</v>
      </c>
      <c r="K2868" s="9">
        <v>45364</v>
      </c>
      <c r="L2868">
        <f xml:space="preserve"> (交易處理資料__3[[#This Row],[售出工時]] * 60) / 5</f>
        <v>57.440000003999998</v>
      </c>
      <c r="M2868" t="str">
        <f>VLOOKUP(交易處理資料__3[[#This Row],[人員代號]],團隊分組!$B$1:$C$52,2,FALSE)</f>
        <v>查修團隊B</v>
      </c>
      <c r="N2868">
        <f>IF(交易處理資料__3[[#This Row],[上班時間]]=0,0,交易處理資料__3[[#This Row],[售出工時]]/交易處理資料__3[[#This Row],[上班時間]])</f>
        <v>0.58445258449328463</v>
      </c>
      <c r="O2868" s="31" t="str">
        <f>IF(交易處理資料__3[[#This Row],[上班時間]]=0,"否","是")</f>
        <v>是</v>
      </c>
    </row>
    <row r="2869" spans="1:15" hidden="1">
      <c r="A2869" t="s">
        <v>75</v>
      </c>
      <c r="B2869" t="s">
        <v>30</v>
      </c>
      <c r="C2869">
        <v>7.47</v>
      </c>
      <c r="D2869">
        <v>5.34</v>
      </c>
      <c r="E2869" s="27">
        <v>139.88764040000001</v>
      </c>
      <c r="F2869">
        <v>9.66</v>
      </c>
      <c r="G2869">
        <v>0.51</v>
      </c>
      <c r="H2869">
        <v>10.17</v>
      </c>
      <c r="I2869">
        <v>94.99</v>
      </c>
      <c r="J2869">
        <v>73.45</v>
      </c>
      <c r="K2869" s="9">
        <v>45364</v>
      </c>
      <c r="L2869">
        <f xml:space="preserve"> (交易處理資料__3[[#This Row],[售出工時]] * 60) / 5</f>
        <v>89.64</v>
      </c>
      <c r="M2869" t="str">
        <f>VLOOKUP(交易處理資料__3[[#This Row],[人員代號]],團隊分組!$B$1:$C$52,2,FALSE)</f>
        <v>快速保養團隊B</v>
      </c>
      <c r="N2869">
        <f>IF(交易處理資料__3[[#This Row],[上班時間]]=0,0,交易處理資料__3[[#This Row],[售出工時]]/交易處理資料__3[[#This Row],[上班時間]])</f>
        <v>0.73451327433628322</v>
      </c>
      <c r="O2869" s="31" t="str">
        <f>IF(交易處理資料__3[[#This Row],[上班時間]]=0,"否","是")</f>
        <v>是</v>
      </c>
    </row>
    <row r="2870" spans="1:15" hidden="1">
      <c r="A2870" t="s">
        <v>75</v>
      </c>
      <c r="B2870" t="s">
        <v>32</v>
      </c>
      <c r="C2870">
        <v>0</v>
      </c>
      <c r="D2870">
        <v>0</v>
      </c>
      <c r="E2870" s="27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 s="9">
        <v>45364</v>
      </c>
      <c r="L2870">
        <f xml:space="preserve"> (交易處理資料__3[[#This Row],[售出工時]] * 60) / 5</f>
        <v>0</v>
      </c>
      <c r="M2870" t="str">
        <f>VLOOKUP(交易處理資料__3[[#This Row],[人員代號]],團隊分組!$B$1:$C$52,2,FALSE)</f>
        <v>快速保養團隊B</v>
      </c>
      <c r="N2870">
        <f>IF(交易處理資料__3[[#This Row],[上班時間]]=0,0,交易處理資料__3[[#This Row],[售出工時]]/交易處理資料__3[[#This Row],[上班時間]])</f>
        <v>0</v>
      </c>
      <c r="O2870" s="31" t="str">
        <f>IF(交易處理資料__3[[#This Row],[上班時間]]=0,"否","是")</f>
        <v>否</v>
      </c>
    </row>
    <row r="2871" spans="1:15">
      <c r="A2871" t="s">
        <v>75</v>
      </c>
      <c r="B2871" t="s">
        <v>33</v>
      </c>
      <c r="C2871">
        <v>12.963333329999999</v>
      </c>
      <c r="D2871">
        <v>11.04</v>
      </c>
      <c r="E2871" s="27">
        <v>117.4214976</v>
      </c>
      <c r="F2871">
        <v>10.92</v>
      </c>
      <c r="G2871">
        <v>0.6</v>
      </c>
      <c r="H2871">
        <v>11.52</v>
      </c>
      <c r="I2871">
        <v>94.79</v>
      </c>
      <c r="J2871">
        <v>112.53</v>
      </c>
      <c r="K2871" s="9">
        <v>45364</v>
      </c>
      <c r="L2871">
        <f xml:space="preserve"> (交易處理資料__3[[#This Row],[售出工時]] * 60) / 5</f>
        <v>155.55999995999997</v>
      </c>
      <c r="M2871" t="str">
        <f>VLOOKUP(交易處理資料__3[[#This Row],[人員代號]],團隊分組!$B$1:$C$52,2,FALSE)</f>
        <v>快速保養團隊B</v>
      </c>
      <c r="N2871">
        <f>IF(交易處理資料__3[[#This Row],[上班時間]]=0,0,交易處理資料__3[[#This Row],[售出工時]]/交易處理資料__3[[#This Row],[上班時間]])</f>
        <v>1.1252893515625</v>
      </c>
      <c r="O2871" s="31" t="str">
        <f>IF(交易處理資料__3[[#This Row],[上班時間]]=0,"否","是")</f>
        <v>是</v>
      </c>
    </row>
    <row r="2872" spans="1:15" hidden="1">
      <c r="A2872" t="s">
        <v>75</v>
      </c>
      <c r="B2872" t="s">
        <v>34</v>
      </c>
      <c r="C2872">
        <v>8.8333333330000006</v>
      </c>
      <c r="D2872">
        <v>8.06</v>
      </c>
      <c r="E2872" s="27">
        <v>109.59470640000001</v>
      </c>
      <c r="F2872">
        <v>6.96</v>
      </c>
      <c r="G2872">
        <v>1.27</v>
      </c>
      <c r="H2872">
        <v>8.23</v>
      </c>
      <c r="I2872">
        <v>84.57</v>
      </c>
      <c r="J2872">
        <v>107.33</v>
      </c>
      <c r="K2872" s="9">
        <v>45364</v>
      </c>
      <c r="L2872">
        <f xml:space="preserve"> (交易處理資料__3[[#This Row],[售出工時]] * 60) / 5</f>
        <v>105.999999996</v>
      </c>
      <c r="M2872" t="str">
        <f>VLOOKUP(交易處理資料__3[[#This Row],[人員代號]],團隊分組!$B$1:$C$52,2,FALSE)</f>
        <v>快速保養團隊A</v>
      </c>
      <c r="N2872">
        <f>IF(交易處理資料__3[[#This Row],[上班時間]]=0,0,交易處理資料__3[[#This Row],[售出工時]]/交易處理資料__3[[#This Row],[上班時間]])</f>
        <v>1.0733090319562577</v>
      </c>
      <c r="O2872" s="31" t="str">
        <f>IF(交易處理資料__3[[#This Row],[上班時間]]=0,"否","是")</f>
        <v>是</v>
      </c>
    </row>
    <row r="2873" spans="1:15" hidden="1">
      <c r="A2873" t="s">
        <v>75</v>
      </c>
      <c r="B2873" t="s">
        <v>35</v>
      </c>
      <c r="C2873">
        <v>1.1033333329999999</v>
      </c>
      <c r="D2873">
        <v>9.33</v>
      </c>
      <c r="E2873" s="27">
        <v>11.82565202</v>
      </c>
      <c r="F2873">
        <v>8.1300000000000008</v>
      </c>
      <c r="G2873">
        <v>1.45</v>
      </c>
      <c r="H2873">
        <v>9.58</v>
      </c>
      <c r="I2873">
        <v>84.86</v>
      </c>
      <c r="J2873">
        <v>11.52</v>
      </c>
      <c r="K2873" s="9">
        <v>45364</v>
      </c>
      <c r="L2873">
        <f xml:space="preserve"> (交易處理資料__3[[#This Row],[售出工時]] * 60) / 5</f>
        <v>13.239999996</v>
      </c>
      <c r="M2873" t="str">
        <f>VLOOKUP(交易處理資料__3[[#This Row],[人員代號]],團隊分組!$B$1:$C$52,2,FALSE)</f>
        <v>查修團隊B</v>
      </c>
      <c r="N2873">
        <f>IF(交易處理資料__3[[#This Row],[上班時間]]=0,0,交易處理資料__3[[#This Row],[售出工時]]/交易處理資料__3[[#This Row],[上班時間]])</f>
        <v>0.11517049405010438</v>
      </c>
      <c r="O2873" s="31" t="str">
        <f>IF(交易處理資料__3[[#This Row],[上班時間]]=0,"否","是")</f>
        <v>是</v>
      </c>
    </row>
    <row r="2874" spans="1:15" hidden="1">
      <c r="A2874" t="s">
        <v>75</v>
      </c>
      <c r="B2874" t="s">
        <v>36</v>
      </c>
      <c r="C2874">
        <v>3.3433333329999999</v>
      </c>
      <c r="D2874">
        <v>8.06</v>
      </c>
      <c r="E2874" s="27">
        <v>41.480562450000001</v>
      </c>
      <c r="F2874">
        <v>8.14</v>
      </c>
      <c r="G2874">
        <v>1.1499999999999999</v>
      </c>
      <c r="H2874">
        <v>9.2899999999999991</v>
      </c>
      <c r="I2874">
        <v>87.62</v>
      </c>
      <c r="J2874">
        <v>35.99</v>
      </c>
      <c r="K2874" s="9">
        <v>45364</v>
      </c>
      <c r="L2874">
        <f xml:space="preserve"> (交易處理資料__3[[#This Row],[售出工時]] * 60) / 5</f>
        <v>40.119999996000004</v>
      </c>
      <c r="M2874" t="str">
        <f>VLOOKUP(交易處理資料__3[[#This Row],[人員代號]],團隊分組!$B$1:$C$52,2,FALSE)</f>
        <v>查修團隊B</v>
      </c>
      <c r="N2874">
        <f>IF(交易處理資料__3[[#This Row],[上班時間]]=0,0,交易處理資料__3[[#This Row],[售出工時]]/交易處理資料__3[[#This Row],[上班時間]])</f>
        <v>0.35988518116254037</v>
      </c>
      <c r="O2874" s="31" t="str">
        <f>IF(交易處理資料__3[[#This Row],[上班時間]]=0,"否","是")</f>
        <v>是</v>
      </c>
    </row>
    <row r="2875" spans="1:15" hidden="1">
      <c r="A2875" t="s">
        <v>75</v>
      </c>
      <c r="B2875" t="s">
        <v>38</v>
      </c>
      <c r="C2875">
        <v>12.91666667</v>
      </c>
      <c r="D2875">
        <v>7.08</v>
      </c>
      <c r="E2875" s="27">
        <v>182.43879469999999</v>
      </c>
      <c r="F2875">
        <v>9.98</v>
      </c>
      <c r="G2875">
        <v>1.27</v>
      </c>
      <c r="H2875">
        <v>11.25</v>
      </c>
      <c r="I2875">
        <v>88.71</v>
      </c>
      <c r="J2875">
        <v>114.81</v>
      </c>
      <c r="K2875" s="9">
        <v>45364</v>
      </c>
      <c r="L2875">
        <f xml:space="preserve"> (交易處理資料__3[[#This Row],[售出工時]] * 60) / 5</f>
        <v>155.00000003999997</v>
      </c>
      <c r="M2875" t="str">
        <f>VLOOKUP(交易處理資料__3[[#This Row],[人員代號]],團隊分組!$B$1:$C$52,2,FALSE)</f>
        <v>快速保養團隊A</v>
      </c>
      <c r="N2875">
        <f>IF(交易處理資料__3[[#This Row],[上班時間]]=0,0,交易處理資料__3[[#This Row],[售出工時]]/交易處理資料__3[[#This Row],[上班時間]])</f>
        <v>1.1481481484444445</v>
      </c>
      <c r="O2875" s="31" t="str">
        <f>IF(交易處理資料__3[[#This Row],[上班時間]]=0,"否","是")</f>
        <v>是</v>
      </c>
    </row>
    <row r="2876" spans="1:15" hidden="1">
      <c r="A2876" t="s">
        <v>75</v>
      </c>
      <c r="B2876" t="s">
        <v>39</v>
      </c>
      <c r="C2876">
        <v>0</v>
      </c>
      <c r="D2876">
        <v>0</v>
      </c>
      <c r="E2876" s="27">
        <v>0</v>
      </c>
      <c r="F2876">
        <v>7.2</v>
      </c>
      <c r="G2876">
        <v>3.71</v>
      </c>
      <c r="H2876">
        <v>10.91</v>
      </c>
      <c r="I2876">
        <v>65.989999999999995</v>
      </c>
      <c r="J2876">
        <v>0</v>
      </c>
      <c r="K2876" s="9">
        <v>45364</v>
      </c>
      <c r="L2876">
        <f xml:space="preserve"> (交易處理資料__3[[#This Row],[售出工時]] * 60) / 5</f>
        <v>0</v>
      </c>
      <c r="M2876" t="str">
        <f>VLOOKUP(交易處理資料__3[[#This Row],[人員代號]],團隊分組!$B$1:$C$52,2,FALSE)</f>
        <v>查修團隊A</v>
      </c>
      <c r="N2876">
        <f>IF(交易處理資料__3[[#This Row],[上班時間]]=0,0,交易處理資料__3[[#This Row],[售出工時]]/交易處理資料__3[[#This Row],[上班時間]])</f>
        <v>0</v>
      </c>
      <c r="O2876" s="31" t="str">
        <f>IF(交易處理資料__3[[#This Row],[上班時間]]=0,"否","是")</f>
        <v>是</v>
      </c>
    </row>
    <row r="2877" spans="1:15" hidden="1">
      <c r="A2877" t="s">
        <v>75</v>
      </c>
      <c r="B2877" t="s">
        <v>40</v>
      </c>
      <c r="C2877">
        <v>0</v>
      </c>
      <c r="D2877">
        <v>0</v>
      </c>
      <c r="E2877" s="27">
        <v>0</v>
      </c>
      <c r="F2877">
        <v>8.02</v>
      </c>
      <c r="G2877">
        <v>0.56999999999999995</v>
      </c>
      <c r="H2877">
        <v>8.59</v>
      </c>
      <c r="I2877">
        <v>93.36</v>
      </c>
      <c r="J2877">
        <v>0</v>
      </c>
      <c r="K2877" s="9">
        <v>45364</v>
      </c>
      <c r="L2877">
        <f xml:space="preserve"> (交易處理資料__3[[#This Row],[售出工時]] * 60) / 5</f>
        <v>0</v>
      </c>
      <c r="M2877" t="str">
        <f>VLOOKUP(交易處理資料__3[[#This Row],[人員代號]],團隊分組!$B$1:$C$52,2,FALSE)</f>
        <v>查修團隊A</v>
      </c>
      <c r="N2877">
        <f>IF(交易處理資料__3[[#This Row],[上班時間]]=0,0,交易處理資料__3[[#This Row],[售出工時]]/交易處理資料__3[[#This Row],[上班時間]])</f>
        <v>0</v>
      </c>
      <c r="O2877" s="31" t="str">
        <f>IF(交易處理資料__3[[#This Row],[上班時間]]=0,"否","是")</f>
        <v>是</v>
      </c>
    </row>
    <row r="2878" spans="1:15" hidden="1">
      <c r="A2878" t="s">
        <v>75</v>
      </c>
      <c r="B2878" t="s">
        <v>41</v>
      </c>
      <c r="C2878">
        <v>8.5833333330000006</v>
      </c>
      <c r="D2878">
        <v>7.67</v>
      </c>
      <c r="E2878" s="27">
        <v>111.90786610000001</v>
      </c>
      <c r="F2878">
        <v>9.27</v>
      </c>
      <c r="G2878">
        <v>0.51</v>
      </c>
      <c r="H2878">
        <v>9.7799999999999994</v>
      </c>
      <c r="I2878">
        <v>94.79</v>
      </c>
      <c r="J2878">
        <v>87.76</v>
      </c>
      <c r="K2878" s="9">
        <v>45364</v>
      </c>
      <c r="L2878">
        <f xml:space="preserve"> (交易處理資料__3[[#This Row],[售出工時]] * 60) / 5</f>
        <v>102.999999996</v>
      </c>
      <c r="M2878" t="str">
        <f>VLOOKUP(交易處理資料__3[[#This Row],[人員代號]],團隊分組!$B$1:$C$52,2,FALSE)</f>
        <v>快速保養團隊A</v>
      </c>
      <c r="N2878">
        <f>IF(交易處理資料__3[[#This Row],[上班時間]]=0,0,交易處理資料__3[[#This Row],[售出工時]]/交易處理資料__3[[#This Row],[上班時間]])</f>
        <v>0.87764144509202469</v>
      </c>
      <c r="O2878" s="31" t="str">
        <f>IF(交易處理資料__3[[#This Row],[上班時間]]=0,"否","是")</f>
        <v>是</v>
      </c>
    </row>
    <row r="2879" spans="1:15" hidden="1">
      <c r="A2879" t="s">
        <v>75</v>
      </c>
      <c r="B2879" t="s">
        <v>43</v>
      </c>
      <c r="C2879">
        <v>1.01</v>
      </c>
      <c r="D2879">
        <v>5.51</v>
      </c>
      <c r="E2879" s="27">
        <v>18.33030853</v>
      </c>
      <c r="F2879">
        <v>8.0500000000000007</v>
      </c>
      <c r="G2879">
        <v>1.1599999999999999</v>
      </c>
      <c r="H2879">
        <v>9.2100000000000009</v>
      </c>
      <c r="I2879">
        <v>87.4</v>
      </c>
      <c r="J2879">
        <v>10.97</v>
      </c>
      <c r="K2879" s="9">
        <v>45364</v>
      </c>
      <c r="L2879">
        <f xml:space="preserve"> (交易處理資料__3[[#This Row],[售出工時]] * 60) / 5</f>
        <v>12.120000000000001</v>
      </c>
      <c r="M2879" t="str">
        <f>VLOOKUP(交易處理資料__3[[#This Row],[人員代號]],團隊分組!$B$1:$C$52,2,FALSE)</f>
        <v>查修團隊B</v>
      </c>
      <c r="N2879">
        <f>IF(交易處理資料__3[[#This Row],[上班時間]]=0,0,交易處理資料__3[[#This Row],[售出工時]]/交易處理資料__3[[#This Row],[上班時間]])</f>
        <v>0.10966340933767643</v>
      </c>
      <c r="O2879" s="31" t="str">
        <f>IF(交易處理資料__3[[#This Row],[上班時間]]=0,"否","是")</f>
        <v>是</v>
      </c>
    </row>
    <row r="2880" spans="1:15" hidden="1">
      <c r="A2880" t="s">
        <v>75</v>
      </c>
      <c r="B2880" t="s">
        <v>44</v>
      </c>
      <c r="C2880">
        <v>6.57</v>
      </c>
      <c r="D2880">
        <v>5.21</v>
      </c>
      <c r="E2880" s="27">
        <v>126.10364680000001</v>
      </c>
      <c r="F2880">
        <v>7.19</v>
      </c>
      <c r="G2880">
        <v>0.83</v>
      </c>
      <c r="H2880">
        <v>8.02</v>
      </c>
      <c r="I2880">
        <v>89.65</v>
      </c>
      <c r="J2880">
        <v>81.92</v>
      </c>
      <c r="K2880" s="9">
        <v>45364</v>
      </c>
      <c r="L2880">
        <f xml:space="preserve"> (交易處理資料__3[[#This Row],[售出工時]] * 60) / 5</f>
        <v>78.84</v>
      </c>
      <c r="M2880" t="str">
        <f>VLOOKUP(交易處理資料__3[[#This Row],[人員代號]],團隊分組!$B$1:$C$52,2,FALSE)</f>
        <v>快速保養團隊B</v>
      </c>
      <c r="N2880">
        <f>IF(交易處理資料__3[[#This Row],[上班時間]]=0,0,交易處理資料__3[[#This Row],[售出工時]]/交易處理資料__3[[#This Row],[上班時間]])</f>
        <v>0.81920199501246893</v>
      </c>
      <c r="O2880" s="31" t="str">
        <f>IF(交易處理資料__3[[#This Row],[上班時間]]=0,"否","是")</f>
        <v>是</v>
      </c>
    </row>
    <row r="2881" spans="1:15" hidden="1">
      <c r="A2881" t="s">
        <v>75</v>
      </c>
      <c r="B2881" t="s">
        <v>45</v>
      </c>
      <c r="C2881">
        <v>9.5833333330000006</v>
      </c>
      <c r="D2881">
        <v>5.37</v>
      </c>
      <c r="E2881" s="27">
        <v>178.46058350000001</v>
      </c>
      <c r="F2881">
        <v>6.97</v>
      </c>
      <c r="G2881">
        <v>1.31</v>
      </c>
      <c r="H2881">
        <v>8.2799999999999994</v>
      </c>
      <c r="I2881">
        <v>84.18</v>
      </c>
      <c r="J2881">
        <v>115.74</v>
      </c>
      <c r="K2881" s="9">
        <v>45364</v>
      </c>
      <c r="L2881">
        <f xml:space="preserve"> (交易處理資料__3[[#This Row],[售出工時]] * 60) / 5</f>
        <v>114.999999996</v>
      </c>
      <c r="M2881" t="str">
        <f>VLOOKUP(交易處理資料__3[[#This Row],[人員代號]],團隊分組!$B$1:$C$52,2,FALSE)</f>
        <v>快速保養團隊A</v>
      </c>
      <c r="N2881">
        <f>IF(交易處理資料__3[[#This Row],[上班時間]]=0,0,交易處理資料__3[[#This Row],[售出工時]]/交易處理資料__3[[#This Row],[上班時間]])</f>
        <v>1.1574074073671499</v>
      </c>
      <c r="O2881" s="31" t="str">
        <f>IF(交易處理資料__3[[#This Row],[上班時間]]=0,"否","是")</f>
        <v>是</v>
      </c>
    </row>
    <row r="2882" spans="1:15" hidden="1">
      <c r="A2882" t="s">
        <v>75</v>
      </c>
      <c r="B2882" t="s">
        <v>47</v>
      </c>
      <c r="C2882">
        <v>3.6666666669999999</v>
      </c>
      <c r="D2882">
        <v>2.5099999999999998</v>
      </c>
      <c r="E2882" s="27">
        <v>146.08233730000001</v>
      </c>
      <c r="F2882">
        <v>6.8</v>
      </c>
      <c r="G2882">
        <v>1.31</v>
      </c>
      <c r="H2882">
        <v>8.11</v>
      </c>
      <c r="I2882">
        <v>83.85</v>
      </c>
      <c r="J2882">
        <v>45.21</v>
      </c>
      <c r="K2882" s="9">
        <v>45364</v>
      </c>
      <c r="L2882">
        <f xml:space="preserve"> (交易處理資料__3[[#This Row],[售出工時]] * 60) / 5</f>
        <v>44.000000004</v>
      </c>
      <c r="M2882" t="str">
        <f>VLOOKUP(交易處理資料__3[[#This Row],[人員代號]],團隊分組!$B$1:$C$52,2,FALSE)</f>
        <v>查修團隊B</v>
      </c>
      <c r="N2882">
        <f>IF(交易處理資料__3[[#This Row],[上班時間]]=0,0,交易處理資料__3[[#This Row],[售出工時]]/交易處理資料__3[[#This Row],[上班時間]])</f>
        <v>0.45211672836004935</v>
      </c>
      <c r="O2882" s="31" t="str">
        <f>IF(交易處理資料__3[[#This Row],[上班時間]]=0,"否","是")</f>
        <v>是</v>
      </c>
    </row>
    <row r="2883" spans="1:15" hidden="1">
      <c r="A2883" t="s">
        <v>75</v>
      </c>
      <c r="B2883" t="s">
        <v>48</v>
      </c>
      <c r="C2883">
        <v>1.4166666670000001</v>
      </c>
      <c r="D2883">
        <v>3.68</v>
      </c>
      <c r="E2883" s="27">
        <v>38.496376810000001</v>
      </c>
      <c r="F2883">
        <v>3.15</v>
      </c>
      <c r="G2883">
        <v>5.78</v>
      </c>
      <c r="H2883">
        <v>8.93</v>
      </c>
      <c r="I2883">
        <v>35.270000000000003</v>
      </c>
      <c r="J2883">
        <v>15.86</v>
      </c>
      <c r="K2883" s="9">
        <v>45364</v>
      </c>
      <c r="L2883">
        <f xml:space="preserve"> (交易處理資料__3[[#This Row],[售出工時]] * 60) / 5</f>
        <v>17.000000004</v>
      </c>
      <c r="M2883" t="str">
        <f>VLOOKUP(交易處理資料__3[[#This Row],[人員代號]],團隊分組!$B$1:$C$52,2,FALSE)</f>
        <v>查修團隊A</v>
      </c>
      <c r="N2883">
        <f>IF(交易處理資料__3[[#This Row],[上班時間]]=0,0,交易處理資料__3[[#This Row],[售出工時]]/交易處理資料__3[[#This Row],[上班時間]])</f>
        <v>0.15864128409854425</v>
      </c>
      <c r="O2883" s="31" t="str">
        <f>IF(交易處理資料__3[[#This Row],[上班時間]]=0,"否","是")</f>
        <v>是</v>
      </c>
    </row>
    <row r="2884" spans="1:15" hidden="1">
      <c r="A2884" t="s">
        <v>75</v>
      </c>
      <c r="B2884" t="s">
        <v>50</v>
      </c>
      <c r="C2884">
        <v>8.58</v>
      </c>
      <c r="D2884">
        <v>6.1</v>
      </c>
      <c r="E2884" s="27">
        <v>140.6557377</v>
      </c>
      <c r="F2884">
        <v>7.21</v>
      </c>
      <c r="G2884">
        <v>0.81</v>
      </c>
      <c r="H2884">
        <v>8.02</v>
      </c>
      <c r="I2884">
        <v>89.9</v>
      </c>
      <c r="J2884">
        <v>106.98</v>
      </c>
      <c r="K2884" s="9">
        <v>45364</v>
      </c>
      <c r="L2884">
        <f xml:space="preserve"> (交易處理資料__3[[#This Row],[售出工時]] * 60) / 5</f>
        <v>102.96</v>
      </c>
      <c r="M2884" t="str">
        <f>VLOOKUP(交易處理資料__3[[#This Row],[人員代號]],團隊分組!$B$1:$C$52,2,FALSE)</f>
        <v>快速保養團隊B</v>
      </c>
      <c r="N2884">
        <f>IF(交易處理資料__3[[#This Row],[上班時間]]=0,0,交易處理資料__3[[#This Row],[售出工時]]/交易處理資料__3[[#This Row],[上班時間]])</f>
        <v>1.0698254364089776</v>
      </c>
      <c r="O2884" s="31" t="str">
        <f>IF(交易處理資料__3[[#This Row],[上班時間]]=0,"否","是")</f>
        <v>是</v>
      </c>
    </row>
    <row r="2885" spans="1:15" hidden="1">
      <c r="A2885" t="s">
        <v>75</v>
      </c>
      <c r="B2885" t="s">
        <v>51</v>
      </c>
      <c r="C2885">
        <v>0</v>
      </c>
      <c r="D2885">
        <v>0</v>
      </c>
      <c r="E2885" s="27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 s="9">
        <v>45364</v>
      </c>
      <c r="L2885">
        <f xml:space="preserve"> (交易處理資料__3[[#This Row],[售出工時]] * 60) / 5</f>
        <v>0</v>
      </c>
      <c r="M2885" t="str">
        <f>VLOOKUP(交易處理資料__3[[#This Row],[人員代號]],團隊分組!$B$1:$C$52,2,FALSE)</f>
        <v>無效數據</v>
      </c>
      <c r="N2885">
        <f>IF(交易處理資料__3[[#This Row],[上班時間]]=0,0,交易處理資料__3[[#This Row],[售出工時]]/交易處理資料__3[[#This Row],[上班時間]])</f>
        <v>0</v>
      </c>
      <c r="O2885" s="31" t="str">
        <f>IF(交易處理資料__3[[#This Row],[上班時間]]=0,"否","是")</f>
        <v>否</v>
      </c>
    </row>
    <row r="2886" spans="1:15" hidden="1">
      <c r="A2886" t="s">
        <v>75</v>
      </c>
      <c r="B2886" t="s">
        <v>52</v>
      </c>
      <c r="C2886">
        <v>10.16666667</v>
      </c>
      <c r="D2886">
        <v>7.23</v>
      </c>
      <c r="E2886" s="27">
        <v>140.61779619999999</v>
      </c>
      <c r="F2886">
        <v>7.7</v>
      </c>
      <c r="G2886">
        <v>0.42</v>
      </c>
      <c r="H2886">
        <v>8.1199999999999992</v>
      </c>
      <c r="I2886">
        <v>94.83</v>
      </c>
      <c r="J2886">
        <v>125.21</v>
      </c>
      <c r="K2886" s="9">
        <v>45364</v>
      </c>
      <c r="L2886">
        <f xml:space="preserve"> (交易處理資料__3[[#This Row],[售出工時]] * 60) / 5</f>
        <v>122.00000003999999</v>
      </c>
      <c r="M2886" t="str">
        <f>VLOOKUP(交易處理資料__3[[#This Row],[人員代號]],團隊分組!$B$1:$C$52,2,FALSE)</f>
        <v>查修團隊B</v>
      </c>
      <c r="N2886">
        <f>IF(交易處理資料__3[[#This Row],[上班時間]]=0,0,交易處理資料__3[[#This Row],[售出工時]]/交易處理資料__3[[#This Row],[上班時間]])</f>
        <v>1.2520525455665026</v>
      </c>
      <c r="O2886" s="31" t="str">
        <f>IF(交易處理資料__3[[#This Row],[上班時間]]=0,"否","是")</f>
        <v>是</v>
      </c>
    </row>
    <row r="2887" spans="1:15" hidden="1">
      <c r="A2887" s="10" t="s">
        <v>73</v>
      </c>
      <c r="B2887" t="s">
        <v>1</v>
      </c>
      <c r="C2887">
        <v>0</v>
      </c>
      <c r="D2887">
        <v>0</v>
      </c>
      <c r="E2887" s="27">
        <v>0</v>
      </c>
      <c r="F2887">
        <v>7.33</v>
      </c>
      <c r="G2887">
        <v>0.68</v>
      </c>
      <c r="H2887">
        <v>8.01</v>
      </c>
      <c r="I2887">
        <v>91.51</v>
      </c>
      <c r="J2887">
        <v>0</v>
      </c>
      <c r="K2887" s="9">
        <v>45365</v>
      </c>
      <c r="L2887">
        <f xml:space="preserve"> (交易處理資料__3[[#This Row],[售出工時]] * 60) / 5</f>
        <v>0</v>
      </c>
      <c r="M2887" t="str">
        <f>VLOOKUP(交易處理資料__3[[#This Row],[人員代號]],團隊分組!$B$1:$C$52,2,FALSE)</f>
        <v>噴漆維修組</v>
      </c>
      <c r="N2887">
        <f>IF(交易處理資料__3[[#This Row],[上班時間]]=0,0,交易處理資料__3[[#This Row],[售出工時]]/交易處理資料__3[[#This Row],[上班時間]])</f>
        <v>0</v>
      </c>
      <c r="O2887" s="31" t="str">
        <f>IF(交易處理資料__3[[#This Row],[上班時間]]=0,"否","是")</f>
        <v>是</v>
      </c>
    </row>
    <row r="2888" spans="1:15" hidden="1">
      <c r="A2888" s="10" t="s">
        <v>73</v>
      </c>
      <c r="B2888" t="s">
        <v>2</v>
      </c>
      <c r="C2888">
        <v>0</v>
      </c>
      <c r="D2888">
        <v>0</v>
      </c>
      <c r="E2888" s="27">
        <v>0</v>
      </c>
      <c r="F2888">
        <v>9.4499999999999993</v>
      </c>
      <c r="G2888">
        <v>0.09</v>
      </c>
      <c r="H2888">
        <v>9.5399999999999991</v>
      </c>
      <c r="I2888">
        <v>99.06</v>
      </c>
      <c r="J2888">
        <v>0</v>
      </c>
      <c r="K2888" s="9">
        <v>45365</v>
      </c>
      <c r="L2888">
        <f xml:space="preserve"> (交易處理資料__3[[#This Row],[售出工時]] * 60) / 5</f>
        <v>0</v>
      </c>
      <c r="M2888" t="str">
        <f>VLOOKUP(交易處理資料__3[[#This Row],[人員代號]],團隊分組!$B$1:$C$52,2,FALSE)</f>
        <v>噴漆維修組</v>
      </c>
      <c r="N2888">
        <f>IF(交易處理資料__3[[#This Row],[上班時間]]=0,0,交易處理資料__3[[#This Row],[售出工時]]/交易處理資料__3[[#This Row],[上班時間]])</f>
        <v>0</v>
      </c>
      <c r="O2888" s="31" t="str">
        <f>IF(交易處理資料__3[[#This Row],[上班時間]]=0,"否","是")</f>
        <v>是</v>
      </c>
    </row>
    <row r="2889" spans="1:15" hidden="1">
      <c r="A2889" s="10" t="s">
        <v>73</v>
      </c>
      <c r="B2889" t="s">
        <v>3</v>
      </c>
      <c r="C2889">
        <v>0</v>
      </c>
      <c r="D2889">
        <v>0</v>
      </c>
      <c r="E2889" s="27">
        <v>0</v>
      </c>
      <c r="F2889">
        <v>9.4499999999999993</v>
      </c>
      <c r="G2889">
        <v>0.08</v>
      </c>
      <c r="H2889">
        <v>9.5299999999999994</v>
      </c>
      <c r="I2889">
        <v>99.16</v>
      </c>
      <c r="J2889">
        <v>0</v>
      </c>
      <c r="K2889" s="9">
        <v>45365</v>
      </c>
      <c r="L2889">
        <f xml:space="preserve"> (交易處理資料__3[[#This Row],[售出工時]] * 60) / 5</f>
        <v>0</v>
      </c>
      <c r="M2889" t="str">
        <f>VLOOKUP(交易處理資料__3[[#This Row],[人員代號]],團隊分組!$B$1:$C$52,2,FALSE)</f>
        <v>噴漆維修組</v>
      </c>
      <c r="N2889">
        <f>IF(交易處理資料__3[[#This Row],[上班時間]]=0,0,交易處理資料__3[[#This Row],[售出工時]]/交易處理資料__3[[#This Row],[上班時間]])</f>
        <v>0</v>
      </c>
      <c r="O2889" s="31" t="str">
        <f>IF(交易處理資料__3[[#This Row],[上班時間]]=0,"否","是")</f>
        <v>是</v>
      </c>
    </row>
    <row r="2890" spans="1:15" hidden="1">
      <c r="A2890" s="10" t="s">
        <v>73</v>
      </c>
      <c r="B2890" t="s">
        <v>6</v>
      </c>
      <c r="C2890">
        <v>0</v>
      </c>
      <c r="D2890">
        <v>0</v>
      </c>
      <c r="E2890" s="27">
        <v>0</v>
      </c>
      <c r="F2890">
        <v>9.4499999999999993</v>
      </c>
      <c r="G2890">
        <v>0.08</v>
      </c>
      <c r="H2890">
        <v>9.5299999999999994</v>
      </c>
      <c r="I2890">
        <v>99.16</v>
      </c>
      <c r="J2890">
        <v>0</v>
      </c>
      <c r="K2890" s="9">
        <v>45365</v>
      </c>
      <c r="L2890">
        <f xml:space="preserve"> (交易處理資料__3[[#This Row],[售出工時]] * 60) / 5</f>
        <v>0</v>
      </c>
      <c r="M2890" t="str">
        <f>VLOOKUP(交易處理資料__3[[#This Row],[人員代號]],團隊分組!$B$1:$C$52,2,FALSE)</f>
        <v>噴漆維修組</v>
      </c>
      <c r="N2890">
        <f>IF(交易處理資料__3[[#This Row],[上班時間]]=0,0,交易處理資料__3[[#This Row],[售出工時]]/交易處理資料__3[[#This Row],[上班時間]])</f>
        <v>0</v>
      </c>
      <c r="O2890" s="31" t="str">
        <f>IF(交易處理資料__3[[#This Row],[上班時間]]=0,"否","是")</f>
        <v>是</v>
      </c>
    </row>
    <row r="2891" spans="1:15" hidden="1">
      <c r="A2891" s="10" t="s">
        <v>73</v>
      </c>
      <c r="B2891" t="s">
        <v>9</v>
      </c>
      <c r="C2891">
        <v>2.2200000000000002</v>
      </c>
      <c r="D2891">
        <v>4.54</v>
      </c>
      <c r="E2891" s="27">
        <v>48.898678410000002</v>
      </c>
      <c r="F2891">
        <v>7.5</v>
      </c>
      <c r="G2891">
        <v>0.6</v>
      </c>
      <c r="H2891">
        <v>8.1</v>
      </c>
      <c r="I2891">
        <v>92.59</v>
      </c>
      <c r="J2891">
        <v>27.41</v>
      </c>
      <c r="K2891" s="9">
        <v>45365</v>
      </c>
      <c r="L2891">
        <f xml:space="preserve"> (交易處理資料__3[[#This Row],[售出工時]] * 60) / 5</f>
        <v>26.640000000000004</v>
      </c>
      <c r="M2891" t="str">
        <f>VLOOKUP(交易處理資料__3[[#This Row],[人員代號]],團隊分組!$B$1:$C$52,2,FALSE)</f>
        <v>噴漆維修組</v>
      </c>
      <c r="N2891">
        <f>IF(交易處理資料__3[[#This Row],[上班時間]]=0,0,交易處理資料__3[[#This Row],[售出工時]]/交易處理資料__3[[#This Row],[上班時間]])</f>
        <v>0.27407407407407414</v>
      </c>
      <c r="O2891" s="31" t="str">
        <f>IF(交易處理資料__3[[#This Row],[上班時間]]=0,"否","是")</f>
        <v>是</v>
      </c>
    </row>
    <row r="2892" spans="1:15" hidden="1">
      <c r="A2892" t="s">
        <v>74</v>
      </c>
      <c r="B2892" t="s">
        <v>11</v>
      </c>
      <c r="C2892">
        <v>1</v>
      </c>
      <c r="D2892">
        <v>0.57999999999999996</v>
      </c>
      <c r="E2892" s="27">
        <v>172.41379309999999</v>
      </c>
      <c r="F2892">
        <v>0.7</v>
      </c>
      <c r="G2892">
        <v>7.4</v>
      </c>
      <c r="H2892">
        <v>8.1</v>
      </c>
      <c r="I2892">
        <v>8.64</v>
      </c>
      <c r="J2892">
        <v>12.35</v>
      </c>
      <c r="K2892" s="9">
        <v>45365</v>
      </c>
      <c r="L2892">
        <f xml:space="preserve"> (交易處理資料__3[[#This Row],[售出工時]] * 60) / 5</f>
        <v>12</v>
      </c>
      <c r="M2892" t="str">
        <f>VLOOKUP(交易處理資料__3[[#This Row],[人員代號]],團隊分組!$B$1:$C$52,2,FALSE)</f>
        <v>鈑金維修組</v>
      </c>
      <c r="N2892">
        <f>IF(交易處理資料__3[[#This Row],[上班時間]]=0,0,交易處理資料__3[[#This Row],[售出工時]]/交易處理資料__3[[#This Row],[上班時間]])</f>
        <v>0.1234567901234568</v>
      </c>
      <c r="O2892" s="31" t="str">
        <f>IF(交易處理資料__3[[#This Row],[上班時間]]=0,"否","是")</f>
        <v>是</v>
      </c>
    </row>
    <row r="2893" spans="1:15" hidden="1">
      <c r="A2893" t="s">
        <v>74</v>
      </c>
      <c r="B2893" t="s">
        <v>12</v>
      </c>
      <c r="C2893">
        <v>10.25</v>
      </c>
      <c r="D2893">
        <v>8.33</v>
      </c>
      <c r="E2893" s="27">
        <v>123.04921969999999</v>
      </c>
      <c r="F2893">
        <v>10.86</v>
      </c>
      <c r="G2893">
        <v>0.26</v>
      </c>
      <c r="H2893">
        <v>11.12</v>
      </c>
      <c r="I2893">
        <v>97.66</v>
      </c>
      <c r="J2893">
        <v>92.18</v>
      </c>
      <c r="K2893" s="9">
        <v>45365</v>
      </c>
      <c r="L2893">
        <f xml:space="preserve"> (交易處理資料__3[[#This Row],[售出工時]] * 60) / 5</f>
        <v>123</v>
      </c>
      <c r="M2893" t="str">
        <f>VLOOKUP(交易處理資料__3[[#This Row],[人員代號]],團隊分組!$B$1:$C$52,2,FALSE)</f>
        <v>鈑金維修組</v>
      </c>
      <c r="N2893">
        <f>IF(交易處理資料__3[[#This Row],[上班時間]]=0,0,交易處理資料__3[[#This Row],[售出工時]]/交易處理資料__3[[#This Row],[上班時間]])</f>
        <v>0.9217625899280576</v>
      </c>
      <c r="O2893" s="31" t="str">
        <f>IF(交易處理資料__3[[#This Row],[上班時間]]=0,"否","是")</f>
        <v>是</v>
      </c>
    </row>
    <row r="2894" spans="1:15" hidden="1">
      <c r="A2894" t="s">
        <v>74</v>
      </c>
      <c r="B2894" t="s">
        <v>14</v>
      </c>
      <c r="C2894">
        <v>5.97</v>
      </c>
      <c r="D2894">
        <v>7.09</v>
      </c>
      <c r="E2894" s="27">
        <v>84.203102959999995</v>
      </c>
      <c r="F2894">
        <v>5</v>
      </c>
      <c r="G2894">
        <v>3.09</v>
      </c>
      <c r="H2894">
        <v>8.09</v>
      </c>
      <c r="I2894">
        <v>61.8</v>
      </c>
      <c r="J2894">
        <v>73.790000000000006</v>
      </c>
      <c r="K2894" s="9">
        <v>45365</v>
      </c>
      <c r="L2894">
        <f xml:space="preserve"> (交易處理資料__3[[#This Row],[售出工時]] * 60) / 5</f>
        <v>71.64</v>
      </c>
      <c r="M2894" t="str">
        <f>VLOOKUP(交易處理資料__3[[#This Row],[人員代號]],團隊分組!$B$1:$C$52,2,FALSE)</f>
        <v>鈑金維修組</v>
      </c>
      <c r="N2894">
        <f>IF(交易處理資料__3[[#This Row],[上班時間]]=0,0,交易處理資料__3[[#This Row],[售出工時]]/交易處理資料__3[[#This Row],[上班時間]])</f>
        <v>0.73794808405438816</v>
      </c>
      <c r="O2894" s="31" t="str">
        <f>IF(交易處理資料__3[[#This Row],[上班時間]]=0,"否","是")</f>
        <v>是</v>
      </c>
    </row>
    <row r="2895" spans="1:15" hidden="1">
      <c r="A2895" t="s">
        <v>75</v>
      </c>
      <c r="B2895" t="s">
        <v>17</v>
      </c>
      <c r="C2895">
        <v>15.456666670000001</v>
      </c>
      <c r="D2895">
        <v>6.11</v>
      </c>
      <c r="E2895" s="27">
        <v>252.9732679</v>
      </c>
      <c r="F2895">
        <v>7.37</v>
      </c>
      <c r="G2895">
        <v>0.79</v>
      </c>
      <c r="H2895">
        <v>8.16</v>
      </c>
      <c r="I2895">
        <v>90.32</v>
      </c>
      <c r="J2895">
        <v>189.42</v>
      </c>
      <c r="K2895" s="9">
        <v>45365</v>
      </c>
      <c r="L2895">
        <f xml:space="preserve"> (交易處理資料__3[[#This Row],[售出工時]] * 60) / 5</f>
        <v>185.48000003999999</v>
      </c>
      <c r="M2895" t="str">
        <f>VLOOKUP(交易處理資料__3[[#This Row],[人員代號]],團隊分組!$B$1:$C$52,2,FALSE)</f>
        <v>快速保養團隊A</v>
      </c>
      <c r="N2895">
        <f>IF(交易處理資料__3[[#This Row],[上班時間]]=0,0,交易處理資料__3[[#This Row],[售出工時]]/交易處理資料__3[[#This Row],[上班時間]])</f>
        <v>1.8941993468137255</v>
      </c>
      <c r="O2895" s="31" t="str">
        <f>IF(交易處理資料__3[[#This Row],[上班時間]]=0,"否","是")</f>
        <v>是</v>
      </c>
    </row>
    <row r="2896" spans="1:15" hidden="1">
      <c r="A2896" t="s">
        <v>75</v>
      </c>
      <c r="B2896" t="s">
        <v>18</v>
      </c>
      <c r="C2896">
        <v>2.5</v>
      </c>
      <c r="D2896">
        <v>6.73</v>
      </c>
      <c r="E2896" s="27">
        <v>37.147102529999998</v>
      </c>
      <c r="F2896">
        <v>9.25</v>
      </c>
      <c r="G2896">
        <v>0.22</v>
      </c>
      <c r="H2896">
        <v>9.4700000000000006</v>
      </c>
      <c r="I2896">
        <v>97.68</v>
      </c>
      <c r="J2896">
        <v>26.4</v>
      </c>
      <c r="K2896" s="9">
        <v>45365</v>
      </c>
      <c r="L2896">
        <f xml:space="preserve"> (交易處理資料__3[[#This Row],[售出工時]] * 60) / 5</f>
        <v>30</v>
      </c>
      <c r="M2896" t="str">
        <f>VLOOKUP(交易處理資料__3[[#This Row],[人員代號]],團隊分組!$B$1:$C$52,2,FALSE)</f>
        <v>查修團隊B</v>
      </c>
      <c r="N2896">
        <f>IF(交易處理資料__3[[#This Row],[上班時間]]=0,0,交易處理資料__3[[#This Row],[售出工時]]/交易處理資料__3[[#This Row],[上班時間]])</f>
        <v>0.26399155227032733</v>
      </c>
      <c r="O2896" s="31" t="str">
        <f>IF(交易處理資料__3[[#This Row],[上班時間]]=0,"否","是")</f>
        <v>是</v>
      </c>
    </row>
    <row r="2897" spans="1:15" hidden="1">
      <c r="A2897" t="s">
        <v>75</v>
      </c>
      <c r="B2897" t="s">
        <v>20</v>
      </c>
      <c r="C2897">
        <v>0.83333333300000001</v>
      </c>
      <c r="D2897">
        <v>0.73</v>
      </c>
      <c r="E2897" s="27">
        <v>114.1552511</v>
      </c>
      <c r="F2897">
        <v>0</v>
      </c>
      <c r="G2897">
        <v>5.48</v>
      </c>
      <c r="H2897">
        <v>5.48</v>
      </c>
      <c r="I2897">
        <v>0</v>
      </c>
      <c r="J2897">
        <v>15.21</v>
      </c>
      <c r="K2897" s="9">
        <v>45365</v>
      </c>
      <c r="L2897">
        <f xml:space="preserve"> (交易處理資料__3[[#This Row],[售出工時]] * 60) / 5</f>
        <v>9.9999999959999997</v>
      </c>
      <c r="M2897" t="str">
        <f>VLOOKUP(交易處理資料__3[[#This Row],[人員代號]],團隊分組!$B$1:$C$52,2,FALSE)</f>
        <v>查修團隊B</v>
      </c>
      <c r="N2897">
        <f>IF(交易處理資料__3[[#This Row],[上班時間]]=0,0,交易處理資料__3[[#This Row],[售出工時]]/交易處理資料__3[[#This Row],[上班時間]])</f>
        <v>0.15206812645985401</v>
      </c>
      <c r="O2897" s="31" t="str">
        <f>IF(交易處理資料__3[[#This Row],[上班時間]]=0,"否","是")</f>
        <v>是</v>
      </c>
    </row>
    <row r="2898" spans="1:15" hidden="1">
      <c r="A2898" t="s">
        <v>75</v>
      </c>
      <c r="B2898" t="s">
        <v>21</v>
      </c>
      <c r="C2898">
        <v>6.75</v>
      </c>
      <c r="D2898">
        <v>8.65</v>
      </c>
      <c r="E2898" s="27">
        <v>78.034682079999996</v>
      </c>
      <c r="F2898">
        <v>5.84</v>
      </c>
      <c r="G2898">
        <v>3.38</v>
      </c>
      <c r="H2898">
        <v>9.2200000000000006</v>
      </c>
      <c r="I2898">
        <v>63.34</v>
      </c>
      <c r="J2898">
        <v>73.209999999999994</v>
      </c>
      <c r="K2898" s="9">
        <v>45365</v>
      </c>
      <c r="L2898">
        <f xml:space="preserve"> (交易處理資料__3[[#This Row],[售出工時]] * 60) / 5</f>
        <v>81</v>
      </c>
      <c r="M2898" t="str">
        <f>VLOOKUP(交易處理資料__3[[#This Row],[人員代號]],團隊分組!$B$1:$C$52,2,FALSE)</f>
        <v>查修團隊B</v>
      </c>
      <c r="N2898">
        <f>IF(交易處理資料__3[[#This Row],[上班時間]]=0,0,交易處理資料__3[[#This Row],[售出工時]]/交易處理資料__3[[#This Row],[上班時間]])</f>
        <v>0.73210412147505421</v>
      </c>
      <c r="O2898" s="31" t="str">
        <f>IF(交易處理資料__3[[#This Row],[上班時間]]=0,"否","是")</f>
        <v>是</v>
      </c>
    </row>
    <row r="2899" spans="1:15" hidden="1">
      <c r="A2899" t="s">
        <v>75</v>
      </c>
      <c r="B2899" t="s">
        <v>22</v>
      </c>
      <c r="C2899">
        <v>6</v>
      </c>
      <c r="D2899">
        <v>3.98</v>
      </c>
      <c r="E2899" s="27">
        <v>150.75376879999999</v>
      </c>
      <c r="F2899">
        <v>8.58</v>
      </c>
      <c r="G2899">
        <v>0.44</v>
      </c>
      <c r="H2899">
        <v>9.02</v>
      </c>
      <c r="I2899">
        <v>95.12</v>
      </c>
      <c r="J2899">
        <v>66.52</v>
      </c>
      <c r="K2899" s="9">
        <v>45365</v>
      </c>
      <c r="L2899">
        <f xml:space="preserve"> (交易處理資料__3[[#This Row],[售出工時]] * 60) / 5</f>
        <v>72</v>
      </c>
      <c r="M2899" t="str">
        <f>VLOOKUP(交易處理資料__3[[#This Row],[人員代號]],團隊分組!$B$1:$C$52,2,FALSE)</f>
        <v>快速保養團隊A</v>
      </c>
      <c r="N2899">
        <f>IF(交易處理資料__3[[#This Row],[上班時間]]=0,0,交易處理資料__3[[#This Row],[售出工時]]/交易處理資料__3[[#This Row],[上班時間]])</f>
        <v>0.66518847006651893</v>
      </c>
      <c r="O2899" s="31" t="str">
        <f>IF(交易處理資料__3[[#This Row],[上班時間]]=0,"否","是")</f>
        <v>是</v>
      </c>
    </row>
    <row r="2900" spans="1:15" hidden="1">
      <c r="A2900" t="s">
        <v>75</v>
      </c>
      <c r="B2900" t="s">
        <v>23</v>
      </c>
      <c r="C2900">
        <v>12.6</v>
      </c>
      <c r="D2900">
        <v>6.11</v>
      </c>
      <c r="E2900" s="27">
        <v>206.21931259999999</v>
      </c>
      <c r="F2900">
        <v>7.65</v>
      </c>
      <c r="G2900">
        <v>0.99</v>
      </c>
      <c r="H2900">
        <v>8.64</v>
      </c>
      <c r="I2900">
        <v>88.54</v>
      </c>
      <c r="J2900">
        <v>145.83000000000001</v>
      </c>
      <c r="K2900" s="9">
        <v>45365</v>
      </c>
      <c r="L2900">
        <f xml:space="preserve"> (交易處理資料__3[[#This Row],[售出工時]] * 60) / 5</f>
        <v>151.19999999999999</v>
      </c>
      <c r="M2900" t="str">
        <f>VLOOKUP(交易處理資料__3[[#This Row],[人員代號]],團隊分組!$B$1:$C$52,2,FALSE)</f>
        <v>快速保養團隊B</v>
      </c>
      <c r="N2900">
        <f>IF(交易處理資料__3[[#This Row],[上班時間]]=0,0,交易處理資料__3[[#This Row],[售出工時]]/交易處理資料__3[[#This Row],[上班時間]])</f>
        <v>1.4583333333333333</v>
      </c>
      <c r="O2900" s="31" t="str">
        <f>IF(交易處理資料__3[[#This Row],[上班時間]]=0,"否","是")</f>
        <v>是</v>
      </c>
    </row>
    <row r="2901" spans="1:15" hidden="1">
      <c r="A2901" t="s">
        <v>75</v>
      </c>
      <c r="B2901" t="s">
        <v>24</v>
      </c>
      <c r="C2901">
        <v>4.6333333330000004</v>
      </c>
      <c r="D2901">
        <v>4.75</v>
      </c>
      <c r="E2901" s="27">
        <v>97.543859650000002</v>
      </c>
      <c r="F2901">
        <v>9.35</v>
      </c>
      <c r="G2901">
        <v>0.88</v>
      </c>
      <c r="H2901">
        <v>10.23</v>
      </c>
      <c r="I2901">
        <v>91.4</v>
      </c>
      <c r="J2901">
        <v>45.29</v>
      </c>
      <c r="K2901" s="9">
        <v>45365</v>
      </c>
      <c r="L2901">
        <f xml:space="preserve"> (交易處理資料__3[[#This Row],[售出工時]] * 60) / 5</f>
        <v>55.599999996000008</v>
      </c>
      <c r="M2901" t="str">
        <f>VLOOKUP(交易處理資料__3[[#This Row],[人員代號]],團隊分組!$B$1:$C$52,2,FALSE)</f>
        <v>快速保養團隊A</v>
      </c>
      <c r="N2901">
        <f>IF(交易處理資料__3[[#This Row],[上班時間]]=0,0,交易處理資料__3[[#This Row],[售出工時]]/交易處理資料__3[[#This Row],[上班時間]])</f>
        <v>0.4529162593352884</v>
      </c>
      <c r="O2901" s="31" t="str">
        <f>IF(交易處理資料__3[[#This Row],[上班時間]]=0,"否","是")</f>
        <v>是</v>
      </c>
    </row>
    <row r="2902" spans="1:15" hidden="1">
      <c r="A2902" t="s">
        <v>75</v>
      </c>
      <c r="B2902" t="s">
        <v>25</v>
      </c>
      <c r="C2902">
        <v>2.6666666669999999</v>
      </c>
      <c r="D2902">
        <v>3.87</v>
      </c>
      <c r="E2902" s="27">
        <v>68.906115420000006</v>
      </c>
      <c r="F2902">
        <v>7.85</v>
      </c>
      <c r="G2902">
        <v>2.0099999999999998</v>
      </c>
      <c r="H2902">
        <v>9.86</v>
      </c>
      <c r="I2902">
        <v>79.61</v>
      </c>
      <c r="J2902">
        <v>27.05</v>
      </c>
      <c r="K2902" s="9">
        <v>45365</v>
      </c>
      <c r="L2902">
        <f xml:space="preserve"> (交易處理資料__3[[#This Row],[售出工時]] * 60) / 5</f>
        <v>32.000000004</v>
      </c>
      <c r="M2902" t="str">
        <f>VLOOKUP(交易處理資料__3[[#This Row],[人員代號]],團隊分組!$B$1:$C$52,2,FALSE)</f>
        <v>查修團隊A</v>
      </c>
      <c r="N2902">
        <f>IF(交易處理資料__3[[#This Row],[上班時間]]=0,0,交易處理資料__3[[#This Row],[售出工時]]/交易處理資料__3[[#This Row],[上班時間]])</f>
        <v>0.27045300882352941</v>
      </c>
      <c r="O2902" s="31" t="str">
        <f>IF(交易處理資料__3[[#This Row],[上班時間]]=0,"否","是")</f>
        <v>是</v>
      </c>
    </row>
    <row r="2903" spans="1:15" hidden="1">
      <c r="A2903" t="s">
        <v>75</v>
      </c>
      <c r="B2903" t="s">
        <v>26</v>
      </c>
      <c r="C2903">
        <v>0.5</v>
      </c>
      <c r="D2903">
        <v>0.01</v>
      </c>
      <c r="E2903" s="27">
        <v>5000</v>
      </c>
      <c r="F2903">
        <v>0</v>
      </c>
      <c r="G2903">
        <v>4.43</v>
      </c>
      <c r="H2903">
        <v>4.43</v>
      </c>
      <c r="I2903">
        <v>0</v>
      </c>
      <c r="J2903">
        <v>11.29</v>
      </c>
      <c r="K2903" s="9">
        <v>45365</v>
      </c>
      <c r="L2903">
        <f xml:space="preserve"> (交易處理資料__3[[#This Row],[售出工時]] * 60) / 5</f>
        <v>6</v>
      </c>
      <c r="M2903" t="str">
        <f>VLOOKUP(交易處理資料__3[[#This Row],[人員代號]],團隊分組!$B$1:$C$52,2,FALSE)</f>
        <v>查修團隊B</v>
      </c>
      <c r="N2903">
        <f>IF(交易處理資料__3[[#This Row],[上班時間]]=0,0,交易處理資料__3[[#This Row],[售出工時]]/交易處理資料__3[[#This Row],[上班時間]])</f>
        <v>0.11286681715575622</v>
      </c>
      <c r="O2903" s="31" t="str">
        <f>IF(交易處理資料__3[[#This Row],[上班時間]]=0,"否","是")</f>
        <v>是</v>
      </c>
    </row>
    <row r="2904" spans="1:15" hidden="1">
      <c r="A2904" t="s">
        <v>75</v>
      </c>
      <c r="B2904" t="s">
        <v>27</v>
      </c>
      <c r="C2904">
        <v>6.17</v>
      </c>
      <c r="D2904">
        <v>5.48</v>
      </c>
      <c r="E2904" s="27">
        <v>112.5912409</v>
      </c>
      <c r="F2904">
        <v>8.5299999999999994</v>
      </c>
      <c r="G2904">
        <v>1.52</v>
      </c>
      <c r="H2904">
        <v>10.050000000000001</v>
      </c>
      <c r="I2904">
        <v>84.88</v>
      </c>
      <c r="J2904">
        <v>61.39</v>
      </c>
      <c r="K2904" s="9">
        <v>45365</v>
      </c>
      <c r="L2904">
        <f xml:space="preserve"> (交易處理資料__3[[#This Row],[售出工時]] * 60) / 5</f>
        <v>74.039999999999992</v>
      </c>
      <c r="M2904" t="str">
        <f>VLOOKUP(交易處理資料__3[[#This Row],[人員代號]],團隊分組!$B$1:$C$52,2,FALSE)</f>
        <v>快速保養團隊B</v>
      </c>
      <c r="N2904">
        <f>IF(交易處理資料__3[[#This Row],[上班時間]]=0,0,交易處理資料__3[[#This Row],[售出工時]]/交易處理資料__3[[#This Row],[上班時間]])</f>
        <v>0.6139303482587064</v>
      </c>
      <c r="O2904" s="31" t="str">
        <f>IF(交易處理資料__3[[#This Row],[上班時間]]=0,"否","是")</f>
        <v>是</v>
      </c>
    </row>
    <row r="2905" spans="1:15" hidden="1">
      <c r="A2905" t="s">
        <v>75</v>
      </c>
      <c r="B2905" t="s">
        <v>28</v>
      </c>
      <c r="C2905">
        <v>10.58333333</v>
      </c>
      <c r="D2905">
        <v>5.27</v>
      </c>
      <c r="E2905" s="27">
        <v>200.82226439999999</v>
      </c>
      <c r="F2905">
        <v>6.98</v>
      </c>
      <c r="G2905">
        <v>1.07</v>
      </c>
      <c r="H2905">
        <v>8.0500000000000007</v>
      </c>
      <c r="I2905">
        <v>86.71</v>
      </c>
      <c r="J2905">
        <v>131.47</v>
      </c>
      <c r="K2905" s="9">
        <v>45365</v>
      </c>
      <c r="L2905">
        <f xml:space="preserve"> (交易處理資料__3[[#This Row],[售出工時]] * 60) / 5</f>
        <v>126.99999996000001</v>
      </c>
      <c r="M2905" t="str">
        <f>VLOOKUP(交易處理資料__3[[#This Row],[人員代號]],團隊分組!$B$1:$C$52,2,FALSE)</f>
        <v>快速保養團隊A</v>
      </c>
      <c r="N2905">
        <f>IF(交易處理資料__3[[#This Row],[上班時間]]=0,0,交易處理資料__3[[#This Row],[售出工時]]/交易處理資料__3[[#This Row],[上班時間]])</f>
        <v>1.3146997925465838</v>
      </c>
      <c r="O2905" s="31" t="str">
        <f>IF(交易處理資料__3[[#This Row],[上班時間]]=0,"否","是")</f>
        <v>是</v>
      </c>
    </row>
    <row r="2906" spans="1:15" hidden="1">
      <c r="A2906" t="s">
        <v>75</v>
      </c>
      <c r="B2906" t="s">
        <v>29</v>
      </c>
      <c r="C2906">
        <v>2</v>
      </c>
      <c r="D2906">
        <v>1.99</v>
      </c>
      <c r="E2906" s="27">
        <v>100.5025126</v>
      </c>
      <c r="F2906">
        <v>7.22</v>
      </c>
      <c r="G2906">
        <v>0.95</v>
      </c>
      <c r="H2906">
        <v>8.17</v>
      </c>
      <c r="I2906">
        <v>88.37</v>
      </c>
      <c r="J2906">
        <v>24.48</v>
      </c>
      <c r="K2906" s="9">
        <v>45365</v>
      </c>
      <c r="L2906">
        <f xml:space="preserve"> (交易處理資料__3[[#This Row],[售出工時]] * 60) / 5</f>
        <v>24</v>
      </c>
      <c r="M2906" t="str">
        <f>VLOOKUP(交易處理資料__3[[#This Row],[人員代號]],團隊分組!$B$1:$C$52,2,FALSE)</f>
        <v>查修團隊B</v>
      </c>
      <c r="N2906">
        <f>IF(交易處理資料__3[[#This Row],[上班時間]]=0,0,交易處理資料__3[[#This Row],[售出工時]]/交易處理資料__3[[#This Row],[上班時間]])</f>
        <v>0.24479804161566707</v>
      </c>
      <c r="O2906" s="31" t="str">
        <f>IF(交易處理資料__3[[#This Row],[上班時間]]=0,"否","是")</f>
        <v>是</v>
      </c>
    </row>
    <row r="2907" spans="1:15" hidden="1">
      <c r="A2907" t="s">
        <v>75</v>
      </c>
      <c r="B2907" t="s">
        <v>30</v>
      </c>
      <c r="C2907">
        <v>17.68</v>
      </c>
      <c r="D2907">
        <v>9.23</v>
      </c>
      <c r="E2907" s="27">
        <v>191.54929580000001</v>
      </c>
      <c r="F2907">
        <v>9.74</v>
      </c>
      <c r="G2907">
        <v>0.33</v>
      </c>
      <c r="H2907">
        <v>10.07</v>
      </c>
      <c r="I2907">
        <v>96.72</v>
      </c>
      <c r="J2907">
        <v>175.57</v>
      </c>
      <c r="K2907" s="9">
        <v>45365</v>
      </c>
      <c r="L2907">
        <f xml:space="preserve"> (交易處理資料__3[[#This Row],[售出工時]] * 60) / 5</f>
        <v>212.16</v>
      </c>
      <c r="M2907" t="str">
        <f>VLOOKUP(交易處理資料__3[[#This Row],[人員代號]],團隊分組!$B$1:$C$52,2,FALSE)</f>
        <v>快速保養團隊B</v>
      </c>
      <c r="N2907">
        <f>IF(交易處理資料__3[[#This Row],[上班時間]]=0,0,交易處理資料__3[[#This Row],[售出工時]]/交易處理資料__3[[#This Row],[上班時間]])</f>
        <v>1.7557100297914596</v>
      </c>
      <c r="O2907" s="31" t="str">
        <f>IF(交易處理資料__3[[#This Row],[上班時間]]=0,"否","是")</f>
        <v>是</v>
      </c>
    </row>
    <row r="2908" spans="1:15" hidden="1">
      <c r="A2908" t="s">
        <v>75</v>
      </c>
      <c r="B2908" t="s">
        <v>32</v>
      </c>
      <c r="C2908">
        <v>0</v>
      </c>
      <c r="D2908">
        <v>0</v>
      </c>
      <c r="E2908" s="27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 s="9">
        <v>45365</v>
      </c>
      <c r="L2908">
        <f xml:space="preserve"> (交易處理資料__3[[#This Row],[售出工時]] * 60) / 5</f>
        <v>0</v>
      </c>
      <c r="M2908" t="str">
        <f>VLOOKUP(交易處理資料__3[[#This Row],[人員代號]],團隊分組!$B$1:$C$52,2,FALSE)</f>
        <v>快速保養團隊B</v>
      </c>
      <c r="N2908">
        <f>IF(交易處理資料__3[[#This Row],[上班時間]]=0,0,交易處理資料__3[[#This Row],[售出工時]]/交易處理資料__3[[#This Row],[上班時間]])</f>
        <v>0</v>
      </c>
      <c r="O2908" s="31" t="str">
        <f>IF(交易處理資料__3[[#This Row],[上班時間]]=0,"否","是")</f>
        <v>否</v>
      </c>
    </row>
    <row r="2909" spans="1:15" hidden="1">
      <c r="A2909" t="s">
        <v>75</v>
      </c>
      <c r="B2909" t="s">
        <v>34</v>
      </c>
      <c r="C2909">
        <v>11.16666667</v>
      </c>
      <c r="D2909">
        <v>7.07</v>
      </c>
      <c r="E2909" s="27">
        <v>157.94436590000001</v>
      </c>
      <c r="F2909">
        <v>9.02</v>
      </c>
      <c r="G2909">
        <v>0.53</v>
      </c>
      <c r="H2909">
        <v>9.5500000000000007</v>
      </c>
      <c r="I2909">
        <v>94.45</v>
      </c>
      <c r="J2909">
        <v>116.93</v>
      </c>
      <c r="K2909" s="9">
        <v>45365</v>
      </c>
      <c r="L2909">
        <f xml:space="preserve"> (交易處理資料__3[[#This Row],[售出工時]] * 60) / 5</f>
        <v>134.00000003999997</v>
      </c>
      <c r="M2909" t="str">
        <f>VLOOKUP(交易處理資料__3[[#This Row],[人員代號]],團隊分組!$B$1:$C$52,2,FALSE)</f>
        <v>快速保養團隊A</v>
      </c>
      <c r="N2909">
        <f>IF(交易處理資料__3[[#This Row],[上班時間]]=0,0,交易處理資料__3[[#This Row],[售出工時]]/交易處理資料__3[[#This Row],[上班時間]])</f>
        <v>1.1692844680628272</v>
      </c>
      <c r="O2909" s="31" t="str">
        <f>IF(交易處理資料__3[[#This Row],[上班時間]]=0,"否","是")</f>
        <v>是</v>
      </c>
    </row>
    <row r="2910" spans="1:15" hidden="1">
      <c r="A2910" t="s">
        <v>75</v>
      </c>
      <c r="B2910" t="s">
        <v>35</v>
      </c>
      <c r="C2910">
        <v>2.75</v>
      </c>
      <c r="D2910">
        <v>3.8</v>
      </c>
      <c r="E2910" s="27">
        <v>72.368421049999995</v>
      </c>
      <c r="F2910">
        <v>6.43</v>
      </c>
      <c r="G2910">
        <v>3.1</v>
      </c>
      <c r="H2910">
        <v>9.5299999999999994</v>
      </c>
      <c r="I2910">
        <v>67.47</v>
      </c>
      <c r="J2910">
        <v>28.86</v>
      </c>
      <c r="K2910" s="9">
        <v>45365</v>
      </c>
      <c r="L2910">
        <f xml:space="preserve"> (交易處理資料__3[[#This Row],[售出工時]] * 60) / 5</f>
        <v>33</v>
      </c>
      <c r="M2910" t="str">
        <f>VLOOKUP(交易處理資料__3[[#This Row],[人員代號]],團隊分組!$B$1:$C$52,2,FALSE)</f>
        <v>查修團隊B</v>
      </c>
      <c r="N2910">
        <f>IF(交易處理資料__3[[#This Row],[上班時間]]=0,0,交易處理資料__3[[#This Row],[售出工時]]/交易處理資料__3[[#This Row],[上班時間]])</f>
        <v>0.28856243441762858</v>
      </c>
      <c r="O2910" s="31" t="str">
        <f>IF(交易處理資料__3[[#This Row],[上班時間]]=0,"否","是")</f>
        <v>是</v>
      </c>
    </row>
    <row r="2911" spans="1:15" hidden="1">
      <c r="A2911" t="s">
        <v>75</v>
      </c>
      <c r="B2911" t="s">
        <v>36</v>
      </c>
      <c r="C2911">
        <v>0.16</v>
      </c>
      <c r="D2911">
        <v>1.1000000000000001</v>
      </c>
      <c r="E2911" s="27">
        <v>14.545454550000001</v>
      </c>
      <c r="F2911">
        <v>6.23</v>
      </c>
      <c r="G2911">
        <v>2.14</v>
      </c>
      <c r="H2911">
        <v>8.3699999999999992</v>
      </c>
      <c r="I2911">
        <v>74.430000000000007</v>
      </c>
      <c r="J2911">
        <v>1.91</v>
      </c>
      <c r="K2911" s="9">
        <v>45365</v>
      </c>
      <c r="L2911">
        <f xml:space="preserve"> (交易處理資料__3[[#This Row],[售出工時]] * 60) / 5</f>
        <v>1.92</v>
      </c>
      <c r="M2911" t="str">
        <f>VLOOKUP(交易處理資料__3[[#This Row],[人員代號]],團隊分組!$B$1:$C$52,2,FALSE)</f>
        <v>查修團隊B</v>
      </c>
      <c r="N2911">
        <f>IF(交易處理資料__3[[#This Row],[上班時間]]=0,0,交易處理資料__3[[#This Row],[售出工時]]/交易處理資料__3[[#This Row],[上班時間]])</f>
        <v>1.9115890083632021E-2</v>
      </c>
      <c r="O2911" s="31" t="str">
        <f>IF(交易處理資料__3[[#This Row],[上班時間]]=0,"否","是")</f>
        <v>是</v>
      </c>
    </row>
    <row r="2912" spans="1:15" hidden="1">
      <c r="A2912" t="s">
        <v>75</v>
      </c>
      <c r="B2912" t="s">
        <v>37</v>
      </c>
      <c r="C2912">
        <v>1.5</v>
      </c>
      <c r="D2912">
        <v>1.67</v>
      </c>
      <c r="E2912" s="27">
        <v>89.820359280000005</v>
      </c>
      <c r="F2912">
        <v>4.82</v>
      </c>
      <c r="G2912">
        <v>3.1</v>
      </c>
      <c r="H2912">
        <v>7.92</v>
      </c>
      <c r="I2912">
        <v>60.86</v>
      </c>
      <c r="J2912">
        <v>18.940000000000001</v>
      </c>
      <c r="K2912" s="9">
        <v>45365</v>
      </c>
      <c r="L2912">
        <f xml:space="preserve"> (交易處理資料__3[[#This Row],[售出工時]] * 60) / 5</f>
        <v>18</v>
      </c>
      <c r="M2912" t="str">
        <f>VLOOKUP(交易處理資料__3[[#This Row],[人員代號]],團隊分組!$B$1:$C$52,2,FALSE)</f>
        <v>查修團隊A</v>
      </c>
      <c r="N2912">
        <f>IF(交易處理資料__3[[#This Row],[上班時間]]=0,0,交易處理資料__3[[#This Row],[售出工時]]/交易處理資料__3[[#This Row],[上班時間]])</f>
        <v>0.18939393939393939</v>
      </c>
      <c r="O2912" s="31" t="str">
        <f>IF(交易處理資料__3[[#This Row],[上班時間]]=0,"否","是")</f>
        <v>是</v>
      </c>
    </row>
    <row r="2913" spans="1:15" hidden="1">
      <c r="A2913" t="s">
        <v>75</v>
      </c>
      <c r="B2913" t="s">
        <v>38</v>
      </c>
      <c r="C2913">
        <v>16.329999999999998</v>
      </c>
      <c r="D2913">
        <v>5.91</v>
      </c>
      <c r="E2913" s="27">
        <v>276.31133670000003</v>
      </c>
      <c r="F2913">
        <v>8.89</v>
      </c>
      <c r="G2913">
        <v>0.1</v>
      </c>
      <c r="H2913">
        <v>8.99</v>
      </c>
      <c r="I2913">
        <v>98.89</v>
      </c>
      <c r="J2913">
        <v>181.65</v>
      </c>
      <c r="K2913" s="9">
        <v>45365</v>
      </c>
      <c r="L2913">
        <f xml:space="preserve"> (交易處理資料__3[[#This Row],[售出工時]] * 60) / 5</f>
        <v>195.95999999999998</v>
      </c>
      <c r="M2913" t="str">
        <f>VLOOKUP(交易處理資料__3[[#This Row],[人員代號]],團隊分組!$B$1:$C$52,2,FALSE)</f>
        <v>快速保養團隊A</v>
      </c>
      <c r="N2913">
        <f>IF(交易處理資料__3[[#This Row],[上班時間]]=0,0,交易處理資料__3[[#This Row],[售出工時]]/交易處理資料__3[[#This Row],[上班時間]])</f>
        <v>1.8164627363737484</v>
      </c>
      <c r="O2913" s="31" t="str">
        <f>IF(交易處理資料__3[[#This Row],[上班時間]]=0,"否","是")</f>
        <v>是</v>
      </c>
    </row>
    <row r="2914" spans="1:15" hidden="1">
      <c r="A2914" t="s">
        <v>75</v>
      </c>
      <c r="B2914" t="s">
        <v>39</v>
      </c>
      <c r="C2914">
        <v>0.83333333300000001</v>
      </c>
      <c r="D2914">
        <v>0.55000000000000004</v>
      </c>
      <c r="E2914" s="27">
        <v>151.5151515</v>
      </c>
      <c r="F2914">
        <v>4.83</v>
      </c>
      <c r="G2914">
        <v>5.0999999999999996</v>
      </c>
      <c r="H2914">
        <v>9.93</v>
      </c>
      <c r="I2914">
        <v>48.64</v>
      </c>
      <c r="J2914">
        <v>8.39</v>
      </c>
      <c r="K2914" s="9">
        <v>45365</v>
      </c>
      <c r="L2914">
        <f xml:space="preserve"> (交易處理資料__3[[#This Row],[售出工時]] * 60) / 5</f>
        <v>9.9999999959999997</v>
      </c>
      <c r="M2914" t="str">
        <f>VLOOKUP(交易處理資料__3[[#This Row],[人員代號]],團隊分組!$B$1:$C$52,2,FALSE)</f>
        <v>查修團隊A</v>
      </c>
      <c r="N2914">
        <f>IF(交易處理資料__3[[#This Row],[上班時間]]=0,0,交易處理資料__3[[#This Row],[售出工時]]/交易處理資料__3[[#This Row],[上班時間]])</f>
        <v>8.392077875125882E-2</v>
      </c>
      <c r="O2914" s="31" t="str">
        <f>IF(交易處理資料__3[[#This Row],[上班時間]]=0,"否","是")</f>
        <v>是</v>
      </c>
    </row>
    <row r="2915" spans="1:15" hidden="1">
      <c r="A2915" t="s">
        <v>75</v>
      </c>
      <c r="B2915" t="s">
        <v>40</v>
      </c>
      <c r="C2915">
        <v>0</v>
      </c>
      <c r="D2915">
        <v>0</v>
      </c>
      <c r="E2915" s="27">
        <v>0</v>
      </c>
      <c r="F2915">
        <v>8.59</v>
      </c>
      <c r="G2915">
        <v>1.22</v>
      </c>
      <c r="H2915">
        <v>9.81</v>
      </c>
      <c r="I2915">
        <v>87.56</v>
      </c>
      <c r="J2915">
        <v>0</v>
      </c>
      <c r="K2915" s="9">
        <v>45365</v>
      </c>
      <c r="L2915">
        <f xml:space="preserve"> (交易處理資料__3[[#This Row],[售出工時]] * 60) / 5</f>
        <v>0</v>
      </c>
      <c r="M2915" t="str">
        <f>VLOOKUP(交易處理資料__3[[#This Row],[人員代號]],團隊分組!$B$1:$C$52,2,FALSE)</f>
        <v>查修團隊A</v>
      </c>
      <c r="N2915">
        <f>IF(交易處理資料__3[[#This Row],[上班時間]]=0,0,交易處理資料__3[[#This Row],[售出工時]]/交易處理資料__3[[#This Row],[上班時間]])</f>
        <v>0</v>
      </c>
      <c r="O2915" s="31" t="str">
        <f>IF(交易處理資料__3[[#This Row],[上班時間]]=0,"否","是")</f>
        <v>是</v>
      </c>
    </row>
    <row r="2916" spans="1:15" hidden="1">
      <c r="A2916" t="s">
        <v>75</v>
      </c>
      <c r="B2916" t="s">
        <v>42</v>
      </c>
      <c r="C2916">
        <v>5.8333333329999997</v>
      </c>
      <c r="D2916">
        <v>4.82</v>
      </c>
      <c r="E2916" s="27">
        <v>121.0235131</v>
      </c>
      <c r="F2916">
        <v>6.02</v>
      </c>
      <c r="G2916">
        <v>1.95</v>
      </c>
      <c r="H2916">
        <v>7.97</v>
      </c>
      <c r="I2916">
        <v>75.53</v>
      </c>
      <c r="J2916">
        <v>73.19</v>
      </c>
      <c r="K2916" s="9">
        <v>45365</v>
      </c>
      <c r="L2916">
        <f xml:space="preserve"> (交易處理資料__3[[#This Row],[售出工時]] * 60) / 5</f>
        <v>69.999999996</v>
      </c>
      <c r="M2916" t="str">
        <f>VLOOKUP(交易處理資料__3[[#This Row],[人員代號]],團隊分組!$B$1:$C$52,2,FALSE)</f>
        <v>快速保養團隊A</v>
      </c>
      <c r="N2916">
        <f>IF(交易處理資料__3[[#This Row],[上班時間]]=0,0,交易處理資料__3[[#This Row],[售出工時]]/交易處理資料__3[[#This Row],[上班時間]])</f>
        <v>0.73191133412797993</v>
      </c>
      <c r="O2916" s="31" t="str">
        <f>IF(交易處理資料__3[[#This Row],[上班時間]]=0,"否","是")</f>
        <v>是</v>
      </c>
    </row>
    <row r="2917" spans="1:15" hidden="1">
      <c r="A2917" t="s">
        <v>75</v>
      </c>
      <c r="B2917" t="s">
        <v>43</v>
      </c>
      <c r="C2917">
        <v>1.67</v>
      </c>
      <c r="D2917">
        <v>4.03</v>
      </c>
      <c r="E2917" s="27">
        <v>41.439205960000002</v>
      </c>
      <c r="F2917">
        <v>6.26</v>
      </c>
      <c r="G2917">
        <v>1.84</v>
      </c>
      <c r="H2917">
        <v>8.1</v>
      </c>
      <c r="I2917">
        <v>77.28</v>
      </c>
      <c r="J2917">
        <v>20.62</v>
      </c>
      <c r="K2917" s="9">
        <v>45365</v>
      </c>
      <c r="L2917">
        <f xml:space="preserve"> (交易處理資料__3[[#This Row],[售出工時]] * 60) / 5</f>
        <v>20.04</v>
      </c>
      <c r="M2917" t="str">
        <f>VLOOKUP(交易處理資料__3[[#This Row],[人員代號]],團隊分組!$B$1:$C$52,2,FALSE)</f>
        <v>查修團隊B</v>
      </c>
      <c r="N2917">
        <f>IF(交易處理資料__3[[#This Row],[上班時間]]=0,0,交易處理資料__3[[#This Row],[售出工時]]/交易處理資料__3[[#This Row],[上班時間]])</f>
        <v>0.20617283950617285</v>
      </c>
      <c r="O2917" s="31" t="str">
        <f>IF(交易處理資料__3[[#This Row],[上班時間]]=0,"否","是")</f>
        <v>是</v>
      </c>
    </row>
    <row r="2918" spans="1:15" hidden="1">
      <c r="A2918" t="s">
        <v>75</v>
      </c>
      <c r="B2918" t="s">
        <v>45</v>
      </c>
      <c r="C2918">
        <v>5.5833333329999997</v>
      </c>
      <c r="D2918">
        <v>3.3</v>
      </c>
      <c r="E2918" s="27">
        <v>169.1919192</v>
      </c>
      <c r="F2918">
        <v>7.15</v>
      </c>
      <c r="G2918">
        <v>2.61</v>
      </c>
      <c r="H2918">
        <v>9.76</v>
      </c>
      <c r="I2918">
        <v>73.260000000000005</v>
      </c>
      <c r="J2918">
        <v>57.21</v>
      </c>
      <c r="K2918" s="9">
        <v>45365</v>
      </c>
      <c r="L2918">
        <f xml:space="preserve"> (交易處理資料__3[[#This Row],[售出工時]] * 60) / 5</f>
        <v>66.999999996</v>
      </c>
      <c r="M2918" t="str">
        <f>VLOOKUP(交易處理資料__3[[#This Row],[人員代號]],團隊分組!$B$1:$C$52,2,FALSE)</f>
        <v>快速保養團隊A</v>
      </c>
      <c r="N2918">
        <f>IF(交易處理資料__3[[#This Row],[上班時間]]=0,0,交易處理資料__3[[#This Row],[售出工時]]/交易處理資料__3[[#This Row],[上班時間]])</f>
        <v>0.57206284149590159</v>
      </c>
      <c r="O2918" s="31" t="str">
        <f>IF(交易處理資料__3[[#This Row],[上班時間]]=0,"否","是")</f>
        <v>是</v>
      </c>
    </row>
    <row r="2919" spans="1:15" hidden="1">
      <c r="A2919" t="s">
        <v>75</v>
      </c>
      <c r="B2919" t="s">
        <v>47</v>
      </c>
      <c r="C2919">
        <v>1.71</v>
      </c>
      <c r="D2919">
        <v>2.25</v>
      </c>
      <c r="E2919" s="27">
        <v>76</v>
      </c>
      <c r="F2919">
        <v>6.27</v>
      </c>
      <c r="G2919">
        <v>1.83</v>
      </c>
      <c r="H2919">
        <v>8.1</v>
      </c>
      <c r="I2919">
        <v>77.41</v>
      </c>
      <c r="J2919">
        <v>21.11</v>
      </c>
      <c r="K2919" s="9">
        <v>45365</v>
      </c>
      <c r="L2919">
        <f xml:space="preserve"> (交易處理資料__3[[#This Row],[售出工時]] * 60) / 5</f>
        <v>20.52</v>
      </c>
      <c r="M2919" t="str">
        <f>VLOOKUP(交易處理資料__3[[#This Row],[人員代號]],團隊分組!$B$1:$C$52,2,FALSE)</f>
        <v>查修團隊B</v>
      </c>
      <c r="N2919">
        <f>IF(交易處理資料__3[[#This Row],[上班時間]]=0,0,交易處理資料__3[[#This Row],[售出工時]]/交易處理資料__3[[#This Row],[上班時間]])</f>
        <v>0.21111111111111111</v>
      </c>
      <c r="O2919" s="31" t="str">
        <f>IF(交易處理資料__3[[#This Row],[上班時間]]=0,"否","是")</f>
        <v>是</v>
      </c>
    </row>
    <row r="2920" spans="1:15" hidden="1">
      <c r="A2920" t="s">
        <v>75</v>
      </c>
      <c r="B2920" t="s">
        <v>48</v>
      </c>
      <c r="C2920">
        <v>0</v>
      </c>
      <c r="D2920">
        <v>0</v>
      </c>
      <c r="E2920" s="27">
        <v>0</v>
      </c>
      <c r="F2920">
        <v>6.08</v>
      </c>
      <c r="G2920">
        <v>2.14</v>
      </c>
      <c r="H2920">
        <v>8.2200000000000006</v>
      </c>
      <c r="I2920">
        <v>73.97</v>
      </c>
      <c r="J2920">
        <v>0</v>
      </c>
      <c r="K2920" s="9">
        <v>45365</v>
      </c>
      <c r="L2920">
        <f xml:space="preserve"> (交易處理資料__3[[#This Row],[售出工時]] * 60) / 5</f>
        <v>0</v>
      </c>
      <c r="M2920" t="str">
        <f>VLOOKUP(交易處理資料__3[[#This Row],[人員代號]],團隊分組!$B$1:$C$52,2,FALSE)</f>
        <v>查修團隊A</v>
      </c>
      <c r="N2920">
        <f>IF(交易處理資料__3[[#This Row],[上班時間]]=0,0,交易處理資料__3[[#This Row],[售出工時]]/交易處理資料__3[[#This Row],[上班時間]])</f>
        <v>0</v>
      </c>
      <c r="O2920" s="31" t="str">
        <f>IF(交易處理資料__3[[#This Row],[上班時間]]=0,"否","是")</f>
        <v>是</v>
      </c>
    </row>
    <row r="2921" spans="1:15" hidden="1">
      <c r="A2921" t="s">
        <v>75</v>
      </c>
      <c r="B2921" t="s">
        <v>51</v>
      </c>
      <c r="C2921">
        <v>0</v>
      </c>
      <c r="D2921">
        <v>0</v>
      </c>
      <c r="E2921" s="27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 s="9">
        <v>45365</v>
      </c>
      <c r="L2921">
        <f xml:space="preserve"> (交易處理資料__3[[#This Row],[售出工時]] * 60) / 5</f>
        <v>0</v>
      </c>
      <c r="M2921" t="str">
        <f>VLOOKUP(交易處理資料__3[[#This Row],[人員代號]],團隊分組!$B$1:$C$52,2,FALSE)</f>
        <v>無效數據</v>
      </c>
      <c r="N2921">
        <f>IF(交易處理資料__3[[#This Row],[上班時間]]=0,0,交易處理資料__3[[#This Row],[售出工時]]/交易處理資料__3[[#This Row],[上班時間]])</f>
        <v>0</v>
      </c>
      <c r="O2921" s="31" t="str">
        <f>IF(交易處理資料__3[[#This Row],[上班時間]]=0,"否","是")</f>
        <v>否</v>
      </c>
    </row>
    <row r="2922" spans="1:15" hidden="1">
      <c r="A2922" t="s">
        <v>75</v>
      </c>
      <c r="B2922" t="s">
        <v>52</v>
      </c>
      <c r="C2922">
        <v>1.3333333329999999</v>
      </c>
      <c r="D2922">
        <v>4.1500000000000004</v>
      </c>
      <c r="E2922" s="27">
        <v>32.128514060000001</v>
      </c>
      <c r="F2922">
        <v>5.9</v>
      </c>
      <c r="G2922">
        <v>0.01</v>
      </c>
      <c r="H2922">
        <v>5.91</v>
      </c>
      <c r="I2922">
        <v>99.83</v>
      </c>
      <c r="J2922">
        <v>22.56</v>
      </c>
      <c r="K2922" s="9">
        <v>45365</v>
      </c>
      <c r="L2922">
        <f xml:space="preserve"> (交易處理資料__3[[#This Row],[售出工時]] * 60) / 5</f>
        <v>15.999999996</v>
      </c>
      <c r="M2922" t="str">
        <f>VLOOKUP(交易處理資料__3[[#This Row],[人員代號]],團隊分組!$B$1:$C$52,2,FALSE)</f>
        <v>查修團隊B</v>
      </c>
      <c r="N2922">
        <f>IF(交易處理資料__3[[#This Row],[上班時間]]=0,0,交易處理資料__3[[#This Row],[售出工時]]/交易處理資料__3[[#This Row],[上班時間]])</f>
        <v>0.22560631692047375</v>
      </c>
      <c r="O2922" s="31" t="str">
        <f>IF(交易處理資料__3[[#This Row],[上班時間]]=0,"否","是")</f>
        <v>是</v>
      </c>
    </row>
    <row r="2923" spans="1:15" hidden="1">
      <c r="A2923" s="10" t="s">
        <v>73</v>
      </c>
      <c r="B2923" t="s">
        <v>1</v>
      </c>
      <c r="C2923">
        <v>0</v>
      </c>
      <c r="D2923">
        <v>0</v>
      </c>
      <c r="E2923" s="27">
        <v>0</v>
      </c>
      <c r="F2923">
        <v>3.54</v>
      </c>
      <c r="G2923">
        <v>4.46</v>
      </c>
      <c r="H2923">
        <v>8</v>
      </c>
      <c r="I2923">
        <v>44.25</v>
      </c>
      <c r="J2923">
        <v>0</v>
      </c>
      <c r="K2923" s="9">
        <v>45366</v>
      </c>
      <c r="L2923">
        <f xml:space="preserve"> (交易處理資料__3[[#This Row],[售出工時]] * 60) / 5</f>
        <v>0</v>
      </c>
      <c r="M2923" t="str">
        <f>VLOOKUP(交易處理資料__3[[#This Row],[人員代號]],團隊分組!$B$1:$C$52,2,FALSE)</f>
        <v>噴漆維修組</v>
      </c>
      <c r="N2923">
        <f>IF(交易處理資料__3[[#This Row],[上班時間]]=0,0,交易處理資料__3[[#This Row],[售出工時]]/交易處理資料__3[[#This Row],[上班時間]])</f>
        <v>0</v>
      </c>
      <c r="O2923" s="31" t="str">
        <f>IF(交易處理資料__3[[#This Row],[上班時間]]=0,"否","是")</f>
        <v>是</v>
      </c>
    </row>
    <row r="2924" spans="1:15" hidden="1">
      <c r="A2924" s="10" t="s">
        <v>73</v>
      </c>
      <c r="B2924" t="s">
        <v>4</v>
      </c>
      <c r="C2924">
        <v>0</v>
      </c>
      <c r="D2924">
        <v>0</v>
      </c>
      <c r="E2924" s="27">
        <v>0</v>
      </c>
      <c r="F2924">
        <v>4.08</v>
      </c>
      <c r="G2924">
        <v>3.93</v>
      </c>
      <c r="H2924">
        <v>8.01</v>
      </c>
      <c r="I2924">
        <v>50.94</v>
      </c>
      <c r="J2924">
        <v>0</v>
      </c>
      <c r="K2924" s="9">
        <v>45366</v>
      </c>
      <c r="L2924">
        <f xml:space="preserve"> (交易處理資料__3[[#This Row],[售出工時]] * 60) / 5</f>
        <v>0</v>
      </c>
      <c r="M2924" t="str">
        <f>VLOOKUP(交易處理資料__3[[#This Row],[人員代號]],團隊分組!$B$1:$C$52,2,FALSE)</f>
        <v>噴漆維修組</v>
      </c>
      <c r="N2924">
        <f>IF(交易處理資料__3[[#This Row],[上班時間]]=0,0,交易處理資料__3[[#This Row],[售出工時]]/交易處理資料__3[[#This Row],[上班時間]])</f>
        <v>0</v>
      </c>
      <c r="O2924" s="31" t="str">
        <f>IF(交易處理資料__3[[#This Row],[上班時間]]=0,"否","是")</f>
        <v>是</v>
      </c>
    </row>
    <row r="2925" spans="1:15" hidden="1">
      <c r="A2925" s="10" t="s">
        <v>73</v>
      </c>
      <c r="B2925" t="s">
        <v>8</v>
      </c>
      <c r="C2925">
        <v>1.89</v>
      </c>
      <c r="D2925">
        <v>3.63</v>
      </c>
      <c r="E2925" s="27">
        <v>52.066115699999997</v>
      </c>
      <c r="F2925">
        <v>4.0599999999999996</v>
      </c>
      <c r="G2925">
        <v>3.93</v>
      </c>
      <c r="H2925">
        <v>7.99</v>
      </c>
      <c r="I2925">
        <v>50.81</v>
      </c>
      <c r="J2925">
        <v>23.65</v>
      </c>
      <c r="K2925" s="9">
        <v>45366</v>
      </c>
      <c r="L2925">
        <f xml:space="preserve"> (交易處理資料__3[[#This Row],[售出工時]] * 60) / 5</f>
        <v>22.68</v>
      </c>
      <c r="M2925" t="str">
        <f>VLOOKUP(交易處理資料__3[[#This Row],[人員代號]],團隊分組!$B$1:$C$52,2,FALSE)</f>
        <v>噴漆維修組</v>
      </c>
      <c r="N2925">
        <f>IF(交易處理資料__3[[#This Row],[上班時間]]=0,0,交易處理資料__3[[#This Row],[售出工時]]/交易處理資料__3[[#This Row],[上班時間]])</f>
        <v>0.23654568210262827</v>
      </c>
      <c r="O2925" s="31" t="str">
        <f>IF(交易處理資料__3[[#This Row],[上班時間]]=0,"否","是")</f>
        <v>是</v>
      </c>
    </row>
    <row r="2926" spans="1:15" hidden="1">
      <c r="A2926" t="s">
        <v>74</v>
      </c>
      <c r="B2926" t="s">
        <v>11</v>
      </c>
      <c r="C2926">
        <v>4.8333333329999997</v>
      </c>
      <c r="D2926">
        <v>4.5999999999999996</v>
      </c>
      <c r="E2926" s="27">
        <v>105.07246379999999</v>
      </c>
      <c r="F2926">
        <v>5.14</v>
      </c>
      <c r="G2926">
        <v>2.91</v>
      </c>
      <c r="H2926">
        <v>8.0500000000000007</v>
      </c>
      <c r="I2926">
        <v>63.85</v>
      </c>
      <c r="J2926">
        <v>60.04</v>
      </c>
      <c r="K2926" s="9">
        <v>45366</v>
      </c>
      <c r="L2926">
        <f xml:space="preserve"> (交易處理資料__3[[#This Row],[售出工時]] * 60) / 5</f>
        <v>57.999999996</v>
      </c>
      <c r="M2926" t="str">
        <f>VLOOKUP(交易處理資料__3[[#This Row],[人員代號]],團隊分組!$B$1:$C$52,2,FALSE)</f>
        <v>鈑金維修組</v>
      </c>
      <c r="N2926">
        <f>IF(交易處理資料__3[[#This Row],[上班時間]]=0,0,交易處理資料__3[[#This Row],[售出工時]]/交易處理資料__3[[#This Row],[上班時間]])</f>
        <v>0.60041407863354024</v>
      </c>
      <c r="O2926" s="31" t="str">
        <f>IF(交易處理資料__3[[#This Row],[上班時間]]=0,"否","是")</f>
        <v>是</v>
      </c>
    </row>
    <row r="2927" spans="1:15" hidden="1">
      <c r="A2927" t="s">
        <v>74</v>
      </c>
      <c r="B2927" t="s">
        <v>12</v>
      </c>
      <c r="C2927">
        <v>9</v>
      </c>
      <c r="D2927">
        <v>5.89</v>
      </c>
      <c r="E2927" s="27">
        <v>152.80135820000001</v>
      </c>
      <c r="F2927">
        <v>5.19</v>
      </c>
      <c r="G2927">
        <v>2.87</v>
      </c>
      <c r="H2927">
        <v>8.06</v>
      </c>
      <c r="I2927">
        <v>64.39</v>
      </c>
      <c r="J2927">
        <v>111.66</v>
      </c>
      <c r="K2927" s="9">
        <v>45366</v>
      </c>
      <c r="L2927">
        <f xml:space="preserve"> (交易處理資料__3[[#This Row],[售出工時]] * 60) / 5</f>
        <v>108</v>
      </c>
      <c r="M2927" t="str">
        <f>VLOOKUP(交易處理資料__3[[#This Row],[人員代號]],團隊分組!$B$1:$C$52,2,FALSE)</f>
        <v>鈑金維修組</v>
      </c>
      <c r="N2927">
        <f>IF(交易處理資料__3[[#This Row],[上班時間]]=0,0,交易處理資料__3[[#This Row],[售出工時]]/交易處理資料__3[[#This Row],[上班時間]])</f>
        <v>1.1166253101736971</v>
      </c>
      <c r="O2927" s="31" t="str">
        <f>IF(交易處理資料__3[[#This Row],[上班時間]]=0,"否","是")</f>
        <v>是</v>
      </c>
    </row>
    <row r="2928" spans="1:15" hidden="1">
      <c r="A2928" t="s">
        <v>74</v>
      </c>
      <c r="B2928" t="s">
        <v>13</v>
      </c>
      <c r="C2928">
        <v>0</v>
      </c>
      <c r="D2928">
        <v>0</v>
      </c>
      <c r="E2928" s="27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 s="9">
        <v>45366</v>
      </c>
      <c r="L2928">
        <f xml:space="preserve"> (交易處理資料__3[[#This Row],[售出工時]] * 60) / 5</f>
        <v>0</v>
      </c>
      <c r="M2928" t="str">
        <f>VLOOKUP(交易處理資料__3[[#This Row],[人員代號]],團隊分組!$B$1:$C$52,2,FALSE)</f>
        <v>鈑金維修組</v>
      </c>
      <c r="N2928">
        <f>IF(交易處理資料__3[[#This Row],[上班時間]]=0,0,交易處理資料__3[[#This Row],[售出工時]]/交易處理資料__3[[#This Row],[上班時間]])</f>
        <v>0</v>
      </c>
      <c r="O2928" s="31" t="str">
        <f>IF(交易處理資料__3[[#This Row],[上班時間]]=0,"否","是")</f>
        <v>否</v>
      </c>
    </row>
    <row r="2929" spans="1:15" hidden="1">
      <c r="A2929" t="s">
        <v>74</v>
      </c>
      <c r="B2929" t="s">
        <v>14</v>
      </c>
      <c r="C2929">
        <v>11.876666670000001</v>
      </c>
      <c r="D2929">
        <v>6.75</v>
      </c>
      <c r="E2929" s="27">
        <v>175.9506173</v>
      </c>
      <c r="F2929">
        <v>5.4</v>
      </c>
      <c r="G2929">
        <v>2.65</v>
      </c>
      <c r="H2929">
        <v>8.0500000000000007</v>
      </c>
      <c r="I2929">
        <v>67.08</v>
      </c>
      <c r="J2929">
        <v>147.54</v>
      </c>
      <c r="K2929" s="9">
        <v>45366</v>
      </c>
      <c r="L2929">
        <f xml:space="preserve"> (交易處理資料__3[[#This Row],[售出工時]] * 60) / 5</f>
        <v>142.52000004000001</v>
      </c>
      <c r="M2929" t="str">
        <f>VLOOKUP(交易處理資料__3[[#This Row],[人員代號]],團隊分組!$B$1:$C$52,2,FALSE)</f>
        <v>鈑金維修組</v>
      </c>
      <c r="N2929">
        <f>IF(交易處理資料__3[[#This Row],[上班時間]]=0,0,交易處理資料__3[[#This Row],[售出工時]]/交易處理資料__3[[#This Row],[上班時間]])</f>
        <v>1.4753623192546583</v>
      </c>
      <c r="O2929" s="31" t="str">
        <f>IF(交易處理資料__3[[#This Row],[上班時間]]=0,"否","是")</f>
        <v>是</v>
      </c>
    </row>
    <row r="2930" spans="1:15" hidden="1">
      <c r="A2930" t="s">
        <v>74</v>
      </c>
      <c r="B2930" t="s">
        <v>15</v>
      </c>
      <c r="C2930">
        <v>2.46</v>
      </c>
      <c r="D2930">
        <v>0.86</v>
      </c>
      <c r="E2930" s="27">
        <v>286.04651159999997</v>
      </c>
      <c r="F2930">
        <v>7.17</v>
      </c>
      <c r="G2930">
        <v>0.89</v>
      </c>
      <c r="H2930">
        <v>8.06</v>
      </c>
      <c r="I2930">
        <v>88.96</v>
      </c>
      <c r="J2930">
        <v>30.52</v>
      </c>
      <c r="K2930" s="9">
        <v>45366</v>
      </c>
      <c r="L2930">
        <f xml:space="preserve"> (交易處理資料__3[[#This Row],[售出工時]] * 60) / 5</f>
        <v>29.52</v>
      </c>
      <c r="M2930" t="str">
        <f>VLOOKUP(交易處理資料__3[[#This Row],[人員代號]],團隊分組!$B$1:$C$52,2,FALSE)</f>
        <v>鈑金維修組</v>
      </c>
      <c r="N2930">
        <f>IF(交易處理資料__3[[#This Row],[上班時間]]=0,0,交易處理資料__3[[#This Row],[售出工時]]/交易處理資料__3[[#This Row],[上班時間]])</f>
        <v>0.30521091811414391</v>
      </c>
      <c r="O2930" s="31" t="str">
        <f>IF(交易處理資料__3[[#This Row],[上班時間]]=0,"否","是")</f>
        <v>是</v>
      </c>
    </row>
    <row r="2931" spans="1:15" hidden="1">
      <c r="A2931" t="s">
        <v>75</v>
      </c>
      <c r="B2931" t="s">
        <v>18</v>
      </c>
      <c r="C2931">
        <v>5.2133333329999996</v>
      </c>
      <c r="D2931">
        <v>6.01</v>
      </c>
      <c r="E2931" s="27">
        <v>86.744315029999996</v>
      </c>
      <c r="F2931">
        <v>7.12</v>
      </c>
      <c r="G2931">
        <v>0.87</v>
      </c>
      <c r="H2931">
        <v>7.99</v>
      </c>
      <c r="I2931">
        <v>89.11</v>
      </c>
      <c r="J2931">
        <v>65.25</v>
      </c>
      <c r="K2931" s="9">
        <v>45366</v>
      </c>
      <c r="L2931">
        <f xml:space="preserve"> (交易處理資料__3[[#This Row],[售出工時]] * 60) / 5</f>
        <v>62.559999996000002</v>
      </c>
      <c r="M2931" t="str">
        <f>VLOOKUP(交易處理資料__3[[#This Row],[人員代號]],團隊分組!$B$1:$C$52,2,FALSE)</f>
        <v>查修團隊B</v>
      </c>
      <c r="N2931">
        <f>IF(交易處理資料__3[[#This Row],[上班時間]]=0,0,交易處理資料__3[[#This Row],[售出工時]]/交易處理資料__3[[#This Row],[上班時間]])</f>
        <v>0.65248226946182719</v>
      </c>
      <c r="O2931" s="31" t="str">
        <f>IF(交易處理資料__3[[#This Row],[上班時間]]=0,"否","是")</f>
        <v>是</v>
      </c>
    </row>
    <row r="2932" spans="1:15" hidden="1">
      <c r="A2932" t="s">
        <v>75</v>
      </c>
      <c r="B2932" t="s">
        <v>19</v>
      </c>
      <c r="C2932">
        <v>0.46</v>
      </c>
      <c r="D2932">
        <v>1.55</v>
      </c>
      <c r="E2932" s="27">
        <v>29.677419350000001</v>
      </c>
      <c r="F2932">
        <v>6.76</v>
      </c>
      <c r="G2932">
        <v>1.29</v>
      </c>
      <c r="H2932">
        <v>8.0500000000000007</v>
      </c>
      <c r="I2932">
        <v>83.98</v>
      </c>
      <c r="J2932">
        <v>5.71</v>
      </c>
      <c r="K2932" s="9">
        <v>45366</v>
      </c>
      <c r="L2932">
        <f xml:space="preserve"> (交易處理資料__3[[#This Row],[售出工時]] * 60) / 5</f>
        <v>5.5200000000000005</v>
      </c>
      <c r="M2932" t="str">
        <f>VLOOKUP(交易處理資料__3[[#This Row],[人員代號]],團隊分組!$B$1:$C$52,2,FALSE)</f>
        <v>查修團隊A</v>
      </c>
      <c r="N2932">
        <f>IF(交易處理資料__3[[#This Row],[上班時間]]=0,0,交易處理資料__3[[#This Row],[售出工時]]/交易處理資料__3[[#This Row],[上班時間]])</f>
        <v>5.7142857142857141E-2</v>
      </c>
      <c r="O2932" s="31" t="str">
        <f>IF(交易處理資料__3[[#This Row],[上班時間]]=0,"否","是")</f>
        <v>是</v>
      </c>
    </row>
    <row r="2933" spans="1:15" hidden="1">
      <c r="A2933" t="s">
        <v>75</v>
      </c>
      <c r="B2933" t="s">
        <v>20</v>
      </c>
      <c r="C2933">
        <v>1.0833333329999999</v>
      </c>
      <c r="D2933">
        <v>4.57</v>
      </c>
      <c r="E2933" s="27">
        <v>23.705324579999999</v>
      </c>
      <c r="F2933">
        <v>0</v>
      </c>
      <c r="G2933">
        <v>8.8000000000000007</v>
      </c>
      <c r="H2933">
        <v>8.8000000000000007</v>
      </c>
      <c r="I2933">
        <v>0</v>
      </c>
      <c r="J2933">
        <v>12.31</v>
      </c>
      <c r="K2933" s="9">
        <v>45366</v>
      </c>
      <c r="L2933">
        <f xml:space="preserve"> (交易處理資料__3[[#This Row],[售出工時]] * 60) / 5</f>
        <v>12.999999996</v>
      </c>
      <c r="M2933" t="str">
        <f>VLOOKUP(交易處理資料__3[[#This Row],[人員代號]],團隊分組!$B$1:$C$52,2,FALSE)</f>
        <v>查修團隊B</v>
      </c>
      <c r="N2933">
        <f>IF(交易處理資料__3[[#This Row],[上班時間]]=0,0,交易處理資料__3[[#This Row],[售出工時]]/交易處理資料__3[[#This Row],[上班時間]])</f>
        <v>0.1231060605681818</v>
      </c>
      <c r="O2933" s="31" t="str">
        <f>IF(交易處理資料__3[[#This Row],[上班時間]]=0,"否","是")</f>
        <v>是</v>
      </c>
    </row>
    <row r="2934" spans="1:15" hidden="1">
      <c r="A2934" t="s">
        <v>75</v>
      </c>
      <c r="B2934" t="s">
        <v>23</v>
      </c>
      <c r="C2934">
        <v>6.3766666670000003</v>
      </c>
      <c r="D2934">
        <v>6.5</v>
      </c>
      <c r="E2934" s="27">
        <v>98.102564099999995</v>
      </c>
      <c r="F2934">
        <v>5.95</v>
      </c>
      <c r="G2934">
        <v>2.16</v>
      </c>
      <c r="H2934">
        <v>8.11</v>
      </c>
      <c r="I2934">
        <v>73.37</v>
      </c>
      <c r="J2934">
        <v>78.63</v>
      </c>
      <c r="K2934" s="9">
        <v>45366</v>
      </c>
      <c r="L2934">
        <f xml:space="preserve"> (交易處理資料__3[[#This Row],[售出工時]] * 60) / 5</f>
        <v>76.520000004000011</v>
      </c>
      <c r="M2934" t="str">
        <f>VLOOKUP(交易處理資料__3[[#This Row],[人員代號]],團隊分組!$B$1:$C$52,2,FALSE)</f>
        <v>快速保養團隊B</v>
      </c>
      <c r="N2934">
        <f>IF(交易處理資料__3[[#This Row],[上班時間]]=0,0,交易處理資料__3[[#This Row],[售出工時]]/交易處理資料__3[[#This Row],[上班時間]])</f>
        <v>0.78627209210850812</v>
      </c>
      <c r="O2934" s="31" t="str">
        <f>IF(交易處理資料__3[[#This Row],[上班時間]]=0,"否","是")</f>
        <v>是</v>
      </c>
    </row>
    <row r="2935" spans="1:15" hidden="1">
      <c r="A2935" t="s">
        <v>75</v>
      </c>
      <c r="B2935" t="s">
        <v>25</v>
      </c>
      <c r="C2935">
        <v>2.71</v>
      </c>
      <c r="D2935">
        <v>5.58</v>
      </c>
      <c r="E2935" s="27">
        <v>48.566308239999998</v>
      </c>
      <c r="F2935">
        <v>5.93</v>
      </c>
      <c r="G2935">
        <v>2.12</v>
      </c>
      <c r="H2935">
        <v>8.0500000000000007</v>
      </c>
      <c r="I2935">
        <v>73.66</v>
      </c>
      <c r="J2935">
        <v>33.659999999999997</v>
      </c>
      <c r="K2935" s="9">
        <v>45366</v>
      </c>
      <c r="L2935">
        <f xml:space="preserve"> (交易處理資料__3[[#This Row],[售出工時]] * 60) / 5</f>
        <v>32.519999999999996</v>
      </c>
      <c r="M2935" t="str">
        <f>VLOOKUP(交易處理資料__3[[#This Row],[人員代號]],團隊分組!$B$1:$C$52,2,FALSE)</f>
        <v>查修團隊A</v>
      </c>
      <c r="N2935">
        <f>IF(交易處理資料__3[[#This Row],[上班時間]]=0,0,交易處理資料__3[[#This Row],[售出工時]]/交易處理資料__3[[#This Row],[上班時間]])</f>
        <v>0.33664596273291925</v>
      </c>
      <c r="O2935" s="31" t="str">
        <f>IF(交易處理資料__3[[#This Row],[上班時間]]=0,"否","是")</f>
        <v>是</v>
      </c>
    </row>
    <row r="2936" spans="1:15" hidden="1">
      <c r="A2936" t="s">
        <v>75</v>
      </c>
      <c r="B2936" t="s">
        <v>26</v>
      </c>
      <c r="C2936">
        <v>0</v>
      </c>
      <c r="D2936">
        <v>0</v>
      </c>
      <c r="E2936" s="27">
        <v>0</v>
      </c>
      <c r="F2936">
        <v>0</v>
      </c>
      <c r="G2936">
        <v>8.8000000000000007</v>
      </c>
      <c r="H2936">
        <v>8.8000000000000007</v>
      </c>
      <c r="I2936">
        <v>0</v>
      </c>
      <c r="J2936">
        <v>0</v>
      </c>
      <c r="K2936" s="9">
        <v>45366</v>
      </c>
      <c r="L2936">
        <f xml:space="preserve"> (交易處理資料__3[[#This Row],[售出工時]] * 60) / 5</f>
        <v>0</v>
      </c>
      <c r="M2936" t="str">
        <f>VLOOKUP(交易處理資料__3[[#This Row],[人員代號]],團隊分組!$B$1:$C$52,2,FALSE)</f>
        <v>查修團隊B</v>
      </c>
      <c r="N2936">
        <f>IF(交易處理資料__3[[#This Row],[上班時間]]=0,0,交易處理資料__3[[#This Row],[售出工時]]/交易處理資料__3[[#This Row],[上班時間]])</f>
        <v>0</v>
      </c>
      <c r="O2936" s="31" t="str">
        <f>IF(交易處理資料__3[[#This Row],[上班時間]]=0,"否","是")</f>
        <v>是</v>
      </c>
    </row>
    <row r="2937" spans="1:15" hidden="1">
      <c r="A2937" t="s">
        <v>75</v>
      </c>
      <c r="B2937" t="s">
        <v>27</v>
      </c>
      <c r="C2937">
        <v>7.903333333</v>
      </c>
      <c r="D2937">
        <v>4.95</v>
      </c>
      <c r="E2937" s="27">
        <v>159.66329970000001</v>
      </c>
      <c r="F2937">
        <v>7.7</v>
      </c>
      <c r="G2937">
        <v>0.42</v>
      </c>
      <c r="H2937">
        <v>8.1199999999999992</v>
      </c>
      <c r="I2937">
        <v>94.83</v>
      </c>
      <c r="J2937">
        <v>97.33</v>
      </c>
      <c r="K2937" s="9">
        <v>45366</v>
      </c>
      <c r="L2937">
        <f xml:space="preserve"> (交易處理資料__3[[#This Row],[售出工時]] * 60) / 5</f>
        <v>94.839999995999989</v>
      </c>
      <c r="M2937" t="str">
        <f>VLOOKUP(交易處理資料__3[[#This Row],[人員代號]],團隊分組!$B$1:$C$52,2,FALSE)</f>
        <v>快速保養團隊B</v>
      </c>
      <c r="N2937">
        <f>IF(交易處理資料__3[[#This Row],[上班時間]]=0,0,交易處理資料__3[[#This Row],[售出工時]]/交易處理資料__3[[#This Row],[上班時間]])</f>
        <v>0.97331691293103462</v>
      </c>
      <c r="O2937" s="31" t="str">
        <f>IF(交易處理資料__3[[#This Row],[上班時間]]=0,"否","是")</f>
        <v>是</v>
      </c>
    </row>
    <row r="2938" spans="1:15" hidden="1">
      <c r="A2938" t="s">
        <v>75</v>
      </c>
      <c r="B2938" t="s">
        <v>29</v>
      </c>
      <c r="C2938">
        <v>8.6666666669999994</v>
      </c>
      <c r="D2938">
        <v>7.65</v>
      </c>
      <c r="E2938" s="27">
        <v>113.2897603</v>
      </c>
      <c r="F2938">
        <v>7.84</v>
      </c>
      <c r="G2938">
        <v>0.11</v>
      </c>
      <c r="H2938">
        <v>7.95</v>
      </c>
      <c r="I2938">
        <v>98.62</v>
      </c>
      <c r="J2938">
        <v>109.01</v>
      </c>
      <c r="K2938" s="9">
        <v>45366</v>
      </c>
      <c r="L2938">
        <f xml:space="preserve"> (交易處理資料__3[[#This Row],[售出工時]] * 60) / 5</f>
        <v>104.000000004</v>
      </c>
      <c r="M2938" t="str">
        <f>VLOOKUP(交易處理資料__3[[#This Row],[人員代號]],團隊分組!$B$1:$C$52,2,FALSE)</f>
        <v>查修團隊B</v>
      </c>
      <c r="N2938">
        <f>IF(交易處理資料__3[[#This Row],[上班時間]]=0,0,交易處理資料__3[[#This Row],[售出工時]]/交易處理資料__3[[#This Row],[上班時間]])</f>
        <v>1.0901467505660376</v>
      </c>
      <c r="O2938" s="31" t="str">
        <f>IF(交易處理資料__3[[#This Row],[上班時間]]=0,"否","是")</f>
        <v>是</v>
      </c>
    </row>
    <row r="2939" spans="1:15" hidden="1">
      <c r="A2939" t="s">
        <v>75</v>
      </c>
      <c r="B2939" t="s">
        <v>30</v>
      </c>
      <c r="C2939">
        <v>18.09333333</v>
      </c>
      <c r="D2939">
        <v>7.44</v>
      </c>
      <c r="E2939" s="27">
        <v>243.18996419999999</v>
      </c>
      <c r="F2939">
        <v>7.32</v>
      </c>
      <c r="G2939">
        <v>0.83</v>
      </c>
      <c r="H2939">
        <v>8.15</v>
      </c>
      <c r="I2939">
        <v>89.82</v>
      </c>
      <c r="J2939">
        <v>222</v>
      </c>
      <c r="K2939" s="9">
        <v>45366</v>
      </c>
      <c r="L2939">
        <f xml:space="preserve"> (交易處理資料__3[[#This Row],[售出工時]] * 60) / 5</f>
        <v>217.11999996</v>
      </c>
      <c r="M2939" t="str">
        <f>VLOOKUP(交易處理資料__3[[#This Row],[人員代號]],團隊分組!$B$1:$C$52,2,FALSE)</f>
        <v>快速保養團隊B</v>
      </c>
      <c r="N2939">
        <f>IF(交易處理資料__3[[#This Row],[上班時間]]=0,0,交易處理資料__3[[#This Row],[售出工時]]/交易處理資料__3[[#This Row],[上班時間]])</f>
        <v>2.2200408993865031</v>
      </c>
      <c r="O2939" s="31" t="str">
        <f>IF(交易處理資料__3[[#This Row],[上班時間]]=0,"否","是")</f>
        <v>是</v>
      </c>
    </row>
    <row r="2940" spans="1:15" hidden="1">
      <c r="A2940" t="s">
        <v>75</v>
      </c>
      <c r="B2940" t="s">
        <v>32</v>
      </c>
      <c r="C2940">
        <v>0</v>
      </c>
      <c r="D2940">
        <v>0</v>
      </c>
      <c r="E2940" s="27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 s="9">
        <v>45366</v>
      </c>
      <c r="L2940">
        <f xml:space="preserve"> (交易處理資料__3[[#This Row],[售出工時]] * 60) / 5</f>
        <v>0</v>
      </c>
      <c r="M2940" t="str">
        <f>VLOOKUP(交易處理資料__3[[#This Row],[人員代號]],團隊分組!$B$1:$C$52,2,FALSE)</f>
        <v>快速保養團隊B</v>
      </c>
      <c r="N2940">
        <f>IF(交易處理資料__3[[#This Row],[上班時間]]=0,0,交易處理資料__3[[#This Row],[售出工時]]/交易處理資料__3[[#This Row],[上班時間]])</f>
        <v>0</v>
      </c>
      <c r="O2940" s="31" t="str">
        <f>IF(交易處理資料__3[[#This Row],[上班時間]]=0,"否","是")</f>
        <v>否</v>
      </c>
    </row>
    <row r="2941" spans="1:15">
      <c r="A2941" t="s">
        <v>75</v>
      </c>
      <c r="B2941" t="s">
        <v>33</v>
      </c>
      <c r="C2941">
        <v>11.206666670000001</v>
      </c>
      <c r="D2941">
        <v>6.88</v>
      </c>
      <c r="E2941" s="27">
        <v>162.88759690000001</v>
      </c>
      <c r="F2941">
        <v>6.81</v>
      </c>
      <c r="G2941">
        <v>1.31</v>
      </c>
      <c r="H2941">
        <v>8.1199999999999992</v>
      </c>
      <c r="I2941">
        <v>83.87</v>
      </c>
      <c r="J2941">
        <v>138.01</v>
      </c>
      <c r="K2941" s="9">
        <v>45366</v>
      </c>
      <c r="L2941">
        <f xml:space="preserve"> (交易處理資料__3[[#This Row],[售出工時]] * 60) / 5</f>
        <v>134.48000003999999</v>
      </c>
      <c r="M2941" t="str">
        <f>VLOOKUP(交易處理資料__3[[#This Row],[人員代號]],團隊分組!$B$1:$C$52,2,FALSE)</f>
        <v>快速保養團隊B</v>
      </c>
      <c r="N2941">
        <f>IF(交易處理資料__3[[#This Row],[上班時間]]=0,0,交易處理資料__3[[#This Row],[售出工時]]/交易處理資料__3[[#This Row],[上班時間]])</f>
        <v>1.3801313633004928</v>
      </c>
      <c r="O2941" s="31" t="str">
        <f>IF(交易處理資料__3[[#This Row],[上班時間]]=0,"否","是")</f>
        <v>是</v>
      </c>
    </row>
    <row r="2942" spans="1:15" hidden="1">
      <c r="A2942" t="s">
        <v>75</v>
      </c>
      <c r="B2942" t="s">
        <v>35</v>
      </c>
      <c r="C2942">
        <v>4</v>
      </c>
      <c r="D2942">
        <v>4.9400000000000004</v>
      </c>
      <c r="E2942" s="27">
        <v>80.971659919999993</v>
      </c>
      <c r="F2942">
        <v>4.46</v>
      </c>
      <c r="G2942">
        <v>4.66</v>
      </c>
      <c r="H2942">
        <v>9.1199999999999992</v>
      </c>
      <c r="I2942">
        <v>48.9</v>
      </c>
      <c r="J2942">
        <v>43.86</v>
      </c>
      <c r="K2942" s="9">
        <v>45366</v>
      </c>
      <c r="L2942">
        <f xml:space="preserve"> (交易處理資料__3[[#This Row],[售出工時]] * 60) / 5</f>
        <v>48</v>
      </c>
      <c r="M2942" t="str">
        <f>VLOOKUP(交易處理資料__3[[#This Row],[人員代號]],團隊分組!$B$1:$C$52,2,FALSE)</f>
        <v>查修團隊B</v>
      </c>
      <c r="N2942">
        <f>IF(交易處理資料__3[[#This Row],[上班時間]]=0,0,交易處理資料__3[[#This Row],[售出工時]]/交易處理資料__3[[#This Row],[上班時間]])</f>
        <v>0.43859649122807021</v>
      </c>
      <c r="O2942" s="31" t="str">
        <f>IF(交易處理資料__3[[#This Row],[上班時間]]=0,"否","是")</f>
        <v>是</v>
      </c>
    </row>
    <row r="2943" spans="1:15" hidden="1">
      <c r="A2943" t="s">
        <v>75</v>
      </c>
      <c r="B2943" t="s">
        <v>37</v>
      </c>
      <c r="C2943">
        <v>0</v>
      </c>
      <c r="D2943">
        <v>0</v>
      </c>
      <c r="E2943" s="27">
        <v>0</v>
      </c>
      <c r="F2943">
        <v>5.12</v>
      </c>
      <c r="G2943">
        <v>2.95</v>
      </c>
      <c r="H2943">
        <v>8.07</v>
      </c>
      <c r="I2943">
        <v>63.44</v>
      </c>
      <c r="J2943">
        <v>0</v>
      </c>
      <c r="K2943" s="9">
        <v>45366</v>
      </c>
      <c r="L2943">
        <f xml:space="preserve"> (交易處理資料__3[[#This Row],[售出工時]] * 60) / 5</f>
        <v>0</v>
      </c>
      <c r="M2943" t="str">
        <f>VLOOKUP(交易處理資料__3[[#This Row],[人員代號]],團隊分組!$B$1:$C$52,2,FALSE)</f>
        <v>查修團隊A</v>
      </c>
      <c r="N2943">
        <f>IF(交易處理資料__3[[#This Row],[上班時間]]=0,0,交易處理資料__3[[#This Row],[售出工時]]/交易處理資料__3[[#This Row],[上班時間]])</f>
        <v>0</v>
      </c>
      <c r="O2943" s="31" t="str">
        <f>IF(交易處理資料__3[[#This Row],[上班時間]]=0,"否","是")</f>
        <v>是</v>
      </c>
    </row>
    <row r="2944" spans="1:15" hidden="1">
      <c r="A2944" t="s">
        <v>75</v>
      </c>
      <c r="B2944" t="s">
        <v>41</v>
      </c>
      <c r="C2944">
        <v>18</v>
      </c>
      <c r="D2944">
        <v>7.32</v>
      </c>
      <c r="E2944" s="27">
        <v>245.9016393</v>
      </c>
      <c r="F2944">
        <v>9.3699999999999992</v>
      </c>
      <c r="G2944">
        <v>0.26</v>
      </c>
      <c r="H2944">
        <v>9.6300000000000008</v>
      </c>
      <c r="I2944">
        <v>97.3</v>
      </c>
      <c r="J2944">
        <v>186.92</v>
      </c>
      <c r="K2944" s="9">
        <v>45366</v>
      </c>
      <c r="L2944">
        <f xml:space="preserve"> (交易處理資料__3[[#This Row],[售出工時]] * 60) / 5</f>
        <v>216</v>
      </c>
      <c r="M2944" t="str">
        <f>VLOOKUP(交易處理資料__3[[#This Row],[人員代號]],團隊分組!$B$1:$C$52,2,FALSE)</f>
        <v>快速保養團隊A</v>
      </c>
      <c r="N2944">
        <f>IF(交易處理資料__3[[#This Row],[上班時間]]=0,0,交易處理資料__3[[#This Row],[售出工時]]/交易處理資料__3[[#This Row],[上班時間]])</f>
        <v>1.8691588785046727</v>
      </c>
      <c r="O2944" s="31" t="str">
        <f>IF(交易處理資料__3[[#This Row],[上班時間]]=0,"否","是")</f>
        <v>是</v>
      </c>
    </row>
    <row r="2945" spans="1:15" hidden="1">
      <c r="A2945" t="s">
        <v>75</v>
      </c>
      <c r="B2945" t="s">
        <v>46</v>
      </c>
      <c r="C2945">
        <v>5</v>
      </c>
      <c r="D2945">
        <v>3.51</v>
      </c>
      <c r="E2945" s="27">
        <v>142.4501425</v>
      </c>
      <c r="F2945">
        <v>4.34</v>
      </c>
      <c r="G2945">
        <v>3.66</v>
      </c>
      <c r="H2945">
        <v>8</v>
      </c>
      <c r="I2945">
        <v>54.25</v>
      </c>
      <c r="J2945">
        <v>62.5</v>
      </c>
      <c r="K2945" s="9">
        <v>45366</v>
      </c>
      <c r="L2945">
        <f xml:space="preserve"> (交易處理資料__3[[#This Row],[售出工時]] * 60) / 5</f>
        <v>60</v>
      </c>
      <c r="M2945" t="str">
        <f>VLOOKUP(交易處理資料__3[[#This Row],[人員代號]],團隊分組!$B$1:$C$52,2,FALSE)</f>
        <v>查修團隊B</v>
      </c>
      <c r="N2945">
        <f>IF(交易處理資料__3[[#This Row],[上班時間]]=0,0,交易處理資料__3[[#This Row],[售出工時]]/交易處理資料__3[[#This Row],[上班時間]])</f>
        <v>0.625</v>
      </c>
      <c r="O2945" s="31" t="str">
        <f>IF(交易處理資料__3[[#This Row],[上班時間]]=0,"否","是")</f>
        <v>是</v>
      </c>
    </row>
    <row r="2946" spans="1:15" hidden="1">
      <c r="A2946" t="s">
        <v>75</v>
      </c>
      <c r="B2946" t="s">
        <v>47</v>
      </c>
      <c r="C2946">
        <v>4</v>
      </c>
      <c r="D2946">
        <v>2.85</v>
      </c>
      <c r="E2946" s="27">
        <v>140.35087720000001</v>
      </c>
      <c r="F2946">
        <v>6.38</v>
      </c>
      <c r="G2946">
        <v>1.65</v>
      </c>
      <c r="H2946">
        <v>8.0299999999999994</v>
      </c>
      <c r="I2946">
        <v>79.45</v>
      </c>
      <c r="J2946">
        <v>49.81</v>
      </c>
      <c r="K2946" s="9">
        <v>45366</v>
      </c>
      <c r="L2946">
        <f xml:space="preserve"> (交易處理資料__3[[#This Row],[售出工時]] * 60) / 5</f>
        <v>48</v>
      </c>
      <c r="M2946" t="str">
        <f>VLOOKUP(交易處理資料__3[[#This Row],[人員代號]],團隊分組!$B$1:$C$52,2,FALSE)</f>
        <v>查修團隊B</v>
      </c>
      <c r="N2946">
        <f>IF(交易處理資料__3[[#This Row],[上班時間]]=0,0,交易處理資料__3[[#This Row],[售出工時]]/交易處理資料__3[[#This Row],[上班時間]])</f>
        <v>0.4981320049813201</v>
      </c>
      <c r="O2946" s="31" t="str">
        <f>IF(交易處理資料__3[[#This Row],[上班時間]]=0,"否","是")</f>
        <v>是</v>
      </c>
    </row>
    <row r="2947" spans="1:15" hidden="1">
      <c r="A2947" t="s">
        <v>75</v>
      </c>
      <c r="B2947" t="s">
        <v>48</v>
      </c>
      <c r="C2947">
        <v>0.85</v>
      </c>
      <c r="D2947">
        <v>1.6</v>
      </c>
      <c r="E2947" s="27">
        <v>53.125</v>
      </c>
      <c r="F2947">
        <v>4.18</v>
      </c>
      <c r="G2947">
        <v>3.98</v>
      </c>
      <c r="H2947">
        <v>8.16</v>
      </c>
      <c r="I2947">
        <v>51.23</v>
      </c>
      <c r="J2947">
        <v>10.42</v>
      </c>
      <c r="K2947" s="9">
        <v>45366</v>
      </c>
      <c r="L2947">
        <f xml:space="preserve"> (交易處理資料__3[[#This Row],[售出工時]] * 60) / 5</f>
        <v>10.199999999999999</v>
      </c>
      <c r="M2947" t="str">
        <f>VLOOKUP(交易處理資料__3[[#This Row],[人員代號]],團隊分組!$B$1:$C$52,2,FALSE)</f>
        <v>查修團隊A</v>
      </c>
      <c r="N2947">
        <f>IF(交易處理資料__3[[#This Row],[上班時間]]=0,0,交易處理資料__3[[#This Row],[售出工時]]/交易處理資料__3[[#This Row],[上班時間]])</f>
        <v>0.10416666666666666</v>
      </c>
      <c r="O2947" s="31" t="str">
        <f>IF(交易處理資料__3[[#This Row],[上班時間]]=0,"否","是")</f>
        <v>是</v>
      </c>
    </row>
    <row r="2948" spans="1:15" hidden="1">
      <c r="A2948" t="s">
        <v>75</v>
      </c>
      <c r="B2948" t="s">
        <v>49</v>
      </c>
      <c r="C2948">
        <v>0</v>
      </c>
      <c r="D2948">
        <v>0</v>
      </c>
      <c r="E2948" s="27">
        <v>0</v>
      </c>
      <c r="F2948">
        <v>6.74</v>
      </c>
      <c r="G2948">
        <v>1.32</v>
      </c>
      <c r="H2948">
        <v>8.06</v>
      </c>
      <c r="I2948">
        <v>83.62</v>
      </c>
      <c r="J2948">
        <v>0</v>
      </c>
      <c r="K2948" s="9">
        <v>45366</v>
      </c>
      <c r="L2948">
        <f xml:space="preserve"> (交易處理資料__3[[#This Row],[售出工時]] * 60) / 5</f>
        <v>0</v>
      </c>
      <c r="M2948" t="str">
        <f>VLOOKUP(交易處理資料__3[[#This Row],[人員代號]],團隊分組!$B$1:$C$52,2,FALSE)</f>
        <v>查修團隊A</v>
      </c>
      <c r="N2948">
        <f>IF(交易處理資料__3[[#This Row],[上班時間]]=0,0,交易處理資料__3[[#This Row],[售出工時]]/交易處理資料__3[[#This Row],[上班時間]])</f>
        <v>0</v>
      </c>
      <c r="O2948" s="31" t="str">
        <f>IF(交易處理資料__3[[#This Row],[上班時間]]=0,"否","是")</f>
        <v>是</v>
      </c>
    </row>
    <row r="2949" spans="1:15" hidden="1">
      <c r="A2949" t="s">
        <v>75</v>
      </c>
      <c r="B2949" t="s">
        <v>50</v>
      </c>
      <c r="C2949">
        <v>13.096666669999999</v>
      </c>
      <c r="D2949">
        <v>9.36</v>
      </c>
      <c r="E2949" s="27">
        <v>139.9216524</v>
      </c>
      <c r="F2949">
        <v>9.76</v>
      </c>
      <c r="G2949">
        <v>0.3</v>
      </c>
      <c r="H2949">
        <v>10.06</v>
      </c>
      <c r="I2949">
        <v>97.02</v>
      </c>
      <c r="J2949">
        <v>130.19</v>
      </c>
      <c r="K2949" s="9">
        <v>45366</v>
      </c>
      <c r="L2949">
        <f xml:space="preserve"> (交易處理資料__3[[#This Row],[售出工時]] * 60) / 5</f>
        <v>157.16000004</v>
      </c>
      <c r="M2949" t="str">
        <f>VLOOKUP(交易處理資料__3[[#This Row],[人員代號]],團隊分組!$B$1:$C$52,2,FALSE)</f>
        <v>快速保養團隊B</v>
      </c>
      <c r="N2949">
        <f>IF(交易處理資料__3[[#This Row],[上班時間]]=0,0,交易處理資料__3[[#This Row],[售出工時]]/交易處理資料__3[[#This Row],[上班時間]])</f>
        <v>1.3018555337972166</v>
      </c>
      <c r="O2949" s="31" t="str">
        <f>IF(交易處理資料__3[[#This Row],[上班時間]]=0,"否","是")</f>
        <v>是</v>
      </c>
    </row>
    <row r="2950" spans="1:15" hidden="1">
      <c r="A2950" t="s">
        <v>75</v>
      </c>
      <c r="B2950" t="s">
        <v>51</v>
      </c>
      <c r="C2950">
        <v>0</v>
      </c>
      <c r="D2950">
        <v>0</v>
      </c>
      <c r="E2950" s="27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 s="9">
        <v>45366</v>
      </c>
      <c r="L2950">
        <f xml:space="preserve"> (交易處理資料__3[[#This Row],[售出工時]] * 60) / 5</f>
        <v>0</v>
      </c>
      <c r="M2950" t="str">
        <f>VLOOKUP(交易處理資料__3[[#This Row],[人員代號]],團隊分組!$B$1:$C$52,2,FALSE)</f>
        <v>無效數據</v>
      </c>
      <c r="N2950">
        <f>IF(交易處理資料__3[[#This Row],[上班時間]]=0,0,交易處理資料__3[[#This Row],[售出工時]]/交易處理資料__3[[#This Row],[上班時間]])</f>
        <v>0</v>
      </c>
      <c r="O2950" s="31" t="str">
        <f>IF(交易處理資料__3[[#This Row],[上班時間]]=0,"否","是")</f>
        <v>否</v>
      </c>
    </row>
    <row r="2951" spans="1:15" hidden="1">
      <c r="A2951" t="s">
        <v>75</v>
      </c>
      <c r="B2951" t="s">
        <v>52</v>
      </c>
      <c r="C2951">
        <v>0</v>
      </c>
      <c r="D2951">
        <v>0</v>
      </c>
      <c r="E2951" s="27">
        <v>0</v>
      </c>
      <c r="F2951">
        <v>6.34</v>
      </c>
      <c r="G2951">
        <v>1.6</v>
      </c>
      <c r="H2951">
        <v>7.94</v>
      </c>
      <c r="I2951">
        <v>79.849999999999994</v>
      </c>
      <c r="J2951">
        <v>0</v>
      </c>
      <c r="K2951" s="9">
        <v>45366</v>
      </c>
      <c r="L2951">
        <f xml:space="preserve"> (交易處理資料__3[[#This Row],[售出工時]] * 60) / 5</f>
        <v>0</v>
      </c>
      <c r="M2951" t="str">
        <f>VLOOKUP(交易處理資料__3[[#This Row],[人員代號]],團隊分組!$B$1:$C$52,2,FALSE)</f>
        <v>查修團隊B</v>
      </c>
      <c r="N2951">
        <f>IF(交易處理資料__3[[#This Row],[上班時間]]=0,0,交易處理資料__3[[#This Row],[售出工時]]/交易處理資料__3[[#This Row],[上班時間]])</f>
        <v>0</v>
      </c>
      <c r="O2951" s="31" t="str">
        <f>IF(交易處理資料__3[[#This Row],[上班時間]]=0,"否","是")</f>
        <v>是</v>
      </c>
    </row>
    <row r="2952" spans="1:15" hidden="1">
      <c r="A2952" t="s">
        <v>75</v>
      </c>
      <c r="B2952" t="s">
        <v>53</v>
      </c>
      <c r="C2952">
        <v>11.233333330000001</v>
      </c>
      <c r="D2952">
        <v>7.59</v>
      </c>
      <c r="E2952" s="27">
        <v>148.00175669999999</v>
      </c>
      <c r="F2952">
        <v>6.27</v>
      </c>
      <c r="G2952">
        <v>1.8</v>
      </c>
      <c r="H2952">
        <v>8.07</v>
      </c>
      <c r="I2952">
        <v>77.7</v>
      </c>
      <c r="J2952">
        <v>139.19999999999999</v>
      </c>
      <c r="K2952" s="9">
        <v>45366</v>
      </c>
      <c r="L2952">
        <f xml:space="preserve"> (交易處理資料__3[[#This Row],[售出工時]] * 60) / 5</f>
        <v>134.79999996000001</v>
      </c>
      <c r="M2952" t="str">
        <f>VLOOKUP(交易處理資料__3[[#This Row],[人員代號]],團隊分組!$B$1:$C$52,2,FALSE)</f>
        <v>查修團隊A</v>
      </c>
      <c r="N2952">
        <f>IF(交易處理資料__3[[#This Row],[上班時間]]=0,0,交易處理資料__3[[#This Row],[售出工時]]/交易處理資料__3[[#This Row],[上班時間]])</f>
        <v>1.3919867819083025</v>
      </c>
      <c r="O2952" s="31" t="str">
        <f>IF(交易處理資料__3[[#This Row],[上班時間]]=0,"否","是")</f>
        <v>是</v>
      </c>
    </row>
    <row r="2953" spans="1:15" hidden="1">
      <c r="A2953" s="10" t="s">
        <v>73</v>
      </c>
      <c r="B2953" t="s">
        <v>1</v>
      </c>
      <c r="C2953">
        <v>0</v>
      </c>
      <c r="D2953">
        <v>0</v>
      </c>
      <c r="E2953" s="27">
        <v>0</v>
      </c>
      <c r="F2953">
        <v>6.38</v>
      </c>
      <c r="G2953">
        <v>1.61</v>
      </c>
      <c r="H2953">
        <v>7.99</v>
      </c>
      <c r="I2953">
        <v>79.849999999999994</v>
      </c>
      <c r="J2953">
        <v>0</v>
      </c>
      <c r="K2953" s="9">
        <v>45367</v>
      </c>
      <c r="L2953">
        <f xml:space="preserve"> (交易處理資料__3[[#This Row],[售出工時]] * 60) / 5</f>
        <v>0</v>
      </c>
      <c r="M2953" t="str">
        <f>VLOOKUP(交易處理資料__3[[#This Row],[人員代號]],團隊分組!$B$1:$C$52,2,FALSE)</f>
        <v>噴漆維修組</v>
      </c>
      <c r="N2953">
        <f>IF(交易處理資料__3[[#This Row],[上班時間]]=0,0,交易處理資料__3[[#This Row],[售出工時]]/交易處理資料__3[[#This Row],[上班時間]])</f>
        <v>0</v>
      </c>
      <c r="O2953" s="31" t="str">
        <f>IF(交易處理資料__3[[#This Row],[上班時間]]=0,"否","是")</f>
        <v>是</v>
      </c>
    </row>
    <row r="2954" spans="1:15" hidden="1">
      <c r="A2954" s="10" t="s">
        <v>73</v>
      </c>
      <c r="B2954" t="s">
        <v>2</v>
      </c>
      <c r="C2954">
        <v>0</v>
      </c>
      <c r="D2954">
        <v>0</v>
      </c>
      <c r="E2954" s="27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 s="9">
        <v>45367</v>
      </c>
      <c r="L2954">
        <f xml:space="preserve"> (交易處理資料__3[[#This Row],[售出工時]] * 60) / 5</f>
        <v>0</v>
      </c>
      <c r="M2954" t="str">
        <f>VLOOKUP(交易處理資料__3[[#This Row],[人員代號]],團隊分組!$B$1:$C$52,2,FALSE)</f>
        <v>噴漆維修組</v>
      </c>
      <c r="N2954">
        <f>IF(交易處理資料__3[[#This Row],[上班時間]]=0,0,交易處理資料__3[[#This Row],[售出工時]]/交易處理資料__3[[#This Row],[上班時間]])</f>
        <v>0</v>
      </c>
      <c r="O2954" s="31" t="str">
        <f>IF(交易處理資料__3[[#This Row],[上班時間]]=0,"否","是")</f>
        <v>否</v>
      </c>
    </row>
    <row r="2955" spans="1:15" hidden="1">
      <c r="A2955" s="10" t="s">
        <v>73</v>
      </c>
      <c r="B2955" t="s">
        <v>3</v>
      </c>
      <c r="C2955">
        <v>0</v>
      </c>
      <c r="D2955">
        <v>0</v>
      </c>
      <c r="E2955" s="27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 s="9">
        <v>45367</v>
      </c>
      <c r="L2955">
        <f xml:space="preserve"> (交易處理資料__3[[#This Row],[售出工時]] * 60) / 5</f>
        <v>0</v>
      </c>
      <c r="M2955" t="str">
        <f>VLOOKUP(交易處理資料__3[[#This Row],[人員代號]],團隊分組!$B$1:$C$52,2,FALSE)</f>
        <v>噴漆維修組</v>
      </c>
      <c r="N2955">
        <f>IF(交易處理資料__3[[#This Row],[上班時間]]=0,0,交易處理資料__3[[#This Row],[售出工時]]/交易處理資料__3[[#This Row],[上班時間]])</f>
        <v>0</v>
      </c>
      <c r="O2955" s="31" t="str">
        <f>IF(交易處理資料__3[[#This Row],[上班時間]]=0,"否","是")</f>
        <v>否</v>
      </c>
    </row>
    <row r="2956" spans="1:15" hidden="1">
      <c r="A2956" s="10" t="s">
        <v>73</v>
      </c>
      <c r="B2956" t="s">
        <v>4</v>
      </c>
      <c r="C2956">
        <v>0</v>
      </c>
      <c r="D2956">
        <v>0</v>
      </c>
      <c r="E2956" s="27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 s="9">
        <v>45367</v>
      </c>
      <c r="L2956">
        <f xml:space="preserve"> (交易處理資料__3[[#This Row],[售出工時]] * 60) / 5</f>
        <v>0</v>
      </c>
      <c r="M2956" t="str">
        <f>VLOOKUP(交易處理資料__3[[#This Row],[人員代號]],團隊分組!$B$1:$C$52,2,FALSE)</f>
        <v>噴漆維修組</v>
      </c>
      <c r="N2956">
        <f>IF(交易處理資料__3[[#This Row],[上班時間]]=0,0,交易處理資料__3[[#This Row],[售出工時]]/交易處理資料__3[[#This Row],[上班時間]])</f>
        <v>0</v>
      </c>
      <c r="O2956" s="31" t="str">
        <f>IF(交易處理資料__3[[#This Row],[上班時間]]=0,"否","是")</f>
        <v>否</v>
      </c>
    </row>
    <row r="2957" spans="1:15" hidden="1">
      <c r="A2957" s="10" t="s">
        <v>73</v>
      </c>
      <c r="B2957" t="s">
        <v>6</v>
      </c>
      <c r="C2957">
        <v>0</v>
      </c>
      <c r="D2957">
        <v>0</v>
      </c>
      <c r="E2957" s="2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 s="9">
        <v>45367</v>
      </c>
      <c r="L2957">
        <f xml:space="preserve"> (交易處理資料__3[[#This Row],[售出工時]] * 60) / 5</f>
        <v>0</v>
      </c>
      <c r="M2957" t="str">
        <f>VLOOKUP(交易處理資料__3[[#This Row],[人員代號]],團隊分組!$B$1:$C$52,2,FALSE)</f>
        <v>噴漆維修組</v>
      </c>
      <c r="N2957">
        <f>IF(交易處理資料__3[[#This Row],[上班時間]]=0,0,交易處理資料__3[[#This Row],[售出工時]]/交易處理資料__3[[#This Row],[上班時間]])</f>
        <v>0</v>
      </c>
      <c r="O2957" s="31" t="str">
        <f>IF(交易處理資料__3[[#This Row],[上班時間]]=0,"否","是")</f>
        <v>否</v>
      </c>
    </row>
    <row r="2958" spans="1:15" hidden="1">
      <c r="A2958" s="10" t="s">
        <v>73</v>
      </c>
      <c r="B2958" t="s">
        <v>7</v>
      </c>
      <c r="C2958">
        <v>0</v>
      </c>
      <c r="D2958">
        <v>0</v>
      </c>
      <c r="E2958" s="27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 s="9">
        <v>45367</v>
      </c>
      <c r="L2958">
        <f xml:space="preserve"> (交易處理資料__3[[#This Row],[售出工時]] * 60) / 5</f>
        <v>0</v>
      </c>
      <c r="M2958" t="str">
        <f>VLOOKUP(交易處理資料__3[[#This Row],[人員代號]],團隊分組!$B$1:$C$52,2,FALSE)</f>
        <v>噴漆維修組</v>
      </c>
      <c r="N2958">
        <f>IF(交易處理資料__3[[#This Row],[上班時間]]=0,0,交易處理資料__3[[#This Row],[售出工時]]/交易處理資料__3[[#This Row],[上班時間]])</f>
        <v>0</v>
      </c>
      <c r="O2958" s="31" t="str">
        <f>IF(交易處理資料__3[[#This Row],[上班時間]]=0,"否","是")</f>
        <v>否</v>
      </c>
    </row>
    <row r="2959" spans="1:15" hidden="1">
      <c r="A2959" s="10" t="s">
        <v>73</v>
      </c>
      <c r="B2959" t="s">
        <v>8</v>
      </c>
      <c r="C2959">
        <v>0</v>
      </c>
      <c r="D2959">
        <v>0</v>
      </c>
      <c r="E2959" s="27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 s="9">
        <v>45367</v>
      </c>
      <c r="L2959">
        <f xml:space="preserve"> (交易處理資料__3[[#This Row],[售出工時]] * 60) / 5</f>
        <v>0</v>
      </c>
      <c r="M2959" t="str">
        <f>VLOOKUP(交易處理資料__3[[#This Row],[人員代號]],團隊分組!$B$1:$C$52,2,FALSE)</f>
        <v>噴漆維修組</v>
      </c>
      <c r="N2959">
        <f>IF(交易處理資料__3[[#This Row],[上班時間]]=0,0,交易處理資料__3[[#This Row],[售出工時]]/交易處理資料__3[[#This Row],[上班時間]])</f>
        <v>0</v>
      </c>
      <c r="O2959" s="31" t="str">
        <f>IF(交易處理資料__3[[#This Row],[上班時間]]=0,"否","是")</f>
        <v>否</v>
      </c>
    </row>
    <row r="2960" spans="1:15" hidden="1">
      <c r="A2960" s="10" t="s">
        <v>73</v>
      </c>
      <c r="B2960" t="s">
        <v>9</v>
      </c>
      <c r="C2960">
        <v>0</v>
      </c>
      <c r="D2960">
        <v>0</v>
      </c>
      <c r="E2960" s="27">
        <v>0</v>
      </c>
      <c r="F2960">
        <v>6.38</v>
      </c>
      <c r="G2960">
        <v>1.63</v>
      </c>
      <c r="H2960">
        <v>8.01</v>
      </c>
      <c r="I2960">
        <v>79.650000000000006</v>
      </c>
      <c r="J2960">
        <v>0</v>
      </c>
      <c r="K2960" s="9">
        <v>45367</v>
      </c>
      <c r="L2960">
        <f xml:space="preserve"> (交易處理資料__3[[#This Row],[售出工時]] * 60) / 5</f>
        <v>0</v>
      </c>
      <c r="M2960" t="str">
        <f>VLOOKUP(交易處理資料__3[[#This Row],[人員代號]],團隊分組!$B$1:$C$52,2,FALSE)</f>
        <v>噴漆維修組</v>
      </c>
      <c r="N2960">
        <f>IF(交易處理資料__3[[#This Row],[上班時間]]=0,0,交易處理資料__3[[#This Row],[售出工時]]/交易處理資料__3[[#This Row],[上班時間]])</f>
        <v>0</v>
      </c>
      <c r="O2960" s="31" t="str">
        <f>IF(交易處理資料__3[[#This Row],[上班時間]]=0,"否","是")</f>
        <v>是</v>
      </c>
    </row>
    <row r="2961" spans="1:15" hidden="1">
      <c r="A2961" t="s">
        <v>74</v>
      </c>
      <c r="B2961" t="s">
        <v>11</v>
      </c>
      <c r="C2961">
        <v>0</v>
      </c>
      <c r="D2961">
        <v>0</v>
      </c>
      <c r="E2961" s="27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 s="9">
        <v>45367</v>
      </c>
      <c r="L2961">
        <f xml:space="preserve"> (交易處理資料__3[[#This Row],[售出工時]] * 60) / 5</f>
        <v>0</v>
      </c>
      <c r="M2961" t="str">
        <f>VLOOKUP(交易處理資料__3[[#This Row],[人員代號]],團隊分組!$B$1:$C$52,2,FALSE)</f>
        <v>鈑金維修組</v>
      </c>
      <c r="N2961">
        <f>IF(交易處理資料__3[[#This Row],[上班時間]]=0,0,交易處理資料__3[[#This Row],[售出工時]]/交易處理資料__3[[#This Row],[上班時間]])</f>
        <v>0</v>
      </c>
      <c r="O2961" s="31" t="str">
        <f>IF(交易處理資料__3[[#This Row],[上班時間]]=0,"否","是")</f>
        <v>否</v>
      </c>
    </row>
    <row r="2962" spans="1:15" hidden="1">
      <c r="A2962" t="s">
        <v>74</v>
      </c>
      <c r="B2962" t="s">
        <v>12</v>
      </c>
      <c r="C2962">
        <v>3.75</v>
      </c>
      <c r="D2962">
        <v>3.15</v>
      </c>
      <c r="E2962" s="27">
        <v>119.047619</v>
      </c>
      <c r="F2962">
        <v>5</v>
      </c>
      <c r="G2962">
        <v>3.08</v>
      </c>
      <c r="H2962">
        <v>8.08</v>
      </c>
      <c r="I2962">
        <v>61.88</v>
      </c>
      <c r="J2962">
        <v>46.41</v>
      </c>
      <c r="K2962" s="9">
        <v>45367</v>
      </c>
      <c r="L2962">
        <f xml:space="preserve"> (交易處理資料__3[[#This Row],[售出工時]] * 60) / 5</f>
        <v>45</v>
      </c>
      <c r="M2962" t="str">
        <f>VLOOKUP(交易處理資料__3[[#This Row],[人員代號]],團隊分組!$B$1:$C$52,2,FALSE)</f>
        <v>鈑金維修組</v>
      </c>
      <c r="N2962">
        <f>IF(交易處理資料__3[[#This Row],[上班時間]]=0,0,交易處理資料__3[[#This Row],[售出工時]]/交易處理資料__3[[#This Row],[上班時間]])</f>
        <v>0.46410891089108913</v>
      </c>
      <c r="O2962" s="31" t="str">
        <f>IF(交易處理資料__3[[#This Row],[上班時間]]=0,"否","是")</f>
        <v>是</v>
      </c>
    </row>
    <row r="2963" spans="1:15" hidden="1">
      <c r="A2963" t="s">
        <v>74</v>
      </c>
      <c r="B2963" t="s">
        <v>13</v>
      </c>
      <c r="C2963">
        <v>0</v>
      </c>
      <c r="D2963">
        <v>0</v>
      </c>
      <c r="E2963" s="27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 s="9">
        <v>45367</v>
      </c>
      <c r="L2963">
        <f xml:space="preserve"> (交易處理資料__3[[#This Row],[售出工時]] * 60) / 5</f>
        <v>0</v>
      </c>
      <c r="M2963" t="str">
        <f>VLOOKUP(交易處理資料__3[[#This Row],[人員代號]],團隊分組!$B$1:$C$52,2,FALSE)</f>
        <v>鈑金維修組</v>
      </c>
      <c r="N2963">
        <f>IF(交易處理資料__3[[#This Row],[上班時間]]=0,0,交易處理資料__3[[#This Row],[售出工時]]/交易處理資料__3[[#This Row],[上班時間]])</f>
        <v>0</v>
      </c>
      <c r="O2963" s="31" t="str">
        <f>IF(交易處理資料__3[[#This Row],[上班時間]]=0,"否","是")</f>
        <v>否</v>
      </c>
    </row>
    <row r="2964" spans="1:15" hidden="1">
      <c r="A2964" t="s">
        <v>74</v>
      </c>
      <c r="B2964" t="s">
        <v>14</v>
      </c>
      <c r="C2964">
        <v>0</v>
      </c>
      <c r="D2964">
        <v>0</v>
      </c>
      <c r="E2964" s="27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 s="9">
        <v>45367</v>
      </c>
      <c r="L2964">
        <f xml:space="preserve"> (交易處理資料__3[[#This Row],[售出工時]] * 60) / 5</f>
        <v>0</v>
      </c>
      <c r="M2964" t="str">
        <f>VLOOKUP(交易處理資料__3[[#This Row],[人員代號]],團隊分組!$B$1:$C$52,2,FALSE)</f>
        <v>鈑金維修組</v>
      </c>
      <c r="N2964">
        <f>IF(交易處理資料__3[[#This Row],[上班時間]]=0,0,交易處理資料__3[[#This Row],[售出工時]]/交易處理資料__3[[#This Row],[上班時間]])</f>
        <v>0</v>
      </c>
      <c r="O2964" s="31" t="str">
        <f>IF(交易處理資料__3[[#This Row],[上班時間]]=0,"否","是")</f>
        <v>否</v>
      </c>
    </row>
    <row r="2965" spans="1:15" hidden="1">
      <c r="A2965" t="s">
        <v>74</v>
      </c>
      <c r="B2965" t="s">
        <v>15</v>
      </c>
      <c r="C2965">
        <v>0</v>
      </c>
      <c r="D2965">
        <v>0</v>
      </c>
      <c r="E2965" s="27">
        <v>0</v>
      </c>
      <c r="F2965">
        <v>6</v>
      </c>
      <c r="G2965">
        <v>2.0499999999999998</v>
      </c>
      <c r="H2965">
        <v>8.0500000000000007</v>
      </c>
      <c r="I2965">
        <v>74.53</v>
      </c>
      <c r="J2965">
        <v>0</v>
      </c>
      <c r="K2965" s="9">
        <v>45367</v>
      </c>
      <c r="L2965">
        <f xml:space="preserve"> (交易處理資料__3[[#This Row],[售出工時]] * 60) / 5</f>
        <v>0</v>
      </c>
      <c r="M2965" t="str">
        <f>VLOOKUP(交易處理資料__3[[#This Row],[人員代號]],團隊分組!$B$1:$C$52,2,FALSE)</f>
        <v>鈑金維修組</v>
      </c>
      <c r="N2965">
        <f>IF(交易處理資料__3[[#This Row],[上班時間]]=0,0,交易處理資料__3[[#This Row],[售出工時]]/交易處理資料__3[[#This Row],[上班時間]])</f>
        <v>0</v>
      </c>
      <c r="O2965" s="31" t="str">
        <f>IF(交易處理資料__3[[#This Row],[上班時間]]=0,"否","是")</f>
        <v>是</v>
      </c>
    </row>
    <row r="2966" spans="1:15" hidden="1">
      <c r="A2966" t="s">
        <v>75</v>
      </c>
      <c r="B2966" t="s">
        <v>19</v>
      </c>
      <c r="C2966">
        <v>0</v>
      </c>
      <c r="D2966">
        <v>0</v>
      </c>
      <c r="E2966" s="27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 s="9">
        <v>45367</v>
      </c>
      <c r="L2966">
        <f xml:space="preserve"> (交易處理資料__3[[#This Row],[售出工時]] * 60) / 5</f>
        <v>0</v>
      </c>
      <c r="M2966" t="str">
        <f>VLOOKUP(交易處理資料__3[[#This Row],[人員代號]],團隊分組!$B$1:$C$52,2,FALSE)</f>
        <v>查修團隊A</v>
      </c>
      <c r="N2966">
        <f>IF(交易處理資料__3[[#This Row],[上班時間]]=0,0,交易處理資料__3[[#This Row],[售出工時]]/交易處理資料__3[[#This Row],[上班時間]])</f>
        <v>0</v>
      </c>
      <c r="O2966" s="31" t="str">
        <f>IF(交易處理資料__3[[#This Row],[上班時間]]=0,"否","是")</f>
        <v>否</v>
      </c>
    </row>
    <row r="2967" spans="1:15" hidden="1">
      <c r="A2967" t="s">
        <v>75</v>
      </c>
      <c r="B2967" t="s">
        <v>20</v>
      </c>
      <c r="C2967">
        <v>0</v>
      </c>
      <c r="D2967">
        <v>0</v>
      </c>
      <c r="E2967" s="2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 s="9">
        <v>45367</v>
      </c>
      <c r="L2967">
        <f xml:space="preserve"> (交易處理資料__3[[#This Row],[售出工時]] * 60) / 5</f>
        <v>0</v>
      </c>
      <c r="M2967" t="str">
        <f>VLOOKUP(交易處理資料__3[[#This Row],[人員代號]],團隊分組!$B$1:$C$52,2,FALSE)</f>
        <v>查修團隊B</v>
      </c>
      <c r="N2967">
        <f>IF(交易處理資料__3[[#This Row],[上班時間]]=0,0,交易處理資料__3[[#This Row],[售出工時]]/交易處理資料__3[[#This Row],[上班時間]])</f>
        <v>0</v>
      </c>
      <c r="O2967" s="31" t="str">
        <f>IF(交易處理資料__3[[#This Row],[上班時間]]=0,"否","是")</f>
        <v>否</v>
      </c>
    </row>
    <row r="2968" spans="1:15" hidden="1">
      <c r="A2968" t="s">
        <v>75</v>
      </c>
      <c r="B2968" t="s">
        <v>21</v>
      </c>
      <c r="C2968">
        <v>7.266666667</v>
      </c>
      <c r="D2968">
        <v>6.32</v>
      </c>
      <c r="E2968" s="27">
        <v>114.978903</v>
      </c>
      <c r="F2968">
        <v>3.65</v>
      </c>
      <c r="G2968">
        <v>4.41</v>
      </c>
      <c r="H2968">
        <v>8.06</v>
      </c>
      <c r="I2968">
        <v>45.29</v>
      </c>
      <c r="J2968">
        <v>90.16</v>
      </c>
      <c r="K2968" s="9">
        <v>45367</v>
      </c>
      <c r="L2968">
        <f xml:space="preserve"> (交易處理資料__3[[#This Row],[售出工時]] * 60) / 5</f>
        <v>87.200000004000003</v>
      </c>
      <c r="M2968" t="str">
        <f>VLOOKUP(交易處理資料__3[[#This Row],[人員代號]],團隊分組!$B$1:$C$52,2,FALSE)</f>
        <v>查修團隊B</v>
      </c>
      <c r="N2968">
        <f>IF(交易處理資料__3[[#This Row],[上班時間]]=0,0,交易處理資料__3[[#This Row],[售出工時]]/交易處理資料__3[[#This Row],[上班時間]])</f>
        <v>0.90157154677419349</v>
      </c>
      <c r="O2968" s="31" t="str">
        <f>IF(交易處理資料__3[[#This Row],[上班時間]]=0,"否","是")</f>
        <v>是</v>
      </c>
    </row>
    <row r="2969" spans="1:15" hidden="1">
      <c r="A2969" t="s">
        <v>75</v>
      </c>
      <c r="B2969" t="s">
        <v>22</v>
      </c>
      <c r="C2969">
        <v>10.33333333</v>
      </c>
      <c r="D2969">
        <v>4.17</v>
      </c>
      <c r="E2969" s="27">
        <v>247.8017586</v>
      </c>
      <c r="F2969">
        <v>5.88</v>
      </c>
      <c r="G2969">
        <v>2.16</v>
      </c>
      <c r="H2969">
        <v>8.0399999999999991</v>
      </c>
      <c r="I2969">
        <v>73.13</v>
      </c>
      <c r="J2969">
        <v>128.52000000000001</v>
      </c>
      <c r="K2969" s="9">
        <v>45367</v>
      </c>
      <c r="L2969">
        <f xml:space="preserve"> (交易處理資料__3[[#This Row],[售出工時]] * 60) / 5</f>
        <v>123.99999996000001</v>
      </c>
      <c r="M2969" t="str">
        <f>VLOOKUP(交易處理資料__3[[#This Row],[人員代號]],團隊分組!$B$1:$C$52,2,FALSE)</f>
        <v>快速保養團隊A</v>
      </c>
      <c r="N2969">
        <f>IF(交易處理資料__3[[#This Row],[上班時間]]=0,0,交易處理資料__3[[#This Row],[售出工時]]/交易處理資料__3[[#This Row],[上班時間]])</f>
        <v>1.2852404639303485</v>
      </c>
      <c r="O2969" s="31" t="str">
        <f>IF(交易處理資料__3[[#This Row],[上班時間]]=0,"否","是")</f>
        <v>是</v>
      </c>
    </row>
    <row r="2970" spans="1:15" hidden="1">
      <c r="A2970" t="s">
        <v>75</v>
      </c>
      <c r="B2970" t="s">
        <v>27</v>
      </c>
      <c r="C2970">
        <v>9.8366666669999994</v>
      </c>
      <c r="D2970">
        <v>7.01</v>
      </c>
      <c r="E2970" s="27">
        <v>140.32334760000001</v>
      </c>
      <c r="F2970">
        <v>4.96</v>
      </c>
      <c r="G2970">
        <v>3.11</v>
      </c>
      <c r="H2970">
        <v>8.07</v>
      </c>
      <c r="I2970">
        <v>61.46</v>
      </c>
      <c r="J2970">
        <v>121.89</v>
      </c>
      <c r="K2970" s="9">
        <v>45367</v>
      </c>
      <c r="L2970">
        <f xml:space="preserve"> (交易處理資料__3[[#This Row],[售出工時]] * 60) / 5</f>
        <v>118.04000000399999</v>
      </c>
      <c r="M2970" t="str">
        <f>VLOOKUP(交易處理資料__3[[#This Row],[人員代號]],團隊分組!$B$1:$C$52,2,FALSE)</f>
        <v>快速保養團隊B</v>
      </c>
      <c r="N2970">
        <f>IF(交易處理資料__3[[#This Row],[上班時間]]=0,0,交易處理資料__3[[#This Row],[售出工時]]/交易處理資料__3[[#This Row],[上班時間]])</f>
        <v>1.2189178026022303</v>
      </c>
      <c r="O2970" s="31" t="str">
        <f>IF(交易處理資料__3[[#This Row],[上班時間]]=0,"否","是")</f>
        <v>是</v>
      </c>
    </row>
    <row r="2971" spans="1:15" hidden="1">
      <c r="A2971" t="s">
        <v>75</v>
      </c>
      <c r="B2971" t="s">
        <v>28</v>
      </c>
      <c r="C2971">
        <v>7.9566666670000004</v>
      </c>
      <c r="D2971">
        <v>6.81</v>
      </c>
      <c r="E2971" s="27">
        <v>116.8379834</v>
      </c>
      <c r="F2971">
        <v>4.24</v>
      </c>
      <c r="G2971">
        <v>3.81</v>
      </c>
      <c r="H2971">
        <v>8.0500000000000007</v>
      </c>
      <c r="I2971">
        <v>52.67</v>
      </c>
      <c r="J2971">
        <v>98.84</v>
      </c>
      <c r="K2971" s="9">
        <v>45367</v>
      </c>
      <c r="L2971">
        <f xml:space="preserve"> (交易處理資料__3[[#This Row],[售出工時]] * 60) / 5</f>
        <v>95.480000004000004</v>
      </c>
      <c r="M2971" t="str">
        <f>VLOOKUP(交易處理資料__3[[#This Row],[人員代號]],團隊分組!$B$1:$C$52,2,FALSE)</f>
        <v>快速保養團隊A</v>
      </c>
      <c r="N2971">
        <f>IF(交易處理資料__3[[#This Row],[上班時間]]=0,0,交易處理資料__3[[#This Row],[售出工時]]/交易處理資料__3[[#This Row],[上班時間]])</f>
        <v>0.98840579714285715</v>
      </c>
      <c r="O2971" s="31" t="str">
        <f>IF(交易處理資料__3[[#This Row],[上班時間]]=0,"否","是")</f>
        <v>是</v>
      </c>
    </row>
    <row r="2972" spans="1:15" hidden="1">
      <c r="A2972" t="s">
        <v>75</v>
      </c>
      <c r="B2972" t="s">
        <v>30</v>
      </c>
      <c r="C2972">
        <v>9.4700000000000006</v>
      </c>
      <c r="D2972">
        <v>6.31</v>
      </c>
      <c r="E2972" s="27">
        <v>150.07923930000001</v>
      </c>
      <c r="F2972">
        <v>4.91</v>
      </c>
      <c r="G2972">
        <v>3.15</v>
      </c>
      <c r="H2972">
        <v>8.06</v>
      </c>
      <c r="I2972">
        <v>60.92</v>
      </c>
      <c r="J2972">
        <v>117.49</v>
      </c>
      <c r="K2972" s="9">
        <v>45367</v>
      </c>
      <c r="L2972">
        <f xml:space="preserve"> (交易處理資料__3[[#This Row],[售出工時]] * 60) / 5</f>
        <v>113.64000000000001</v>
      </c>
      <c r="M2972" t="str">
        <f>VLOOKUP(交易處理資料__3[[#This Row],[人員代號]],團隊分組!$B$1:$C$52,2,FALSE)</f>
        <v>快速保養團隊B</v>
      </c>
      <c r="N2972">
        <f>IF(交易處理資料__3[[#This Row],[上班時間]]=0,0,交易處理資料__3[[#This Row],[售出工時]]/交易處理資料__3[[#This Row],[上班時間]])</f>
        <v>1.1749379652605458</v>
      </c>
      <c r="O2972" s="31" t="str">
        <f>IF(交易處理資料__3[[#This Row],[上班時間]]=0,"否","是")</f>
        <v>是</v>
      </c>
    </row>
    <row r="2973" spans="1:15" hidden="1">
      <c r="A2973" t="s">
        <v>75</v>
      </c>
      <c r="B2973" t="s">
        <v>32</v>
      </c>
      <c r="C2973">
        <v>0</v>
      </c>
      <c r="D2973">
        <v>0</v>
      </c>
      <c r="E2973" s="27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 s="9">
        <v>45367</v>
      </c>
      <c r="L2973">
        <f xml:space="preserve"> (交易處理資料__3[[#This Row],[售出工時]] * 60) / 5</f>
        <v>0</v>
      </c>
      <c r="M2973" t="str">
        <f>VLOOKUP(交易處理資料__3[[#This Row],[人員代號]],團隊分組!$B$1:$C$52,2,FALSE)</f>
        <v>快速保養團隊B</v>
      </c>
      <c r="N2973">
        <f>IF(交易處理資料__3[[#This Row],[上班時間]]=0,0,交易處理資料__3[[#This Row],[售出工時]]/交易處理資料__3[[#This Row],[上班時間]])</f>
        <v>0</v>
      </c>
      <c r="O2973" s="31" t="str">
        <f>IF(交易處理資料__3[[#This Row],[上班時間]]=0,"否","是")</f>
        <v>否</v>
      </c>
    </row>
    <row r="2974" spans="1:15">
      <c r="A2974" t="s">
        <v>75</v>
      </c>
      <c r="B2974" t="s">
        <v>33</v>
      </c>
      <c r="C2974">
        <v>8.1233333329999997</v>
      </c>
      <c r="D2974">
        <v>5.67</v>
      </c>
      <c r="E2974" s="27">
        <v>143.2686655</v>
      </c>
      <c r="F2974">
        <v>4.09</v>
      </c>
      <c r="G2974">
        <v>4</v>
      </c>
      <c r="H2974">
        <v>8.09</v>
      </c>
      <c r="I2974">
        <v>50.56</v>
      </c>
      <c r="J2974">
        <v>100.41</v>
      </c>
      <c r="K2974" s="9">
        <v>45367</v>
      </c>
      <c r="L2974">
        <f xml:space="preserve"> (交易處理資料__3[[#This Row],[售出工時]] * 60) / 5</f>
        <v>97.479999995999989</v>
      </c>
      <c r="M2974" t="str">
        <f>VLOOKUP(交易處理資料__3[[#This Row],[人員代號]],團隊分組!$B$1:$C$52,2,FALSE)</f>
        <v>快速保養團隊B</v>
      </c>
      <c r="N2974">
        <f>IF(交易處理資料__3[[#This Row],[上班時間]]=0,0,交易處理資料__3[[#This Row],[售出工時]]/交易處理資料__3[[#This Row],[上班時間]])</f>
        <v>1.0041203131025958</v>
      </c>
      <c r="O2974" s="31" t="str">
        <f>IF(交易處理資料__3[[#This Row],[上班時間]]=0,"否","是")</f>
        <v>是</v>
      </c>
    </row>
    <row r="2975" spans="1:15" hidden="1">
      <c r="A2975" t="s">
        <v>75</v>
      </c>
      <c r="B2975" t="s">
        <v>34</v>
      </c>
      <c r="C2975">
        <v>5.5833333329999997</v>
      </c>
      <c r="D2975">
        <v>5.33</v>
      </c>
      <c r="E2975" s="27">
        <v>104.7529706</v>
      </c>
      <c r="F2975">
        <v>4.9000000000000004</v>
      </c>
      <c r="G2975">
        <v>3.16</v>
      </c>
      <c r="H2975">
        <v>8.06</v>
      </c>
      <c r="I2975">
        <v>60.79</v>
      </c>
      <c r="J2975">
        <v>69.27</v>
      </c>
      <c r="K2975" s="9">
        <v>45367</v>
      </c>
      <c r="L2975">
        <f xml:space="preserve"> (交易處理資料__3[[#This Row],[售出工時]] * 60) / 5</f>
        <v>66.999999996</v>
      </c>
      <c r="M2975" t="str">
        <f>VLOOKUP(交易處理資料__3[[#This Row],[人員代號]],團隊分組!$B$1:$C$52,2,FALSE)</f>
        <v>快速保養團隊A</v>
      </c>
      <c r="N2975">
        <f>IF(交易處理資料__3[[#This Row],[上班時間]]=0,0,交易處理資料__3[[#This Row],[售出工時]]/交易處理資料__3[[#This Row],[上班時間]])</f>
        <v>0.69272125719602973</v>
      </c>
      <c r="O2975" s="31" t="str">
        <f>IF(交易處理資料__3[[#This Row],[上班時間]]=0,"否","是")</f>
        <v>是</v>
      </c>
    </row>
    <row r="2976" spans="1:15" hidden="1">
      <c r="A2976" t="s">
        <v>75</v>
      </c>
      <c r="B2976" t="s">
        <v>36</v>
      </c>
      <c r="C2976">
        <v>3.49</v>
      </c>
      <c r="D2976">
        <v>5.35</v>
      </c>
      <c r="E2976" s="27">
        <v>65.233644859999998</v>
      </c>
      <c r="F2976">
        <v>4.66</v>
      </c>
      <c r="G2976">
        <v>3.4</v>
      </c>
      <c r="H2976">
        <v>8.06</v>
      </c>
      <c r="I2976">
        <v>57.82</v>
      </c>
      <c r="J2976">
        <v>43.3</v>
      </c>
      <c r="K2976" s="9">
        <v>45367</v>
      </c>
      <c r="L2976">
        <f xml:space="preserve"> (交易處理資料__3[[#This Row],[售出工時]] * 60) / 5</f>
        <v>41.88</v>
      </c>
      <c r="M2976" t="str">
        <f>VLOOKUP(交易處理資料__3[[#This Row],[人員代號]],團隊分組!$B$1:$C$52,2,FALSE)</f>
        <v>查修團隊B</v>
      </c>
      <c r="N2976">
        <f>IF(交易處理資料__3[[#This Row],[上班時間]]=0,0,交易處理資料__3[[#This Row],[售出工時]]/交易處理資料__3[[#This Row],[上班時間]])</f>
        <v>0.43300248138957814</v>
      </c>
      <c r="O2976" s="31" t="str">
        <f>IF(交易處理資料__3[[#This Row],[上班時間]]=0,"否","是")</f>
        <v>是</v>
      </c>
    </row>
    <row r="2977" spans="1:15" hidden="1">
      <c r="A2977" t="s">
        <v>75</v>
      </c>
      <c r="B2977" t="s">
        <v>37</v>
      </c>
      <c r="C2977">
        <v>0</v>
      </c>
      <c r="D2977">
        <v>0</v>
      </c>
      <c r="E2977" s="2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 s="9">
        <v>45367</v>
      </c>
      <c r="L2977">
        <f xml:space="preserve"> (交易處理資料__3[[#This Row],[售出工時]] * 60) / 5</f>
        <v>0</v>
      </c>
      <c r="M2977" t="str">
        <f>VLOOKUP(交易處理資料__3[[#This Row],[人員代號]],團隊分組!$B$1:$C$52,2,FALSE)</f>
        <v>查修團隊A</v>
      </c>
      <c r="N2977">
        <f>IF(交易處理資料__3[[#This Row],[上班時間]]=0,0,交易處理資料__3[[#This Row],[售出工時]]/交易處理資料__3[[#This Row],[上班時間]])</f>
        <v>0</v>
      </c>
      <c r="O2977" s="31" t="str">
        <f>IF(交易處理資料__3[[#This Row],[上班時間]]=0,"否","是")</f>
        <v>否</v>
      </c>
    </row>
    <row r="2978" spans="1:15" hidden="1">
      <c r="A2978" t="s">
        <v>75</v>
      </c>
      <c r="B2978" t="s">
        <v>39</v>
      </c>
      <c r="C2978">
        <v>7.0133333330000003</v>
      </c>
      <c r="D2978">
        <v>4.3</v>
      </c>
      <c r="E2978" s="27">
        <v>163.10077519999999</v>
      </c>
      <c r="F2978">
        <v>4.3</v>
      </c>
      <c r="G2978">
        <v>3.76</v>
      </c>
      <c r="H2978">
        <v>8.06</v>
      </c>
      <c r="I2978">
        <v>53.35</v>
      </c>
      <c r="J2978">
        <v>87.01</v>
      </c>
      <c r="K2978" s="9">
        <v>45367</v>
      </c>
      <c r="L2978">
        <f xml:space="preserve"> (交易處理資料__3[[#This Row],[售出工時]] * 60) / 5</f>
        <v>84.159999995999996</v>
      </c>
      <c r="M2978" t="str">
        <f>VLOOKUP(交易處理資料__3[[#This Row],[人員代號]],團隊分組!$B$1:$C$52,2,FALSE)</f>
        <v>查修團隊A</v>
      </c>
      <c r="N2978">
        <f>IF(交易處理資料__3[[#This Row],[上班時間]]=0,0,交易處理資料__3[[#This Row],[售出工時]]/交易處理資料__3[[#This Row],[上班時間]])</f>
        <v>0.87014061203473947</v>
      </c>
      <c r="O2978" s="31" t="str">
        <f>IF(交易處理資料__3[[#This Row],[上班時間]]=0,"否","是")</f>
        <v>是</v>
      </c>
    </row>
    <row r="2979" spans="1:15" hidden="1">
      <c r="A2979" t="s">
        <v>75</v>
      </c>
      <c r="B2979" t="s">
        <v>40</v>
      </c>
      <c r="C2979">
        <v>0</v>
      </c>
      <c r="D2979">
        <v>0</v>
      </c>
      <c r="E2979" s="27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 s="9">
        <v>45367</v>
      </c>
      <c r="L2979">
        <f xml:space="preserve"> (交易處理資料__3[[#This Row],[售出工時]] * 60) / 5</f>
        <v>0</v>
      </c>
      <c r="M2979" t="str">
        <f>VLOOKUP(交易處理資料__3[[#This Row],[人員代號]],團隊分組!$B$1:$C$52,2,FALSE)</f>
        <v>查修團隊A</v>
      </c>
      <c r="N2979">
        <f>IF(交易處理資料__3[[#This Row],[上班時間]]=0,0,交易處理資料__3[[#This Row],[售出工時]]/交易處理資料__3[[#This Row],[上班時間]])</f>
        <v>0</v>
      </c>
      <c r="O2979" s="31" t="str">
        <f>IF(交易處理資料__3[[#This Row],[上班時間]]=0,"否","是")</f>
        <v>否</v>
      </c>
    </row>
    <row r="2980" spans="1:15" hidden="1">
      <c r="A2980" t="s">
        <v>75</v>
      </c>
      <c r="B2980" t="s">
        <v>41</v>
      </c>
      <c r="C2980">
        <v>7.3333333329999997</v>
      </c>
      <c r="D2980">
        <v>5.6</v>
      </c>
      <c r="E2980" s="27">
        <v>130.952381</v>
      </c>
      <c r="F2980">
        <v>5.83</v>
      </c>
      <c r="G2980">
        <v>2.2200000000000002</v>
      </c>
      <c r="H2980">
        <v>8.0500000000000007</v>
      </c>
      <c r="I2980">
        <v>72.42</v>
      </c>
      <c r="J2980">
        <v>91.1</v>
      </c>
      <c r="K2980" s="9">
        <v>45367</v>
      </c>
      <c r="L2980">
        <f xml:space="preserve"> (交易處理資料__3[[#This Row],[售出工時]] * 60) / 5</f>
        <v>87.999999996</v>
      </c>
      <c r="M2980" t="str">
        <f>VLOOKUP(交易處理資料__3[[#This Row],[人員代號]],團隊分組!$B$1:$C$52,2,FALSE)</f>
        <v>快速保養團隊A</v>
      </c>
      <c r="N2980">
        <f>IF(交易處理資料__3[[#This Row],[上班時間]]=0,0,交易處理資料__3[[#This Row],[售出工時]]/交易處理資料__3[[#This Row],[上班時間]])</f>
        <v>0.91097308484472039</v>
      </c>
      <c r="O2980" s="31" t="str">
        <f>IF(交易處理資料__3[[#This Row],[上班時間]]=0,"否","是")</f>
        <v>是</v>
      </c>
    </row>
    <row r="2981" spans="1:15" hidden="1">
      <c r="A2981" t="s">
        <v>75</v>
      </c>
      <c r="B2981" t="s">
        <v>42</v>
      </c>
      <c r="C2981">
        <v>10.16666667</v>
      </c>
      <c r="D2981">
        <v>6.75</v>
      </c>
      <c r="E2981" s="27">
        <v>150.61728400000001</v>
      </c>
      <c r="F2981">
        <v>4.91</v>
      </c>
      <c r="G2981">
        <v>3.15</v>
      </c>
      <c r="H2981">
        <v>8.06</v>
      </c>
      <c r="I2981">
        <v>60.92</v>
      </c>
      <c r="J2981">
        <v>126.14</v>
      </c>
      <c r="K2981" s="9">
        <v>45367</v>
      </c>
      <c r="L2981">
        <f xml:space="preserve"> (交易處理資料__3[[#This Row],[售出工時]] * 60) / 5</f>
        <v>122.00000003999999</v>
      </c>
      <c r="M2981" t="str">
        <f>VLOOKUP(交易處理資料__3[[#This Row],[人員代號]],團隊分組!$B$1:$C$52,2,FALSE)</f>
        <v>快速保養團隊A</v>
      </c>
      <c r="N2981">
        <f>IF(交易處理資料__3[[#This Row],[上班時間]]=0,0,交易處理資料__3[[#This Row],[售出工時]]/交易處理資料__3[[#This Row],[上班時間]])</f>
        <v>1.2613730359801487</v>
      </c>
      <c r="O2981" s="31" t="str">
        <f>IF(交易處理資料__3[[#This Row],[上班時間]]=0,"否","是")</f>
        <v>是</v>
      </c>
    </row>
    <row r="2982" spans="1:15" hidden="1">
      <c r="A2982" t="s">
        <v>75</v>
      </c>
      <c r="B2982" t="s">
        <v>45</v>
      </c>
      <c r="C2982">
        <v>10.31666667</v>
      </c>
      <c r="D2982">
        <v>5.29</v>
      </c>
      <c r="E2982" s="27">
        <v>195.02205420000001</v>
      </c>
      <c r="F2982">
        <v>4.84</v>
      </c>
      <c r="G2982">
        <v>3.25</v>
      </c>
      <c r="H2982">
        <v>8.09</v>
      </c>
      <c r="I2982">
        <v>59.83</v>
      </c>
      <c r="J2982">
        <v>127.52</v>
      </c>
      <c r="K2982" s="9">
        <v>45367</v>
      </c>
      <c r="L2982">
        <f xml:space="preserve"> (交易處理資料__3[[#This Row],[售出工時]] * 60) / 5</f>
        <v>123.80000004000001</v>
      </c>
      <c r="M2982" t="str">
        <f>VLOOKUP(交易處理資料__3[[#This Row],[人員代號]],團隊分組!$B$1:$C$52,2,FALSE)</f>
        <v>快速保養團隊A</v>
      </c>
      <c r="N2982">
        <f>IF(交易處理資料__3[[#This Row],[上班時間]]=0,0,交易處理資料__3[[#This Row],[售出工時]]/交易處理資料__3[[#This Row],[上班時間]])</f>
        <v>1.2752369184177998</v>
      </c>
      <c r="O2982" s="31" t="str">
        <f>IF(交易處理資料__3[[#This Row],[上班時間]]=0,"否","是")</f>
        <v>是</v>
      </c>
    </row>
    <row r="2983" spans="1:15" hidden="1">
      <c r="A2983" t="s">
        <v>75</v>
      </c>
      <c r="B2983" t="s">
        <v>47</v>
      </c>
      <c r="C2983">
        <v>0</v>
      </c>
      <c r="D2983">
        <v>0</v>
      </c>
      <c r="E2983" s="27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 s="9">
        <v>45367</v>
      </c>
      <c r="L2983">
        <f xml:space="preserve"> (交易處理資料__3[[#This Row],[售出工時]] * 60) / 5</f>
        <v>0</v>
      </c>
      <c r="M2983" t="str">
        <f>VLOOKUP(交易處理資料__3[[#This Row],[人員代號]],團隊分組!$B$1:$C$52,2,FALSE)</f>
        <v>查修團隊B</v>
      </c>
      <c r="N2983">
        <f>IF(交易處理資料__3[[#This Row],[上班時間]]=0,0,交易處理資料__3[[#This Row],[售出工時]]/交易處理資料__3[[#This Row],[上班時間]])</f>
        <v>0</v>
      </c>
      <c r="O2983" s="31" t="str">
        <f>IF(交易處理資料__3[[#This Row],[上班時間]]=0,"否","是")</f>
        <v>否</v>
      </c>
    </row>
    <row r="2984" spans="1:15" hidden="1">
      <c r="A2984" t="s">
        <v>75</v>
      </c>
      <c r="B2984" t="s">
        <v>48</v>
      </c>
      <c r="C2984">
        <v>5.5233333330000001</v>
      </c>
      <c r="D2984">
        <v>3.96</v>
      </c>
      <c r="E2984" s="27">
        <v>139.4781145</v>
      </c>
      <c r="F2984">
        <v>5.0999999999999996</v>
      </c>
      <c r="G2984">
        <v>3</v>
      </c>
      <c r="H2984">
        <v>8.1</v>
      </c>
      <c r="I2984">
        <v>62.96</v>
      </c>
      <c r="J2984">
        <v>68.19</v>
      </c>
      <c r="K2984" s="9">
        <v>45367</v>
      </c>
      <c r="L2984">
        <f xml:space="preserve"> (交易處理資料__3[[#This Row],[售出工時]] * 60) / 5</f>
        <v>66.279999996000001</v>
      </c>
      <c r="M2984" t="str">
        <f>VLOOKUP(交易處理資料__3[[#This Row],[人員代號]],團隊分組!$B$1:$C$52,2,FALSE)</f>
        <v>查修團隊A</v>
      </c>
      <c r="N2984">
        <f>IF(交易處理資料__3[[#This Row],[上班時間]]=0,0,交易處理資料__3[[#This Row],[售出工時]]/交易處理資料__3[[#This Row],[上班時間]])</f>
        <v>0.68189300407407416</v>
      </c>
      <c r="O2984" s="31" t="str">
        <f>IF(交易處理資料__3[[#This Row],[上班時間]]=0,"否","是")</f>
        <v>是</v>
      </c>
    </row>
    <row r="2985" spans="1:15" hidden="1">
      <c r="A2985" t="s">
        <v>75</v>
      </c>
      <c r="B2985" t="s">
        <v>49</v>
      </c>
      <c r="C2985">
        <v>0</v>
      </c>
      <c r="D2985">
        <v>0</v>
      </c>
      <c r="E2985" s="27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 s="9">
        <v>45367</v>
      </c>
      <c r="L2985">
        <f xml:space="preserve"> (交易處理資料__3[[#This Row],[售出工時]] * 60) / 5</f>
        <v>0</v>
      </c>
      <c r="M2985" t="str">
        <f>VLOOKUP(交易處理資料__3[[#This Row],[人員代號]],團隊分組!$B$1:$C$52,2,FALSE)</f>
        <v>查修團隊A</v>
      </c>
      <c r="N2985">
        <f>IF(交易處理資料__3[[#This Row],[上班時間]]=0,0,交易處理資料__3[[#This Row],[售出工時]]/交易處理資料__3[[#This Row],[上班時間]])</f>
        <v>0</v>
      </c>
      <c r="O2985" s="31" t="str">
        <f>IF(交易處理資料__3[[#This Row],[上班時間]]=0,"否","是")</f>
        <v>否</v>
      </c>
    </row>
    <row r="2986" spans="1:15" hidden="1">
      <c r="A2986" t="s">
        <v>75</v>
      </c>
      <c r="B2986" t="s">
        <v>51</v>
      </c>
      <c r="C2986">
        <v>0</v>
      </c>
      <c r="D2986">
        <v>0</v>
      </c>
      <c r="E2986" s="27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 s="9">
        <v>45367</v>
      </c>
      <c r="L2986">
        <f xml:space="preserve"> (交易處理資料__3[[#This Row],[售出工時]] * 60) / 5</f>
        <v>0</v>
      </c>
      <c r="M2986" t="str">
        <f>VLOOKUP(交易處理資料__3[[#This Row],[人員代號]],團隊分組!$B$1:$C$52,2,FALSE)</f>
        <v>無效數據</v>
      </c>
      <c r="N2986">
        <f>IF(交易處理資料__3[[#This Row],[上班時間]]=0,0,交易處理資料__3[[#This Row],[售出工時]]/交易處理資料__3[[#This Row],[上班時間]])</f>
        <v>0</v>
      </c>
      <c r="O2986" s="31" t="str">
        <f>IF(交易處理資料__3[[#This Row],[上班時間]]=0,"否","是")</f>
        <v>否</v>
      </c>
    </row>
    <row r="2987" spans="1:15" hidden="1">
      <c r="A2987" t="s">
        <v>75</v>
      </c>
      <c r="B2987" t="s">
        <v>52</v>
      </c>
      <c r="C2987">
        <v>2.33</v>
      </c>
      <c r="D2987">
        <v>3.4</v>
      </c>
      <c r="E2987" s="27">
        <v>68.529411760000002</v>
      </c>
      <c r="F2987">
        <v>3.4</v>
      </c>
      <c r="G2987">
        <v>4.67</v>
      </c>
      <c r="H2987">
        <v>8.07</v>
      </c>
      <c r="I2987">
        <v>42.13</v>
      </c>
      <c r="J2987">
        <v>28.87</v>
      </c>
      <c r="K2987" s="9">
        <v>45367</v>
      </c>
      <c r="L2987">
        <f xml:space="preserve"> (交易處理資料__3[[#This Row],[售出工時]] * 60) / 5</f>
        <v>27.96</v>
      </c>
      <c r="M2987" t="str">
        <f>VLOOKUP(交易處理資料__3[[#This Row],[人員代號]],團隊分組!$B$1:$C$52,2,FALSE)</f>
        <v>查修團隊B</v>
      </c>
      <c r="N2987">
        <f>IF(交易處理資料__3[[#This Row],[上班時間]]=0,0,交易處理資料__3[[#This Row],[售出工時]]/交易處理資料__3[[#This Row],[上班時間]])</f>
        <v>0.28872366790582404</v>
      </c>
      <c r="O2987" s="31" t="str">
        <f>IF(交易處理資料__3[[#This Row],[上班時間]]=0,"否","是")</f>
        <v>是</v>
      </c>
    </row>
    <row r="2988" spans="1:15" hidden="1">
      <c r="A2988" t="s">
        <v>75</v>
      </c>
      <c r="B2988" t="s">
        <v>53</v>
      </c>
      <c r="C2988">
        <v>0</v>
      </c>
      <c r="D2988">
        <v>0</v>
      </c>
      <c r="E2988" s="27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 s="9">
        <v>45367</v>
      </c>
      <c r="L2988">
        <f xml:space="preserve"> (交易處理資料__3[[#This Row],[售出工時]] * 60) / 5</f>
        <v>0</v>
      </c>
      <c r="M2988" t="str">
        <f>VLOOKUP(交易處理資料__3[[#This Row],[人員代號]],團隊分組!$B$1:$C$52,2,FALSE)</f>
        <v>查修團隊A</v>
      </c>
      <c r="N2988">
        <f>IF(交易處理資料__3[[#This Row],[上班時間]]=0,0,交易處理資料__3[[#This Row],[售出工時]]/交易處理資料__3[[#This Row],[上班時間]])</f>
        <v>0</v>
      </c>
      <c r="O2988" s="31" t="str">
        <f>IF(交易處理資料__3[[#This Row],[上班時間]]=0,"否","是")</f>
        <v>否</v>
      </c>
    </row>
    <row r="2989" spans="1:15" hidden="1">
      <c r="A2989" s="10" t="s">
        <v>73</v>
      </c>
      <c r="B2989" t="s">
        <v>1</v>
      </c>
      <c r="C2989">
        <v>0</v>
      </c>
      <c r="D2989">
        <v>0</v>
      </c>
      <c r="E2989" s="27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 s="9">
        <v>45368</v>
      </c>
      <c r="L2989">
        <f xml:space="preserve"> (交易處理資料__3[[#This Row],[售出工時]] * 60) / 5</f>
        <v>0</v>
      </c>
      <c r="M2989" t="str">
        <f>VLOOKUP(交易處理資料__3[[#This Row],[人員代號]],團隊分組!$B$1:$C$52,2,FALSE)</f>
        <v>噴漆維修組</v>
      </c>
      <c r="N2989">
        <f>IF(交易處理資料__3[[#This Row],[上班時間]]=0,0,交易處理資料__3[[#This Row],[售出工時]]/交易處理資料__3[[#This Row],[上班時間]])</f>
        <v>0</v>
      </c>
      <c r="O2989" s="31" t="str">
        <f>IF(交易處理資料__3[[#This Row],[上班時間]]=0,"否","是")</f>
        <v>否</v>
      </c>
    </row>
    <row r="2990" spans="1:15" hidden="1">
      <c r="A2990" s="10" t="s">
        <v>73</v>
      </c>
      <c r="B2990" t="s">
        <v>2</v>
      </c>
      <c r="C2990">
        <v>0</v>
      </c>
      <c r="D2990">
        <v>0</v>
      </c>
      <c r="E2990" s="27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 s="9">
        <v>45368</v>
      </c>
      <c r="L2990">
        <f xml:space="preserve"> (交易處理資料__3[[#This Row],[售出工時]] * 60) / 5</f>
        <v>0</v>
      </c>
      <c r="M2990" t="str">
        <f>VLOOKUP(交易處理資料__3[[#This Row],[人員代號]],團隊分組!$B$1:$C$52,2,FALSE)</f>
        <v>噴漆維修組</v>
      </c>
      <c r="N2990">
        <f>IF(交易處理資料__3[[#This Row],[上班時間]]=0,0,交易處理資料__3[[#This Row],[售出工時]]/交易處理資料__3[[#This Row],[上班時間]])</f>
        <v>0</v>
      </c>
      <c r="O2990" s="31" t="str">
        <f>IF(交易處理資料__3[[#This Row],[上班時間]]=0,"否","是")</f>
        <v>否</v>
      </c>
    </row>
    <row r="2991" spans="1:15" hidden="1">
      <c r="A2991" s="10" t="s">
        <v>73</v>
      </c>
      <c r="B2991" t="s">
        <v>3</v>
      </c>
      <c r="C2991">
        <v>0</v>
      </c>
      <c r="D2991">
        <v>0</v>
      </c>
      <c r="E2991" s="27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 s="9">
        <v>45368</v>
      </c>
      <c r="L2991">
        <f xml:space="preserve"> (交易處理資料__3[[#This Row],[售出工時]] * 60) / 5</f>
        <v>0</v>
      </c>
      <c r="M2991" t="str">
        <f>VLOOKUP(交易處理資料__3[[#This Row],[人員代號]],團隊分組!$B$1:$C$52,2,FALSE)</f>
        <v>噴漆維修組</v>
      </c>
      <c r="N2991">
        <f>IF(交易處理資料__3[[#This Row],[上班時間]]=0,0,交易處理資料__3[[#This Row],[售出工時]]/交易處理資料__3[[#This Row],[上班時間]])</f>
        <v>0</v>
      </c>
      <c r="O2991" s="31" t="str">
        <f>IF(交易處理資料__3[[#This Row],[上班時間]]=0,"否","是")</f>
        <v>否</v>
      </c>
    </row>
    <row r="2992" spans="1:15" hidden="1">
      <c r="A2992" s="10" t="s">
        <v>73</v>
      </c>
      <c r="B2992" t="s">
        <v>4</v>
      </c>
      <c r="C2992">
        <v>0</v>
      </c>
      <c r="D2992">
        <v>0</v>
      </c>
      <c r="E2992" s="27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 s="9">
        <v>45368</v>
      </c>
      <c r="L2992">
        <f xml:space="preserve"> (交易處理資料__3[[#This Row],[售出工時]] * 60) / 5</f>
        <v>0</v>
      </c>
      <c r="M2992" t="str">
        <f>VLOOKUP(交易處理資料__3[[#This Row],[人員代號]],團隊分組!$B$1:$C$52,2,FALSE)</f>
        <v>噴漆維修組</v>
      </c>
      <c r="N2992">
        <f>IF(交易處理資料__3[[#This Row],[上班時間]]=0,0,交易處理資料__3[[#This Row],[售出工時]]/交易處理資料__3[[#This Row],[上班時間]])</f>
        <v>0</v>
      </c>
      <c r="O2992" s="31" t="str">
        <f>IF(交易處理資料__3[[#This Row],[上班時間]]=0,"否","是")</f>
        <v>否</v>
      </c>
    </row>
    <row r="2993" spans="1:15" hidden="1">
      <c r="A2993" s="10" t="s">
        <v>73</v>
      </c>
      <c r="B2993" t="s">
        <v>5</v>
      </c>
      <c r="C2993">
        <v>0</v>
      </c>
      <c r="D2993">
        <v>0</v>
      </c>
      <c r="E2993" s="27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 s="9">
        <v>45368</v>
      </c>
      <c r="L2993">
        <f xml:space="preserve"> (交易處理資料__3[[#This Row],[售出工時]] * 60) / 5</f>
        <v>0</v>
      </c>
      <c r="M2993" t="str">
        <f>VLOOKUP(交易處理資料__3[[#This Row],[人員代號]],團隊分組!$B$1:$C$52,2,FALSE)</f>
        <v>噴漆維修組</v>
      </c>
      <c r="N2993">
        <f>IF(交易處理資料__3[[#This Row],[上班時間]]=0,0,交易處理資料__3[[#This Row],[售出工時]]/交易處理資料__3[[#This Row],[上班時間]])</f>
        <v>0</v>
      </c>
      <c r="O2993" s="31" t="str">
        <f>IF(交易處理資料__3[[#This Row],[上班時間]]=0,"否","是")</f>
        <v>否</v>
      </c>
    </row>
    <row r="2994" spans="1:15" hidden="1">
      <c r="A2994" s="10" t="s">
        <v>73</v>
      </c>
      <c r="B2994" t="s">
        <v>6</v>
      </c>
      <c r="C2994">
        <v>0</v>
      </c>
      <c r="D2994">
        <v>0</v>
      </c>
      <c r="E2994" s="27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 s="9">
        <v>45368</v>
      </c>
      <c r="L2994">
        <f xml:space="preserve"> (交易處理資料__3[[#This Row],[售出工時]] * 60) / 5</f>
        <v>0</v>
      </c>
      <c r="M2994" t="str">
        <f>VLOOKUP(交易處理資料__3[[#This Row],[人員代號]],團隊分組!$B$1:$C$52,2,FALSE)</f>
        <v>噴漆維修組</v>
      </c>
      <c r="N2994">
        <f>IF(交易處理資料__3[[#This Row],[上班時間]]=0,0,交易處理資料__3[[#This Row],[售出工時]]/交易處理資料__3[[#This Row],[上班時間]])</f>
        <v>0</v>
      </c>
      <c r="O2994" s="31" t="str">
        <f>IF(交易處理資料__3[[#This Row],[上班時間]]=0,"否","是")</f>
        <v>否</v>
      </c>
    </row>
    <row r="2995" spans="1:15" hidden="1">
      <c r="A2995" s="10" t="s">
        <v>73</v>
      </c>
      <c r="B2995" t="s">
        <v>7</v>
      </c>
      <c r="C2995">
        <v>0</v>
      </c>
      <c r="D2995">
        <v>0</v>
      </c>
      <c r="E2995" s="27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 s="9">
        <v>45368</v>
      </c>
      <c r="L2995">
        <f xml:space="preserve"> (交易處理資料__3[[#This Row],[售出工時]] * 60) / 5</f>
        <v>0</v>
      </c>
      <c r="M2995" t="str">
        <f>VLOOKUP(交易處理資料__3[[#This Row],[人員代號]],團隊分組!$B$1:$C$52,2,FALSE)</f>
        <v>噴漆維修組</v>
      </c>
      <c r="N2995">
        <f>IF(交易處理資料__3[[#This Row],[上班時間]]=0,0,交易處理資料__3[[#This Row],[售出工時]]/交易處理資料__3[[#This Row],[上班時間]])</f>
        <v>0</v>
      </c>
      <c r="O2995" s="31" t="str">
        <f>IF(交易處理資料__3[[#This Row],[上班時間]]=0,"否","是")</f>
        <v>否</v>
      </c>
    </row>
    <row r="2996" spans="1:15" hidden="1">
      <c r="A2996" s="10" t="s">
        <v>73</v>
      </c>
      <c r="B2996" t="s">
        <v>8</v>
      </c>
      <c r="C2996">
        <v>0</v>
      </c>
      <c r="D2996">
        <v>0</v>
      </c>
      <c r="E2996" s="27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 s="9">
        <v>45368</v>
      </c>
      <c r="L2996">
        <f xml:space="preserve"> (交易處理資料__3[[#This Row],[售出工時]] * 60) / 5</f>
        <v>0</v>
      </c>
      <c r="M2996" t="str">
        <f>VLOOKUP(交易處理資料__3[[#This Row],[人員代號]],團隊分組!$B$1:$C$52,2,FALSE)</f>
        <v>噴漆維修組</v>
      </c>
      <c r="N2996">
        <f>IF(交易處理資料__3[[#This Row],[上班時間]]=0,0,交易處理資料__3[[#This Row],[售出工時]]/交易處理資料__3[[#This Row],[上班時間]])</f>
        <v>0</v>
      </c>
      <c r="O2996" s="31" t="str">
        <f>IF(交易處理資料__3[[#This Row],[上班時間]]=0,"否","是")</f>
        <v>否</v>
      </c>
    </row>
    <row r="2997" spans="1:15" hidden="1">
      <c r="A2997" s="10" t="s">
        <v>73</v>
      </c>
      <c r="B2997" t="s">
        <v>9</v>
      </c>
      <c r="C2997">
        <v>0</v>
      </c>
      <c r="D2997">
        <v>0</v>
      </c>
      <c r="E2997" s="2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 s="9">
        <v>45368</v>
      </c>
      <c r="L2997">
        <f xml:space="preserve"> (交易處理資料__3[[#This Row],[售出工時]] * 60) / 5</f>
        <v>0</v>
      </c>
      <c r="M2997" t="str">
        <f>VLOOKUP(交易處理資料__3[[#This Row],[人員代號]],團隊分組!$B$1:$C$52,2,FALSE)</f>
        <v>噴漆維修組</v>
      </c>
      <c r="N2997">
        <f>IF(交易處理資料__3[[#This Row],[上班時間]]=0,0,交易處理資料__3[[#This Row],[售出工時]]/交易處理資料__3[[#This Row],[上班時間]])</f>
        <v>0</v>
      </c>
      <c r="O2997" s="31" t="str">
        <f>IF(交易處理資料__3[[#This Row],[上班時間]]=0,"否","是")</f>
        <v>否</v>
      </c>
    </row>
    <row r="2998" spans="1:15" hidden="1">
      <c r="A2998" t="s">
        <v>74</v>
      </c>
      <c r="B2998" t="s">
        <v>11</v>
      </c>
      <c r="C2998">
        <v>0</v>
      </c>
      <c r="D2998">
        <v>0</v>
      </c>
      <c r="E2998" s="27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 s="9">
        <v>45368</v>
      </c>
      <c r="L2998">
        <f xml:space="preserve"> (交易處理資料__3[[#This Row],[售出工時]] * 60) / 5</f>
        <v>0</v>
      </c>
      <c r="M2998" t="str">
        <f>VLOOKUP(交易處理資料__3[[#This Row],[人員代號]],團隊分組!$B$1:$C$52,2,FALSE)</f>
        <v>鈑金維修組</v>
      </c>
      <c r="N2998">
        <f>IF(交易處理資料__3[[#This Row],[上班時間]]=0,0,交易處理資料__3[[#This Row],[售出工時]]/交易處理資料__3[[#This Row],[上班時間]])</f>
        <v>0</v>
      </c>
      <c r="O2998" s="31" t="str">
        <f>IF(交易處理資料__3[[#This Row],[上班時間]]=0,"否","是")</f>
        <v>否</v>
      </c>
    </row>
    <row r="2999" spans="1:15" hidden="1">
      <c r="A2999" t="s">
        <v>74</v>
      </c>
      <c r="B2999" t="s">
        <v>12</v>
      </c>
      <c r="C2999">
        <v>0</v>
      </c>
      <c r="D2999">
        <v>0</v>
      </c>
      <c r="E2999" s="27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 s="9">
        <v>45368</v>
      </c>
      <c r="L2999">
        <f xml:space="preserve"> (交易處理資料__3[[#This Row],[售出工時]] * 60) / 5</f>
        <v>0</v>
      </c>
      <c r="M2999" t="str">
        <f>VLOOKUP(交易處理資料__3[[#This Row],[人員代號]],團隊分組!$B$1:$C$52,2,FALSE)</f>
        <v>鈑金維修組</v>
      </c>
      <c r="N2999">
        <f>IF(交易處理資料__3[[#This Row],[上班時間]]=0,0,交易處理資料__3[[#This Row],[售出工時]]/交易處理資料__3[[#This Row],[上班時間]])</f>
        <v>0</v>
      </c>
      <c r="O2999" s="31" t="str">
        <f>IF(交易處理資料__3[[#This Row],[上班時間]]=0,"否","是")</f>
        <v>否</v>
      </c>
    </row>
    <row r="3000" spans="1:15" hidden="1">
      <c r="A3000" t="s">
        <v>74</v>
      </c>
      <c r="B3000" t="s">
        <v>13</v>
      </c>
      <c r="C3000">
        <v>0</v>
      </c>
      <c r="D3000">
        <v>0</v>
      </c>
      <c r="E3000" s="27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 s="9">
        <v>45368</v>
      </c>
      <c r="L3000">
        <f xml:space="preserve"> (交易處理資料__3[[#This Row],[售出工時]] * 60) / 5</f>
        <v>0</v>
      </c>
      <c r="M3000" t="str">
        <f>VLOOKUP(交易處理資料__3[[#This Row],[人員代號]],團隊分組!$B$1:$C$52,2,FALSE)</f>
        <v>鈑金維修組</v>
      </c>
      <c r="N3000">
        <f>IF(交易處理資料__3[[#This Row],[上班時間]]=0,0,交易處理資料__3[[#This Row],[售出工時]]/交易處理資料__3[[#This Row],[上班時間]])</f>
        <v>0</v>
      </c>
      <c r="O3000" s="31" t="str">
        <f>IF(交易處理資料__3[[#This Row],[上班時間]]=0,"否","是")</f>
        <v>否</v>
      </c>
    </row>
    <row r="3001" spans="1:15" hidden="1">
      <c r="A3001" t="s">
        <v>74</v>
      </c>
      <c r="B3001" t="s">
        <v>14</v>
      </c>
      <c r="C3001">
        <v>0</v>
      </c>
      <c r="D3001">
        <v>0</v>
      </c>
      <c r="E3001" s="27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 s="9">
        <v>45368</v>
      </c>
      <c r="L3001">
        <f xml:space="preserve"> (交易處理資料__3[[#This Row],[售出工時]] * 60) / 5</f>
        <v>0</v>
      </c>
      <c r="M3001" t="str">
        <f>VLOOKUP(交易處理資料__3[[#This Row],[人員代號]],團隊分組!$B$1:$C$52,2,FALSE)</f>
        <v>鈑金維修組</v>
      </c>
      <c r="N3001">
        <f>IF(交易處理資料__3[[#This Row],[上班時間]]=0,0,交易處理資料__3[[#This Row],[售出工時]]/交易處理資料__3[[#This Row],[上班時間]])</f>
        <v>0</v>
      </c>
      <c r="O3001" s="31" t="str">
        <f>IF(交易處理資料__3[[#This Row],[上班時間]]=0,"否","是")</f>
        <v>否</v>
      </c>
    </row>
    <row r="3002" spans="1:15" hidden="1">
      <c r="A3002" t="s">
        <v>74</v>
      </c>
      <c r="B3002" t="s">
        <v>15</v>
      </c>
      <c r="C3002">
        <v>0</v>
      </c>
      <c r="D3002">
        <v>0</v>
      </c>
      <c r="E3002" s="27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 s="9">
        <v>45368</v>
      </c>
      <c r="L3002">
        <f xml:space="preserve"> (交易處理資料__3[[#This Row],[售出工時]] * 60) / 5</f>
        <v>0</v>
      </c>
      <c r="M3002" t="str">
        <f>VLOOKUP(交易處理資料__3[[#This Row],[人員代號]],團隊分組!$B$1:$C$52,2,FALSE)</f>
        <v>鈑金維修組</v>
      </c>
      <c r="N3002">
        <f>IF(交易處理資料__3[[#This Row],[上班時間]]=0,0,交易處理資料__3[[#This Row],[售出工時]]/交易處理資料__3[[#This Row],[上班時間]])</f>
        <v>0</v>
      </c>
      <c r="O3002" s="31" t="str">
        <f>IF(交易處理資料__3[[#This Row],[上班時間]]=0,"否","是")</f>
        <v>否</v>
      </c>
    </row>
    <row r="3003" spans="1:15" hidden="1">
      <c r="A3003" t="s">
        <v>75</v>
      </c>
      <c r="B3003" t="s">
        <v>17</v>
      </c>
      <c r="C3003">
        <v>0</v>
      </c>
      <c r="D3003">
        <v>0</v>
      </c>
      <c r="E3003" s="27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 s="9">
        <v>45368</v>
      </c>
      <c r="L3003">
        <f xml:space="preserve"> (交易處理資料__3[[#This Row],[售出工時]] * 60) / 5</f>
        <v>0</v>
      </c>
      <c r="M3003" t="str">
        <f>VLOOKUP(交易處理資料__3[[#This Row],[人員代號]],團隊分組!$B$1:$C$52,2,FALSE)</f>
        <v>快速保養團隊A</v>
      </c>
      <c r="N3003">
        <f>IF(交易處理資料__3[[#This Row],[上班時間]]=0,0,交易處理資料__3[[#This Row],[售出工時]]/交易處理資料__3[[#This Row],[上班時間]])</f>
        <v>0</v>
      </c>
      <c r="O3003" s="31" t="str">
        <f>IF(交易處理資料__3[[#This Row],[上班時間]]=0,"否","是")</f>
        <v>否</v>
      </c>
    </row>
    <row r="3004" spans="1:15" hidden="1">
      <c r="A3004" t="s">
        <v>75</v>
      </c>
      <c r="B3004" t="s">
        <v>18</v>
      </c>
      <c r="C3004">
        <v>0</v>
      </c>
      <c r="D3004">
        <v>0</v>
      </c>
      <c r="E3004" s="27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 s="9">
        <v>45368</v>
      </c>
      <c r="L3004">
        <f xml:space="preserve"> (交易處理資料__3[[#This Row],[售出工時]] * 60) / 5</f>
        <v>0</v>
      </c>
      <c r="M3004" t="str">
        <f>VLOOKUP(交易處理資料__3[[#This Row],[人員代號]],團隊分組!$B$1:$C$52,2,FALSE)</f>
        <v>查修團隊B</v>
      </c>
      <c r="N3004">
        <f>IF(交易處理資料__3[[#This Row],[上班時間]]=0,0,交易處理資料__3[[#This Row],[售出工時]]/交易處理資料__3[[#This Row],[上班時間]])</f>
        <v>0</v>
      </c>
      <c r="O3004" s="31" t="str">
        <f>IF(交易處理資料__3[[#This Row],[上班時間]]=0,"否","是")</f>
        <v>否</v>
      </c>
    </row>
    <row r="3005" spans="1:15" hidden="1">
      <c r="A3005" t="s">
        <v>75</v>
      </c>
      <c r="B3005" t="s">
        <v>19</v>
      </c>
      <c r="C3005">
        <v>0</v>
      </c>
      <c r="D3005">
        <v>0</v>
      </c>
      <c r="E3005" s="27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 s="9">
        <v>45368</v>
      </c>
      <c r="L3005">
        <f xml:space="preserve"> (交易處理資料__3[[#This Row],[售出工時]] * 60) / 5</f>
        <v>0</v>
      </c>
      <c r="M3005" t="str">
        <f>VLOOKUP(交易處理資料__3[[#This Row],[人員代號]],團隊分組!$B$1:$C$52,2,FALSE)</f>
        <v>查修團隊A</v>
      </c>
      <c r="N3005">
        <f>IF(交易處理資料__3[[#This Row],[上班時間]]=0,0,交易處理資料__3[[#This Row],[售出工時]]/交易處理資料__3[[#This Row],[上班時間]])</f>
        <v>0</v>
      </c>
      <c r="O3005" s="31" t="str">
        <f>IF(交易處理資料__3[[#This Row],[上班時間]]=0,"否","是")</f>
        <v>否</v>
      </c>
    </row>
    <row r="3006" spans="1:15" hidden="1">
      <c r="A3006" t="s">
        <v>75</v>
      </c>
      <c r="B3006" t="s">
        <v>20</v>
      </c>
      <c r="C3006">
        <v>0</v>
      </c>
      <c r="D3006">
        <v>0</v>
      </c>
      <c r="E3006" s="27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 s="9">
        <v>45368</v>
      </c>
      <c r="L3006">
        <f xml:space="preserve"> (交易處理資料__3[[#This Row],[售出工時]] * 60) / 5</f>
        <v>0</v>
      </c>
      <c r="M3006" t="str">
        <f>VLOOKUP(交易處理資料__3[[#This Row],[人員代號]],團隊分組!$B$1:$C$52,2,FALSE)</f>
        <v>查修團隊B</v>
      </c>
      <c r="N3006">
        <f>IF(交易處理資料__3[[#This Row],[上班時間]]=0,0,交易處理資料__3[[#This Row],[售出工時]]/交易處理資料__3[[#This Row],[上班時間]])</f>
        <v>0</v>
      </c>
      <c r="O3006" s="31" t="str">
        <f>IF(交易處理資料__3[[#This Row],[上班時間]]=0,"否","是")</f>
        <v>否</v>
      </c>
    </row>
    <row r="3007" spans="1:15" hidden="1">
      <c r="A3007" t="s">
        <v>75</v>
      </c>
      <c r="B3007" t="s">
        <v>21</v>
      </c>
      <c r="C3007">
        <v>0</v>
      </c>
      <c r="D3007">
        <v>0</v>
      </c>
      <c r="E3007" s="2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 s="9">
        <v>45368</v>
      </c>
      <c r="L3007">
        <f xml:space="preserve"> (交易處理資料__3[[#This Row],[售出工時]] * 60) / 5</f>
        <v>0</v>
      </c>
      <c r="M3007" t="str">
        <f>VLOOKUP(交易處理資料__3[[#This Row],[人員代號]],團隊分組!$B$1:$C$52,2,FALSE)</f>
        <v>查修團隊B</v>
      </c>
      <c r="N3007">
        <f>IF(交易處理資料__3[[#This Row],[上班時間]]=0,0,交易處理資料__3[[#This Row],[售出工時]]/交易處理資料__3[[#This Row],[上班時間]])</f>
        <v>0</v>
      </c>
      <c r="O3007" s="31" t="str">
        <f>IF(交易處理資料__3[[#This Row],[上班時間]]=0,"否","是")</f>
        <v>否</v>
      </c>
    </row>
    <row r="3008" spans="1:15" hidden="1">
      <c r="A3008" t="s">
        <v>75</v>
      </c>
      <c r="B3008" t="s">
        <v>22</v>
      </c>
      <c r="C3008">
        <v>0</v>
      </c>
      <c r="D3008">
        <v>0</v>
      </c>
      <c r="E3008" s="27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 s="9">
        <v>45368</v>
      </c>
      <c r="L3008">
        <f xml:space="preserve"> (交易處理資料__3[[#This Row],[售出工時]] * 60) / 5</f>
        <v>0</v>
      </c>
      <c r="M3008" t="str">
        <f>VLOOKUP(交易處理資料__3[[#This Row],[人員代號]],團隊分組!$B$1:$C$52,2,FALSE)</f>
        <v>快速保養團隊A</v>
      </c>
      <c r="N3008">
        <f>IF(交易處理資料__3[[#This Row],[上班時間]]=0,0,交易處理資料__3[[#This Row],[售出工時]]/交易處理資料__3[[#This Row],[上班時間]])</f>
        <v>0</v>
      </c>
      <c r="O3008" s="31" t="str">
        <f>IF(交易處理資料__3[[#This Row],[上班時間]]=0,"否","是")</f>
        <v>否</v>
      </c>
    </row>
    <row r="3009" spans="1:15" hidden="1">
      <c r="A3009" t="s">
        <v>75</v>
      </c>
      <c r="B3009" t="s">
        <v>23</v>
      </c>
      <c r="C3009">
        <v>0</v>
      </c>
      <c r="D3009">
        <v>0</v>
      </c>
      <c r="E3009" s="27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 s="9">
        <v>45368</v>
      </c>
      <c r="L3009">
        <f xml:space="preserve"> (交易處理資料__3[[#This Row],[售出工時]] * 60) / 5</f>
        <v>0</v>
      </c>
      <c r="M3009" t="str">
        <f>VLOOKUP(交易處理資料__3[[#This Row],[人員代號]],團隊分組!$B$1:$C$52,2,FALSE)</f>
        <v>快速保養團隊B</v>
      </c>
      <c r="N3009">
        <f>IF(交易處理資料__3[[#This Row],[上班時間]]=0,0,交易處理資料__3[[#This Row],[售出工時]]/交易處理資料__3[[#This Row],[上班時間]])</f>
        <v>0</v>
      </c>
      <c r="O3009" s="31" t="str">
        <f>IF(交易處理資料__3[[#This Row],[上班時間]]=0,"否","是")</f>
        <v>否</v>
      </c>
    </row>
    <row r="3010" spans="1:15" hidden="1">
      <c r="A3010" t="s">
        <v>75</v>
      </c>
      <c r="B3010" t="s">
        <v>24</v>
      </c>
      <c r="C3010">
        <v>0</v>
      </c>
      <c r="D3010">
        <v>0</v>
      </c>
      <c r="E3010" s="27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 s="9">
        <v>45368</v>
      </c>
      <c r="L3010">
        <f xml:space="preserve"> (交易處理資料__3[[#This Row],[售出工時]] * 60) / 5</f>
        <v>0</v>
      </c>
      <c r="M3010" t="str">
        <f>VLOOKUP(交易處理資料__3[[#This Row],[人員代號]],團隊分組!$B$1:$C$52,2,FALSE)</f>
        <v>快速保養團隊A</v>
      </c>
      <c r="N3010">
        <f>IF(交易處理資料__3[[#This Row],[上班時間]]=0,0,交易處理資料__3[[#This Row],[售出工時]]/交易處理資料__3[[#This Row],[上班時間]])</f>
        <v>0</v>
      </c>
      <c r="O3010" s="31" t="str">
        <f>IF(交易處理資料__3[[#This Row],[上班時間]]=0,"否","是")</f>
        <v>否</v>
      </c>
    </row>
    <row r="3011" spans="1:15" hidden="1">
      <c r="A3011" t="s">
        <v>75</v>
      </c>
      <c r="B3011" t="s">
        <v>25</v>
      </c>
      <c r="C3011">
        <v>0</v>
      </c>
      <c r="D3011">
        <v>0</v>
      </c>
      <c r="E3011" s="27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 s="9">
        <v>45368</v>
      </c>
      <c r="L3011">
        <f xml:space="preserve"> (交易處理資料__3[[#This Row],[售出工時]] * 60) / 5</f>
        <v>0</v>
      </c>
      <c r="M3011" t="str">
        <f>VLOOKUP(交易處理資料__3[[#This Row],[人員代號]],團隊分組!$B$1:$C$52,2,FALSE)</f>
        <v>查修團隊A</v>
      </c>
      <c r="N3011">
        <f>IF(交易處理資料__3[[#This Row],[上班時間]]=0,0,交易處理資料__3[[#This Row],[售出工時]]/交易處理資料__3[[#This Row],[上班時間]])</f>
        <v>0</v>
      </c>
      <c r="O3011" s="31" t="str">
        <f>IF(交易處理資料__3[[#This Row],[上班時間]]=0,"否","是")</f>
        <v>否</v>
      </c>
    </row>
    <row r="3012" spans="1:15" hidden="1">
      <c r="A3012" t="s">
        <v>75</v>
      </c>
      <c r="B3012" t="s">
        <v>26</v>
      </c>
      <c r="C3012">
        <v>0</v>
      </c>
      <c r="D3012">
        <v>0</v>
      </c>
      <c r="E3012" s="27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 s="9">
        <v>45368</v>
      </c>
      <c r="L3012">
        <f xml:space="preserve"> (交易處理資料__3[[#This Row],[售出工時]] * 60) / 5</f>
        <v>0</v>
      </c>
      <c r="M3012" t="str">
        <f>VLOOKUP(交易處理資料__3[[#This Row],[人員代號]],團隊分組!$B$1:$C$52,2,FALSE)</f>
        <v>查修團隊B</v>
      </c>
      <c r="N3012">
        <f>IF(交易處理資料__3[[#This Row],[上班時間]]=0,0,交易處理資料__3[[#This Row],[售出工時]]/交易處理資料__3[[#This Row],[上班時間]])</f>
        <v>0</v>
      </c>
      <c r="O3012" s="31" t="str">
        <f>IF(交易處理資料__3[[#This Row],[上班時間]]=0,"否","是")</f>
        <v>否</v>
      </c>
    </row>
    <row r="3013" spans="1:15" hidden="1">
      <c r="A3013" t="s">
        <v>75</v>
      </c>
      <c r="B3013" t="s">
        <v>27</v>
      </c>
      <c r="C3013">
        <v>0</v>
      </c>
      <c r="D3013">
        <v>0</v>
      </c>
      <c r="E3013" s="27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 s="9">
        <v>45368</v>
      </c>
      <c r="L3013">
        <f xml:space="preserve"> (交易處理資料__3[[#This Row],[售出工時]] * 60) / 5</f>
        <v>0</v>
      </c>
      <c r="M3013" t="str">
        <f>VLOOKUP(交易處理資料__3[[#This Row],[人員代號]],團隊分組!$B$1:$C$52,2,FALSE)</f>
        <v>快速保養團隊B</v>
      </c>
      <c r="N3013">
        <f>IF(交易處理資料__3[[#This Row],[上班時間]]=0,0,交易處理資料__3[[#This Row],[售出工時]]/交易處理資料__3[[#This Row],[上班時間]])</f>
        <v>0</v>
      </c>
      <c r="O3013" s="31" t="str">
        <f>IF(交易處理資料__3[[#This Row],[上班時間]]=0,"否","是")</f>
        <v>否</v>
      </c>
    </row>
    <row r="3014" spans="1:15" hidden="1">
      <c r="A3014" t="s">
        <v>75</v>
      </c>
      <c r="B3014" t="s">
        <v>28</v>
      </c>
      <c r="C3014">
        <v>0</v>
      </c>
      <c r="D3014">
        <v>0</v>
      </c>
      <c r="E3014" s="27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 s="9">
        <v>45368</v>
      </c>
      <c r="L3014">
        <f xml:space="preserve"> (交易處理資料__3[[#This Row],[售出工時]] * 60) / 5</f>
        <v>0</v>
      </c>
      <c r="M3014" t="str">
        <f>VLOOKUP(交易處理資料__3[[#This Row],[人員代號]],團隊分組!$B$1:$C$52,2,FALSE)</f>
        <v>快速保養團隊A</v>
      </c>
      <c r="N3014">
        <f>IF(交易處理資料__3[[#This Row],[上班時間]]=0,0,交易處理資料__3[[#This Row],[售出工時]]/交易處理資料__3[[#This Row],[上班時間]])</f>
        <v>0</v>
      </c>
      <c r="O3014" s="31" t="str">
        <f>IF(交易處理資料__3[[#This Row],[上班時間]]=0,"否","是")</f>
        <v>否</v>
      </c>
    </row>
    <row r="3015" spans="1:15" hidden="1">
      <c r="A3015" t="s">
        <v>75</v>
      </c>
      <c r="B3015" t="s">
        <v>29</v>
      </c>
      <c r="C3015">
        <v>0</v>
      </c>
      <c r="D3015">
        <v>0</v>
      </c>
      <c r="E3015" s="27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 s="9">
        <v>45368</v>
      </c>
      <c r="L3015">
        <f xml:space="preserve"> (交易處理資料__3[[#This Row],[售出工時]] * 60) / 5</f>
        <v>0</v>
      </c>
      <c r="M3015" t="str">
        <f>VLOOKUP(交易處理資料__3[[#This Row],[人員代號]],團隊分組!$B$1:$C$52,2,FALSE)</f>
        <v>查修團隊B</v>
      </c>
      <c r="N3015">
        <f>IF(交易處理資料__3[[#This Row],[上班時間]]=0,0,交易處理資料__3[[#This Row],[售出工時]]/交易處理資料__3[[#This Row],[上班時間]])</f>
        <v>0</v>
      </c>
      <c r="O3015" s="31" t="str">
        <f>IF(交易處理資料__3[[#This Row],[上班時間]]=0,"否","是")</f>
        <v>否</v>
      </c>
    </row>
    <row r="3016" spans="1:15" hidden="1">
      <c r="A3016" t="s">
        <v>75</v>
      </c>
      <c r="B3016" t="s">
        <v>30</v>
      </c>
      <c r="C3016">
        <v>0</v>
      </c>
      <c r="D3016">
        <v>0</v>
      </c>
      <c r="E3016" s="27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 s="9">
        <v>45368</v>
      </c>
      <c r="L3016">
        <f xml:space="preserve"> (交易處理資料__3[[#This Row],[售出工時]] * 60) / 5</f>
        <v>0</v>
      </c>
      <c r="M3016" t="str">
        <f>VLOOKUP(交易處理資料__3[[#This Row],[人員代號]],團隊分組!$B$1:$C$52,2,FALSE)</f>
        <v>快速保養團隊B</v>
      </c>
      <c r="N3016">
        <f>IF(交易處理資料__3[[#This Row],[上班時間]]=0,0,交易處理資料__3[[#This Row],[售出工時]]/交易處理資料__3[[#This Row],[上班時間]])</f>
        <v>0</v>
      </c>
      <c r="O3016" s="31" t="str">
        <f>IF(交易處理資料__3[[#This Row],[上班時間]]=0,"否","是")</f>
        <v>否</v>
      </c>
    </row>
    <row r="3017" spans="1:15" hidden="1">
      <c r="A3017" t="s">
        <v>75</v>
      </c>
      <c r="B3017" t="s">
        <v>32</v>
      </c>
      <c r="C3017">
        <v>0</v>
      </c>
      <c r="D3017">
        <v>0</v>
      </c>
      <c r="E3017" s="2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 s="9">
        <v>45368</v>
      </c>
      <c r="L3017">
        <f xml:space="preserve"> (交易處理資料__3[[#This Row],[售出工時]] * 60) / 5</f>
        <v>0</v>
      </c>
      <c r="M3017" t="str">
        <f>VLOOKUP(交易處理資料__3[[#This Row],[人員代號]],團隊分組!$B$1:$C$52,2,FALSE)</f>
        <v>快速保養團隊B</v>
      </c>
      <c r="N3017">
        <f>IF(交易處理資料__3[[#This Row],[上班時間]]=0,0,交易處理資料__3[[#This Row],[售出工時]]/交易處理資料__3[[#This Row],[上班時間]])</f>
        <v>0</v>
      </c>
      <c r="O3017" s="31" t="str">
        <f>IF(交易處理資料__3[[#This Row],[上班時間]]=0,"否","是")</f>
        <v>否</v>
      </c>
    </row>
    <row r="3018" spans="1:15">
      <c r="A3018" t="s">
        <v>75</v>
      </c>
      <c r="B3018" t="s">
        <v>33</v>
      </c>
      <c r="C3018">
        <v>0</v>
      </c>
      <c r="D3018">
        <v>0</v>
      </c>
      <c r="E3018" s="27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 s="9">
        <v>45368</v>
      </c>
      <c r="L3018">
        <f xml:space="preserve"> (交易處理資料__3[[#This Row],[售出工時]] * 60) / 5</f>
        <v>0</v>
      </c>
      <c r="M3018" t="str">
        <f>VLOOKUP(交易處理資料__3[[#This Row],[人員代號]],團隊分組!$B$1:$C$52,2,FALSE)</f>
        <v>快速保養團隊B</v>
      </c>
      <c r="N3018">
        <f>IF(交易處理資料__3[[#This Row],[上班時間]]=0,0,交易處理資料__3[[#This Row],[售出工時]]/交易處理資料__3[[#This Row],[上班時間]])</f>
        <v>0</v>
      </c>
      <c r="O3018" s="31" t="str">
        <f>IF(交易處理資料__3[[#This Row],[上班時間]]=0,"否","是")</f>
        <v>否</v>
      </c>
    </row>
    <row r="3019" spans="1:15" hidden="1">
      <c r="A3019" t="s">
        <v>75</v>
      </c>
      <c r="B3019" t="s">
        <v>34</v>
      </c>
      <c r="C3019">
        <v>0</v>
      </c>
      <c r="D3019">
        <v>0</v>
      </c>
      <c r="E3019" s="27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 s="9">
        <v>45368</v>
      </c>
      <c r="L3019">
        <f xml:space="preserve"> (交易處理資料__3[[#This Row],[售出工時]] * 60) / 5</f>
        <v>0</v>
      </c>
      <c r="M3019" t="str">
        <f>VLOOKUP(交易處理資料__3[[#This Row],[人員代號]],團隊分組!$B$1:$C$52,2,FALSE)</f>
        <v>快速保養團隊A</v>
      </c>
      <c r="N3019">
        <f>IF(交易處理資料__3[[#This Row],[上班時間]]=0,0,交易處理資料__3[[#This Row],[售出工時]]/交易處理資料__3[[#This Row],[上班時間]])</f>
        <v>0</v>
      </c>
      <c r="O3019" s="31" t="str">
        <f>IF(交易處理資料__3[[#This Row],[上班時間]]=0,"否","是")</f>
        <v>否</v>
      </c>
    </row>
    <row r="3020" spans="1:15" hidden="1">
      <c r="A3020" t="s">
        <v>75</v>
      </c>
      <c r="B3020" t="s">
        <v>35</v>
      </c>
      <c r="C3020">
        <v>0</v>
      </c>
      <c r="D3020">
        <v>0</v>
      </c>
      <c r="E3020" s="27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 s="9">
        <v>45368</v>
      </c>
      <c r="L3020">
        <f xml:space="preserve"> (交易處理資料__3[[#This Row],[售出工時]] * 60) / 5</f>
        <v>0</v>
      </c>
      <c r="M3020" t="str">
        <f>VLOOKUP(交易處理資料__3[[#This Row],[人員代號]],團隊分組!$B$1:$C$52,2,FALSE)</f>
        <v>查修團隊B</v>
      </c>
      <c r="N3020">
        <f>IF(交易處理資料__3[[#This Row],[上班時間]]=0,0,交易處理資料__3[[#This Row],[售出工時]]/交易處理資料__3[[#This Row],[上班時間]])</f>
        <v>0</v>
      </c>
      <c r="O3020" s="31" t="str">
        <f>IF(交易處理資料__3[[#This Row],[上班時間]]=0,"否","是")</f>
        <v>否</v>
      </c>
    </row>
    <row r="3021" spans="1:15" hidden="1">
      <c r="A3021" t="s">
        <v>75</v>
      </c>
      <c r="B3021" t="s">
        <v>36</v>
      </c>
      <c r="C3021">
        <v>0</v>
      </c>
      <c r="D3021">
        <v>0</v>
      </c>
      <c r="E3021" s="27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 s="9">
        <v>45368</v>
      </c>
      <c r="L3021">
        <f xml:space="preserve"> (交易處理資料__3[[#This Row],[售出工時]] * 60) / 5</f>
        <v>0</v>
      </c>
      <c r="M3021" t="str">
        <f>VLOOKUP(交易處理資料__3[[#This Row],[人員代號]],團隊分組!$B$1:$C$52,2,FALSE)</f>
        <v>查修團隊B</v>
      </c>
      <c r="N3021">
        <f>IF(交易處理資料__3[[#This Row],[上班時間]]=0,0,交易處理資料__3[[#This Row],[售出工時]]/交易處理資料__3[[#This Row],[上班時間]])</f>
        <v>0</v>
      </c>
      <c r="O3021" s="31" t="str">
        <f>IF(交易處理資料__3[[#This Row],[上班時間]]=0,"否","是")</f>
        <v>否</v>
      </c>
    </row>
    <row r="3022" spans="1:15" hidden="1">
      <c r="A3022" t="s">
        <v>75</v>
      </c>
      <c r="B3022" t="s">
        <v>37</v>
      </c>
      <c r="C3022">
        <v>0</v>
      </c>
      <c r="D3022">
        <v>0</v>
      </c>
      <c r="E3022" s="27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 s="9">
        <v>45368</v>
      </c>
      <c r="L3022">
        <f xml:space="preserve"> (交易處理資料__3[[#This Row],[售出工時]] * 60) / 5</f>
        <v>0</v>
      </c>
      <c r="M3022" t="str">
        <f>VLOOKUP(交易處理資料__3[[#This Row],[人員代號]],團隊分組!$B$1:$C$52,2,FALSE)</f>
        <v>查修團隊A</v>
      </c>
      <c r="N3022">
        <f>IF(交易處理資料__3[[#This Row],[上班時間]]=0,0,交易處理資料__3[[#This Row],[售出工時]]/交易處理資料__3[[#This Row],[上班時間]])</f>
        <v>0</v>
      </c>
      <c r="O3022" s="31" t="str">
        <f>IF(交易處理資料__3[[#This Row],[上班時間]]=0,"否","是")</f>
        <v>否</v>
      </c>
    </row>
    <row r="3023" spans="1:15" hidden="1">
      <c r="A3023" t="s">
        <v>75</v>
      </c>
      <c r="B3023" t="s">
        <v>38</v>
      </c>
      <c r="C3023">
        <v>0</v>
      </c>
      <c r="D3023">
        <v>0</v>
      </c>
      <c r="E3023" s="27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 s="9">
        <v>45368</v>
      </c>
      <c r="L3023">
        <f xml:space="preserve"> (交易處理資料__3[[#This Row],[售出工時]] * 60) / 5</f>
        <v>0</v>
      </c>
      <c r="M3023" t="str">
        <f>VLOOKUP(交易處理資料__3[[#This Row],[人員代號]],團隊分組!$B$1:$C$52,2,FALSE)</f>
        <v>快速保養團隊A</v>
      </c>
      <c r="N3023">
        <f>IF(交易處理資料__3[[#This Row],[上班時間]]=0,0,交易處理資料__3[[#This Row],[售出工時]]/交易處理資料__3[[#This Row],[上班時間]])</f>
        <v>0</v>
      </c>
      <c r="O3023" s="31" t="str">
        <f>IF(交易處理資料__3[[#This Row],[上班時間]]=0,"否","是")</f>
        <v>否</v>
      </c>
    </row>
    <row r="3024" spans="1:15" hidden="1">
      <c r="A3024" t="s">
        <v>75</v>
      </c>
      <c r="B3024" t="s">
        <v>39</v>
      </c>
      <c r="C3024">
        <v>0</v>
      </c>
      <c r="D3024">
        <v>0</v>
      </c>
      <c r="E3024" s="27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 s="9">
        <v>45368</v>
      </c>
      <c r="L3024">
        <f xml:space="preserve"> (交易處理資料__3[[#This Row],[售出工時]] * 60) / 5</f>
        <v>0</v>
      </c>
      <c r="M3024" t="str">
        <f>VLOOKUP(交易處理資料__3[[#This Row],[人員代號]],團隊分組!$B$1:$C$52,2,FALSE)</f>
        <v>查修團隊A</v>
      </c>
      <c r="N3024">
        <f>IF(交易處理資料__3[[#This Row],[上班時間]]=0,0,交易處理資料__3[[#This Row],[售出工時]]/交易處理資料__3[[#This Row],[上班時間]])</f>
        <v>0</v>
      </c>
      <c r="O3024" s="31" t="str">
        <f>IF(交易處理資料__3[[#This Row],[上班時間]]=0,"否","是")</f>
        <v>否</v>
      </c>
    </row>
    <row r="3025" spans="1:15" hidden="1">
      <c r="A3025" t="s">
        <v>75</v>
      </c>
      <c r="B3025" t="s">
        <v>40</v>
      </c>
      <c r="C3025">
        <v>0</v>
      </c>
      <c r="D3025">
        <v>0</v>
      </c>
      <c r="E3025" s="27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 s="9">
        <v>45368</v>
      </c>
      <c r="L3025">
        <f xml:space="preserve"> (交易處理資料__3[[#This Row],[售出工時]] * 60) / 5</f>
        <v>0</v>
      </c>
      <c r="M3025" t="str">
        <f>VLOOKUP(交易處理資料__3[[#This Row],[人員代號]],團隊分組!$B$1:$C$52,2,FALSE)</f>
        <v>查修團隊A</v>
      </c>
      <c r="N3025">
        <f>IF(交易處理資料__3[[#This Row],[上班時間]]=0,0,交易處理資料__3[[#This Row],[售出工時]]/交易處理資料__3[[#This Row],[上班時間]])</f>
        <v>0</v>
      </c>
      <c r="O3025" s="31" t="str">
        <f>IF(交易處理資料__3[[#This Row],[上班時間]]=0,"否","是")</f>
        <v>否</v>
      </c>
    </row>
    <row r="3026" spans="1:15" hidden="1">
      <c r="A3026" t="s">
        <v>75</v>
      </c>
      <c r="B3026" t="s">
        <v>41</v>
      </c>
      <c r="C3026">
        <v>0</v>
      </c>
      <c r="D3026">
        <v>0</v>
      </c>
      <c r="E3026" s="27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 s="9">
        <v>45368</v>
      </c>
      <c r="L3026">
        <f xml:space="preserve"> (交易處理資料__3[[#This Row],[售出工時]] * 60) / 5</f>
        <v>0</v>
      </c>
      <c r="M3026" t="str">
        <f>VLOOKUP(交易處理資料__3[[#This Row],[人員代號]],團隊分組!$B$1:$C$52,2,FALSE)</f>
        <v>快速保養團隊A</v>
      </c>
      <c r="N3026">
        <f>IF(交易處理資料__3[[#This Row],[上班時間]]=0,0,交易處理資料__3[[#This Row],[售出工時]]/交易處理資料__3[[#This Row],[上班時間]])</f>
        <v>0</v>
      </c>
      <c r="O3026" s="31" t="str">
        <f>IF(交易處理資料__3[[#This Row],[上班時間]]=0,"否","是")</f>
        <v>否</v>
      </c>
    </row>
    <row r="3027" spans="1:15" hidden="1">
      <c r="A3027" t="s">
        <v>75</v>
      </c>
      <c r="B3027" t="s">
        <v>42</v>
      </c>
      <c r="C3027">
        <v>0</v>
      </c>
      <c r="D3027">
        <v>0</v>
      </c>
      <c r="E3027" s="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 s="9">
        <v>45368</v>
      </c>
      <c r="L3027">
        <f xml:space="preserve"> (交易處理資料__3[[#This Row],[售出工時]] * 60) / 5</f>
        <v>0</v>
      </c>
      <c r="M3027" t="str">
        <f>VLOOKUP(交易處理資料__3[[#This Row],[人員代號]],團隊分組!$B$1:$C$52,2,FALSE)</f>
        <v>快速保養團隊A</v>
      </c>
      <c r="N3027">
        <f>IF(交易處理資料__3[[#This Row],[上班時間]]=0,0,交易處理資料__3[[#This Row],[售出工時]]/交易處理資料__3[[#This Row],[上班時間]])</f>
        <v>0</v>
      </c>
      <c r="O3027" s="31" t="str">
        <f>IF(交易處理資料__3[[#This Row],[上班時間]]=0,"否","是")</f>
        <v>否</v>
      </c>
    </row>
    <row r="3028" spans="1:15" hidden="1">
      <c r="A3028" t="s">
        <v>75</v>
      </c>
      <c r="B3028" t="s">
        <v>43</v>
      </c>
      <c r="C3028">
        <v>0</v>
      </c>
      <c r="D3028">
        <v>0</v>
      </c>
      <c r="E3028" s="27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 s="9">
        <v>45368</v>
      </c>
      <c r="L3028">
        <f xml:space="preserve"> (交易處理資料__3[[#This Row],[售出工時]] * 60) / 5</f>
        <v>0</v>
      </c>
      <c r="M3028" t="str">
        <f>VLOOKUP(交易處理資料__3[[#This Row],[人員代號]],團隊分組!$B$1:$C$52,2,FALSE)</f>
        <v>查修團隊B</v>
      </c>
      <c r="N3028">
        <f>IF(交易處理資料__3[[#This Row],[上班時間]]=0,0,交易處理資料__3[[#This Row],[售出工時]]/交易處理資料__3[[#This Row],[上班時間]])</f>
        <v>0</v>
      </c>
      <c r="O3028" s="31" t="str">
        <f>IF(交易處理資料__3[[#This Row],[上班時間]]=0,"否","是")</f>
        <v>否</v>
      </c>
    </row>
    <row r="3029" spans="1:15" hidden="1">
      <c r="A3029" t="s">
        <v>75</v>
      </c>
      <c r="B3029" t="s">
        <v>44</v>
      </c>
      <c r="C3029">
        <v>0</v>
      </c>
      <c r="D3029">
        <v>0</v>
      </c>
      <c r="E3029" s="27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 s="9">
        <v>45368</v>
      </c>
      <c r="L3029">
        <f xml:space="preserve"> (交易處理資料__3[[#This Row],[售出工時]] * 60) / 5</f>
        <v>0</v>
      </c>
      <c r="M3029" t="str">
        <f>VLOOKUP(交易處理資料__3[[#This Row],[人員代號]],團隊分組!$B$1:$C$52,2,FALSE)</f>
        <v>快速保養團隊B</v>
      </c>
      <c r="N3029">
        <f>IF(交易處理資料__3[[#This Row],[上班時間]]=0,0,交易處理資料__3[[#This Row],[售出工時]]/交易處理資料__3[[#This Row],[上班時間]])</f>
        <v>0</v>
      </c>
      <c r="O3029" s="31" t="str">
        <f>IF(交易處理資料__3[[#This Row],[上班時間]]=0,"否","是")</f>
        <v>否</v>
      </c>
    </row>
    <row r="3030" spans="1:15" hidden="1">
      <c r="A3030" t="s">
        <v>75</v>
      </c>
      <c r="B3030" t="s">
        <v>45</v>
      </c>
      <c r="C3030">
        <v>0</v>
      </c>
      <c r="D3030">
        <v>0</v>
      </c>
      <c r="E3030" s="27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 s="9">
        <v>45368</v>
      </c>
      <c r="L3030">
        <f xml:space="preserve"> (交易處理資料__3[[#This Row],[售出工時]] * 60) / 5</f>
        <v>0</v>
      </c>
      <c r="M3030" t="str">
        <f>VLOOKUP(交易處理資料__3[[#This Row],[人員代號]],團隊分組!$B$1:$C$52,2,FALSE)</f>
        <v>快速保養團隊A</v>
      </c>
      <c r="N3030">
        <f>IF(交易處理資料__3[[#This Row],[上班時間]]=0,0,交易處理資料__3[[#This Row],[售出工時]]/交易處理資料__3[[#This Row],[上班時間]])</f>
        <v>0</v>
      </c>
      <c r="O3030" s="31" t="str">
        <f>IF(交易處理資料__3[[#This Row],[上班時間]]=0,"否","是")</f>
        <v>否</v>
      </c>
    </row>
    <row r="3031" spans="1:15" hidden="1">
      <c r="A3031" t="s">
        <v>75</v>
      </c>
      <c r="B3031" t="s">
        <v>46</v>
      </c>
      <c r="C3031">
        <v>0</v>
      </c>
      <c r="D3031">
        <v>0</v>
      </c>
      <c r="E3031" s="27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 s="9">
        <v>45368</v>
      </c>
      <c r="L3031">
        <f xml:space="preserve"> (交易處理資料__3[[#This Row],[售出工時]] * 60) / 5</f>
        <v>0</v>
      </c>
      <c r="M3031" t="str">
        <f>VLOOKUP(交易處理資料__3[[#This Row],[人員代號]],團隊分組!$B$1:$C$52,2,FALSE)</f>
        <v>查修團隊B</v>
      </c>
      <c r="N3031">
        <f>IF(交易處理資料__3[[#This Row],[上班時間]]=0,0,交易處理資料__3[[#This Row],[售出工時]]/交易處理資料__3[[#This Row],[上班時間]])</f>
        <v>0</v>
      </c>
      <c r="O3031" s="31" t="str">
        <f>IF(交易處理資料__3[[#This Row],[上班時間]]=0,"否","是")</f>
        <v>否</v>
      </c>
    </row>
    <row r="3032" spans="1:15" hidden="1">
      <c r="A3032" t="s">
        <v>75</v>
      </c>
      <c r="B3032" t="s">
        <v>47</v>
      </c>
      <c r="C3032">
        <v>0</v>
      </c>
      <c r="D3032">
        <v>0</v>
      </c>
      <c r="E3032" s="27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 s="9">
        <v>45368</v>
      </c>
      <c r="L3032">
        <f xml:space="preserve"> (交易處理資料__3[[#This Row],[售出工時]] * 60) / 5</f>
        <v>0</v>
      </c>
      <c r="M3032" t="str">
        <f>VLOOKUP(交易處理資料__3[[#This Row],[人員代號]],團隊分組!$B$1:$C$52,2,FALSE)</f>
        <v>查修團隊B</v>
      </c>
      <c r="N3032">
        <f>IF(交易處理資料__3[[#This Row],[上班時間]]=0,0,交易處理資料__3[[#This Row],[售出工時]]/交易處理資料__3[[#This Row],[上班時間]])</f>
        <v>0</v>
      </c>
      <c r="O3032" s="31" t="str">
        <f>IF(交易處理資料__3[[#This Row],[上班時間]]=0,"否","是")</f>
        <v>否</v>
      </c>
    </row>
    <row r="3033" spans="1:15" hidden="1">
      <c r="A3033" t="s">
        <v>75</v>
      </c>
      <c r="B3033" t="s">
        <v>48</v>
      </c>
      <c r="C3033">
        <v>0</v>
      </c>
      <c r="D3033">
        <v>0</v>
      </c>
      <c r="E3033" s="27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 s="9">
        <v>45368</v>
      </c>
      <c r="L3033">
        <f xml:space="preserve"> (交易處理資料__3[[#This Row],[售出工時]] * 60) / 5</f>
        <v>0</v>
      </c>
      <c r="M3033" t="str">
        <f>VLOOKUP(交易處理資料__3[[#This Row],[人員代號]],團隊分組!$B$1:$C$52,2,FALSE)</f>
        <v>查修團隊A</v>
      </c>
      <c r="N3033">
        <f>IF(交易處理資料__3[[#This Row],[上班時間]]=0,0,交易處理資料__3[[#This Row],[售出工時]]/交易處理資料__3[[#This Row],[上班時間]])</f>
        <v>0</v>
      </c>
      <c r="O3033" s="31" t="str">
        <f>IF(交易處理資料__3[[#This Row],[上班時間]]=0,"否","是")</f>
        <v>否</v>
      </c>
    </row>
    <row r="3034" spans="1:15" hidden="1">
      <c r="A3034" t="s">
        <v>75</v>
      </c>
      <c r="B3034" t="s">
        <v>49</v>
      </c>
      <c r="C3034">
        <v>0</v>
      </c>
      <c r="D3034">
        <v>0</v>
      </c>
      <c r="E3034" s="27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 s="9">
        <v>45368</v>
      </c>
      <c r="L3034">
        <f xml:space="preserve"> (交易處理資料__3[[#This Row],[售出工時]] * 60) / 5</f>
        <v>0</v>
      </c>
      <c r="M3034" t="str">
        <f>VLOOKUP(交易處理資料__3[[#This Row],[人員代號]],團隊分組!$B$1:$C$52,2,FALSE)</f>
        <v>查修團隊A</v>
      </c>
      <c r="N3034">
        <f>IF(交易處理資料__3[[#This Row],[上班時間]]=0,0,交易處理資料__3[[#This Row],[售出工時]]/交易處理資料__3[[#This Row],[上班時間]])</f>
        <v>0</v>
      </c>
      <c r="O3034" s="31" t="str">
        <f>IF(交易處理資料__3[[#This Row],[上班時間]]=0,"否","是")</f>
        <v>否</v>
      </c>
    </row>
    <row r="3035" spans="1:15" hidden="1">
      <c r="A3035" t="s">
        <v>75</v>
      </c>
      <c r="B3035" t="s">
        <v>50</v>
      </c>
      <c r="C3035">
        <v>0</v>
      </c>
      <c r="D3035">
        <v>0</v>
      </c>
      <c r="E3035" s="27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 s="9">
        <v>45368</v>
      </c>
      <c r="L3035">
        <f xml:space="preserve"> (交易處理資料__3[[#This Row],[售出工時]] * 60) / 5</f>
        <v>0</v>
      </c>
      <c r="M3035" t="str">
        <f>VLOOKUP(交易處理資料__3[[#This Row],[人員代號]],團隊分組!$B$1:$C$52,2,FALSE)</f>
        <v>快速保養團隊B</v>
      </c>
      <c r="N3035">
        <f>IF(交易處理資料__3[[#This Row],[上班時間]]=0,0,交易處理資料__3[[#This Row],[售出工時]]/交易處理資料__3[[#This Row],[上班時間]])</f>
        <v>0</v>
      </c>
      <c r="O3035" s="31" t="str">
        <f>IF(交易處理資料__3[[#This Row],[上班時間]]=0,"否","是")</f>
        <v>否</v>
      </c>
    </row>
    <row r="3036" spans="1:15" hidden="1">
      <c r="A3036" t="s">
        <v>75</v>
      </c>
      <c r="B3036" t="s">
        <v>51</v>
      </c>
      <c r="C3036">
        <v>0</v>
      </c>
      <c r="D3036">
        <v>0</v>
      </c>
      <c r="E3036" s="27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 s="9">
        <v>45368</v>
      </c>
      <c r="L3036">
        <f xml:space="preserve"> (交易處理資料__3[[#This Row],[售出工時]] * 60) / 5</f>
        <v>0</v>
      </c>
      <c r="M3036" t="str">
        <f>VLOOKUP(交易處理資料__3[[#This Row],[人員代號]],團隊分組!$B$1:$C$52,2,FALSE)</f>
        <v>無效數據</v>
      </c>
      <c r="N3036">
        <f>IF(交易處理資料__3[[#This Row],[上班時間]]=0,0,交易處理資料__3[[#This Row],[售出工時]]/交易處理資料__3[[#This Row],[上班時間]])</f>
        <v>0</v>
      </c>
      <c r="O3036" s="31" t="str">
        <f>IF(交易處理資料__3[[#This Row],[上班時間]]=0,"否","是")</f>
        <v>否</v>
      </c>
    </row>
    <row r="3037" spans="1:15" hidden="1">
      <c r="A3037" t="s">
        <v>75</v>
      </c>
      <c r="B3037" t="s">
        <v>52</v>
      </c>
      <c r="C3037">
        <v>0</v>
      </c>
      <c r="D3037">
        <v>0</v>
      </c>
      <c r="E3037" s="2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 s="9">
        <v>45368</v>
      </c>
      <c r="L3037">
        <f xml:space="preserve"> (交易處理資料__3[[#This Row],[售出工時]] * 60) / 5</f>
        <v>0</v>
      </c>
      <c r="M3037" t="str">
        <f>VLOOKUP(交易處理資料__3[[#This Row],[人員代號]],團隊分組!$B$1:$C$52,2,FALSE)</f>
        <v>查修團隊B</v>
      </c>
      <c r="N3037">
        <f>IF(交易處理資料__3[[#This Row],[上班時間]]=0,0,交易處理資料__3[[#This Row],[售出工時]]/交易處理資料__3[[#This Row],[上班時間]])</f>
        <v>0</v>
      </c>
      <c r="O3037" s="31" t="str">
        <f>IF(交易處理資料__3[[#This Row],[上班時間]]=0,"否","是")</f>
        <v>否</v>
      </c>
    </row>
    <row r="3038" spans="1:15" hidden="1">
      <c r="A3038" t="s">
        <v>75</v>
      </c>
      <c r="B3038" t="s">
        <v>53</v>
      </c>
      <c r="C3038">
        <v>0</v>
      </c>
      <c r="D3038">
        <v>0</v>
      </c>
      <c r="E3038" s="27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 s="9">
        <v>45368</v>
      </c>
      <c r="L3038">
        <f xml:space="preserve"> (交易處理資料__3[[#This Row],[售出工時]] * 60) / 5</f>
        <v>0</v>
      </c>
      <c r="M3038" t="str">
        <f>VLOOKUP(交易處理資料__3[[#This Row],[人員代號]],團隊分組!$B$1:$C$52,2,FALSE)</f>
        <v>查修團隊A</v>
      </c>
      <c r="N3038">
        <f>IF(交易處理資料__3[[#This Row],[上班時間]]=0,0,交易處理資料__3[[#This Row],[售出工時]]/交易處理資料__3[[#This Row],[上班時間]])</f>
        <v>0</v>
      </c>
      <c r="O3038" s="31" t="str">
        <f>IF(交易處理資料__3[[#This Row],[上班時間]]=0,"否","是")</f>
        <v>否</v>
      </c>
    </row>
    <row r="3039" spans="1:15" hidden="1">
      <c r="A3039" s="10" t="s">
        <v>73</v>
      </c>
      <c r="B3039" t="s">
        <v>1</v>
      </c>
      <c r="C3039">
        <v>0</v>
      </c>
      <c r="D3039">
        <v>0</v>
      </c>
      <c r="E3039" s="27">
        <v>0</v>
      </c>
      <c r="F3039">
        <v>4.8099999999999996</v>
      </c>
      <c r="G3039">
        <v>3.21</v>
      </c>
      <c r="H3039">
        <v>8.02</v>
      </c>
      <c r="I3039">
        <v>59.98</v>
      </c>
      <c r="J3039">
        <v>0</v>
      </c>
      <c r="K3039" s="9">
        <v>45369</v>
      </c>
      <c r="L3039">
        <f xml:space="preserve"> (交易處理資料__3[[#This Row],[售出工時]] * 60) / 5</f>
        <v>0</v>
      </c>
      <c r="M3039" t="str">
        <f>VLOOKUP(交易處理資料__3[[#This Row],[人員代號]],團隊分組!$B$1:$C$52,2,FALSE)</f>
        <v>噴漆維修組</v>
      </c>
      <c r="N3039">
        <f>IF(交易處理資料__3[[#This Row],[上班時間]]=0,0,交易處理資料__3[[#This Row],[售出工時]]/交易處理資料__3[[#This Row],[上班時間]])</f>
        <v>0</v>
      </c>
      <c r="O3039" s="31" t="str">
        <f>IF(交易處理資料__3[[#This Row],[上班時間]]=0,"否","是")</f>
        <v>是</v>
      </c>
    </row>
    <row r="3040" spans="1:15" hidden="1">
      <c r="A3040" s="10" t="s">
        <v>73</v>
      </c>
      <c r="B3040" t="s">
        <v>2</v>
      </c>
      <c r="C3040">
        <v>0</v>
      </c>
      <c r="D3040">
        <v>0</v>
      </c>
      <c r="E3040" s="27">
        <v>0</v>
      </c>
      <c r="F3040">
        <v>3.9</v>
      </c>
      <c r="G3040">
        <v>4.03</v>
      </c>
      <c r="H3040">
        <v>7.93</v>
      </c>
      <c r="I3040">
        <v>49.18</v>
      </c>
      <c r="J3040">
        <v>0</v>
      </c>
      <c r="K3040" s="9">
        <v>45369</v>
      </c>
      <c r="L3040">
        <f xml:space="preserve"> (交易處理資料__3[[#This Row],[售出工時]] * 60) / 5</f>
        <v>0</v>
      </c>
      <c r="M3040" t="str">
        <f>VLOOKUP(交易處理資料__3[[#This Row],[人員代號]],團隊分組!$B$1:$C$52,2,FALSE)</f>
        <v>噴漆維修組</v>
      </c>
      <c r="N3040">
        <f>IF(交易處理資料__3[[#This Row],[上班時間]]=0,0,交易處理資料__3[[#This Row],[售出工時]]/交易處理資料__3[[#This Row],[上班時間]])</f>
        <v>0</v>
      </c>
      <c r="O3040" s="31" t="str">
        <f>IF(交易處理資料__3[[#This Row],[上班時間]]=0,"否","是")</f>
        <v>是</v>
      </c>
    </row>
    <row r="3041" spans="1:15" hidden="1">
      <c r="A3041" s="10" t="s">
        <v>73</v>
      </c>
      <c r="B3041" t="s">
        <v>3</v>
      </c>
      <c r="C3041">
        <v>0</v>
      </c>
      <c r="D3041">
        <v>0</v>
      </c>
      <c r="E3041" s="27">
        <v>0</v>
      </c>
      <c r="F3041">
        <v>3.9</v>
      </c>
      <c r="G3041">
        <v>4.03</v>
      </c>
      <c r="H3041">
        <v>7.93</v>
      </c>
      <c r="I3041">
        <v>49.18</v>
      </c>
      <c r="J3041">
        <v>0</v>
      </c>
      <c r="K3041" s="9">
        <v>45369</v>
      </c>
      <c r="L3041">
        <f xml:space="preserve"> (交易處理資料__3[[#This Row],[售出工時]] * 60) / 5</f>
        <v>0</v>
      </c>
      <c r="M3041" t="str">
        <f>VLOOKUP(交易處理資料__3[[#This Row],[人員代號]],團隊分組!$B$1:$C$52,2,FALSE)</f>
        <v>噴漆維修組</v>
      </c>
      <c r="N3041">
        <f>IF(交易處理資料__3[[#This Row],[上班時間]]=0,0,交易處理資料__3[[#This Row],[售出工時]]/交易處理資料__3[[#This Row],[上班時間]])</f>
        <v>0</v>
      </c>
      <c r="O3041" s="31" t="str">
        <f>IF(交易處理資料__3[[#This Row],[上班時間]]=0,"否","是")</f>
        <v>是</v>
      </c>
    </row>
    <row r="3042" spans="1:15" hidden="1">
      <c r="A3042" s="10" t="s">
        <v>73</v>
      </c>
      <c r="B3042" t="s">
        <v>4</v>
      </c>
      <c r="C3042">
        <v>0</v>
      </c>
      <c r="D3042">
        <v>0</v>
      </c>
      <c r="E3042" s="27">
        <v>0</v>
      </c>
      <c r="F3042">
        <v>1.23</v>
      </c>
      <c r="G3042">
        <v>6.79</v>
      </c>
      <c r="H3042">
        <v>8.02</v>
      </c>
      <c r="I3042">
        <v>15.34</v>
      </c>
      <c r="J3042">
        <v>0</v>
      </c>
      <c r="K3042" s="9">
        <v>45369</v>
      </c>
      <c r="L3042">
        <f xml:space="preserve"> (交易處理資料__3[[#This Row],[售出工時]] * 60) / 5</f>
        <v>0</v>
      </c>
      <c r="M3042" t="str">
        <f>VLOOKUP(交易處理資料__3[[#This Row],[人員代號]],團隊分組!$B$1:$C$52,2,FALSE)</f>
        <v>噴漆維修組</v>
      </c>
      <c r="N3042">
        <f>IF(交易處理資料__3[[#This Row],[上班時間]]=0,0,交易處理資料__3[[#This Row],[售出工時]]/交易處理資料__3[[#This Row],[上班時間]])</f>
        <v>0</v>
      </c>
      <c r="O3042" s="31" t="str">
        <f>IF(交易處理資料__3[[#This Row],[上班時間]]=0,"否","是")</f>
        <v>是</v>
      </c>
    </row>
    <row r="3043" spans="1:15" hidden="1">
      <c r="A3043" s="10" t="s">
        <v>73</v>
      </c>
      <c r="B3043" t="s">
        <v>5</v>
      </c>
      <c r="C3043">
        <v>0</v>
      </c>
      <c r="D3043">
        <v>0</v>
      </c>
      <c r="E3043" s="27">
        <v>0</v>
      </c>
      <c r="F3043">
        <v>1.92</v>
      </c>
      <c r="G3043">
        <v>6.01</v>
      </c>
      <c r="H3043">
        <v>7.93</v>
      </c>
      <c r="I3043">
        <v>24.21</v>
      </c>
      <c r="J3043">
        <v>0</v>
      </c>
      <c r="K3043" s="9">
        <v>45369</v>
      </c>
      <c r="L3043">
        <f xml:space="preserve"> (交易處理資料__3[[#This Row],[售出工時]] * 60) / 5</f>
        <v>0</v>
      </c>
      <c r="M3043" t="str">
        <f>VLOOKUP(交易處理資料__3[[#This Row],[人員代號]],團隊分組!$B$1:$C$52,2,FALSE)</f>
        <v>噴漆維修組</v>
      </c>
      <c r="N3043">
        <f>IF(交易處理資料__3[[#This Row],[上班時間]]=0,0,交易處理資料__3[[#This Row],[售出工時]]/交易處理資料__3[[#This Row],[上班時間]])</f>
        <v>0</v>
      </c>
      <c r="O3043" s="31" t="str">
        <f>IF(交易處理資料__3[[#This Row],[上班時間]]=0,"否","是")</f>
        <v>是</v>
      </c>
    </row>
    <row r="3044" spans="1:15" hidden="1">
      <c r="A3044" s="10" t="s">
        <v>73</v>
      </c>
      <c r="B3044" t="s">
        <v>6</v>
      </c>
      <c r="C3044">
        <v>0</v>
      </c>
      <c r="D3044">
        <v>0</v>
      </c>
      <c r="E3044" s="27">
        <v>0</v>
      </c>
      <c r="F3044">
        <v>3.9</v>
      </c>
      <c r="G3044">
        <v>4.03</v>
      </c>
      <c r="H3044">
        <v>7.93</v>
      </c>
      <c r="I3044">
        <v>49.18</v>
      </c>
      <c r="J3044">
        <v>0</v>
      </c>
      <c r="K3044" s="9">
        <v>45369</v>
      </c>
      <c r="L3044">
        <f xml:space="preserve"> (交易處理資料__3[[#This Row],[售出工時]] * 60) / 5</f>
        <v>0</v>
      </c>
      <c r="M3044" t="str">
        <f>VLOOKUP(交易處理資料__3[[#This Row],[人員代號]],團隊分組!$B$1:$C$52,2,FALSE)</f>
        <v>噴漆維修組</v>
      </c>
      <c r="N3044">
        <f>IF(交易處理資料__3[[#This Row],[上班時間]]=0,0,交易處理資料__3[[#This Row],[售出工時]]/交易處理資料__3[[#This Row],[上班時間]])</f>
        <v>0</v>
      </c>
      <c r="O3044" s="31" t="str">
        <f>IF(交易處理資料__3[[#This Row],[上班時間]]=0,"否","是")</f>
        <v>是</v>
      </c>
    </row>
    <row r="3045" spans="1:15" hidden="1">
      <c r="A3045" s="10" t="s">
        <v>73</v>
      </c>
      <c r="B3045" t="s">
        <v>7</v>
      </c>
      <c r="C3045">
        <v>0</v>
      </c>
      <c r="D3045">
        <v>0</v>
      </c>
      <c r="E3045" s="27">
        <v>0</v>
      </c>
      <c r="F3045">
        <v>1.92</v>
      </c>
      <c r="G3045">
        <v>6.01</v>
      </c>
      <c r="H3045">
        <v>7.93</v>
      </c>
      <c r="I3045">
        <v>24.21</v>
      </c>
      <c r="J3045">
        <v>0</v>
      </c>
      <c r="K3045" s="9">
        <v>45369</v>
      </c>
      <c r="L3045">
        <f xml:space="preserve"> (交易處理資料__3[[#This Row],[售出工時]] * 60) / 5</f>
        <v>0</v>
      </c>
      <c r="M3045" t="str">
        <f>VLOOKUP(交易處理資料__3[[#This Row],[人員代號]],團隊分組!$B$1:$C$52,2,FALSE)</f>
        <v>噴漆維修組</v>
      </c>
      <c r="N3045">
        <f>IF(交易處理資料__3[[#This Row],[上班時間]]=0,0,交易處理資料__3[[#This Row],[售出工時]]/交易處理資料__3[[#This Row],[上班時間]])</f>
        <v>0</v>
      </c>
      <c r="O3045" s="31" t="str">
        <f>IF(交易處理資料__3[[#This Row],[上班時間]]=0,"否","是")</f>
        <v>是</v>
      </c>
    </row>
    <row r="3046" spans="1:15" hidden="1">
      <c r="A3046" s="10" t="s">
        <v>73</v>
      </c>
      <c r="B3046" t="s">
        <v>8</v>
      </c>
      <c r="C3046">
        <v>3.3333333330000001</v>
      </c>
      <c r="D3046">
        <v>7.33</v>
      </c>
      <c r="E3046" s="27">
        <v>45.475216009999997</v>
      </c>
      <c r="F3046">
        <v>1.23</v>
      </c>
      <c r="G3046">
        <v>6.79</v>
      </c>
      <c r="H3046">
        <v>8.02</v>
      </c>
      <c r="I3046">
        <v>15.34</v>
      </c>
      <c r="J3046">
        <v>41.56</v>
      </c>
      <c r="K3046" s="9">
        <v>45369</v>
      </c>
      <c r="L3046">
        <f xml:space="preserve"> (交易處理資料__3[[#This Row],[售出工時]] * 60) / 5</f>
        <v>39.999999996</v>
      </c>
      <c r="M3046" t="str">
        <f>VLOOKUP(交易處理資料__3[[#This Row],[人員代號]],團隊分組!$B$1:$C$52,2,FALSE)</f>
        <v>噴漆維修組</v>
      </c>
      <c r="N3046">
        <f>IF(交易處理資料__3[[#This Row],[上班時間]]=0,0,交易處理資料__3[[#This Row],[售出工時]]/交易處理資料__3[[#This Row],[上班時間]])</f>
        <v>0.41562759763092272</v>
      </c>
      <c r="O3046" s="31" t="str">
        <f>IF(交易處理資料__3[[#This Row],[上班時間]]=0,"否","是")</f>
        <v>是</v>
      </c>
    </row>
    <row r="3047" spans="1:15" hidden="1">
      <c r="A3047" s="10" t="s">
        <v>73</v>
      </c>
      <c r="B3047" t="s">
        <v>9</v>
      </c>
      <c r="C3047">
        <v>0</v>
      </c>
      <c r="D3047">
        <v>0</v>
      </c>
      <c r="E3047" s="27">
        <v>0</v>
      </c>
      <c r="F3047">
        <v>4.84</v>
      </c>
      <c r="G3047">
        <v>3.22</v>
      </c>
      <c r="H3047">
        <v>8.06</v>
      </c>
      <c r="I3047">
        <v>60.05</v>
      </c>
      <c r="J3047">
        <v>0</v>
      </c>
      <c r="K3047" s="9">
        <v>45369</v>
      </c>
      <c r="L3047">
        <f xml:space="preserve"> (交易處理資料__3[[#This Row],[售出工時]] * 60) / 5</f>
        <v>0</v>
      </c>
      <c r="M3047" t="str">
        <f>VLOOKUP(交易處理資料__3[[#This Row],[人員代號]],團隊分組!$B$1:$C$52,2,FALSE)</f>
        <v>噴漆維修組</v>
      </c>
      <c r="N3047">
        <f>IF(交易處理資料__3[[#This Row],[上班時間]]=0,0,交易處理資料__3[[#This Row],[售出工時]]/交易處理資料__3[[#This Row],[上班時間]])</f>
        <v>0</v>
      </c>
      <c r="O3047" s="31" t="str">
        <f>IF(交易處理資料__3[[#This Row],[上班時間]]=0,"否","是")</f>
        <v>是</v>
      </c>
    </row>
    <row r="3048" spans="1:15" hidden="1">
      <c r="A3048" t="s">
        <v>74</v>
      </c>
      <c r="B3048" t="s">
        <v>11</v>
      </c>
      <c r="C3048">
        <v>0</v>
      </c>
      <c r="D3048">
        <v>0</v>
      </c>
      <c r="E3048" s="27">
        <v>0</v>
      </c>
      <c r="F3048">
        <v>4.75</v>
      </c>
      <c r="G3048">
        <v>3.23</v>
      </c>
      <c r="H3048">
        <v>7.98</v>
      </c>
      <c r="I3048">
        <v>59.52</v>
      </c>
      <c r="J3048">
        <v>0</v>
      </c>
      <c r="K3048" s="9">
        <v>45369</v>
      </c>
      <c r="L3048">
        <f xml:space="preserve"> (交易處理資料__3[[#This Row],[售出工時]] * 60) / 5</f>
        <v>0</v>
      </c>
      <c r="M3048" t="str">
        <f>VLOOKUP(交易處理資料__3[[#This Row],[人員代號]],團隊分組!$B$1:$C$52,2,FALSE)</f>
        <v>鈑金維修組</v>
      </c>
      <c r="N3048">
        <f>IF(交易處理資料__3[[#This Row],[上班時間]]=0,0,交易處理資料__3[[#This Row],[售出工時]]/交易處理資料__3[[#This Row],[上班時間]])</f>
        <v>0</v>
      </c>
      <c r="O3048" s="31" t="str">
        <f>IF(交易處理資料__3[[#This Row],[上班時間]]=0,"否","是")</f>
        <v>是</v>
      </c>
    </row>
    <row r="3049" spans="1:15" hidden="1">
      <c r="A3049" t="s">
        <v>74</v>
      </c>
      <c r="B3049" t="s">
        <v>12</v>
      </c>
      <c r="C3049">
        <v>2.25</v>
      </c>
      <c r="D3049">
        <v>2.08</v>
      </c>
      <c r="E3049" s="27">
        <v>108.1730769</v>
      </c>
      <c r="F3049">
        <v>3.55</v>
      </c>
      <c r="G3049">
        <v>4.41</v>
      </c>
      <c r="H3049">
        <v>7.96</v>
      </c>
      <c r="I3049">
        <v>44.6</v>
      </c>
      <c r="J3049">
        <v>28.27</v>
      </c>
      <c r="K3049" s="9">
        <v>45369</v>
      </c>
      <c r="L3049">
        <f xml:space="preserve"> (交易處理資料__3[[#This Row],[售出工時]] * 60) / 5</f>
        <v>27</v>
      </c>
      <c r="M3049" t="str">
        <f>VLOOKUP(交易處理資料__3[[#This Row],[人員代號]],團隊分組!$B$1:$C$52,2,FALSE)</f>
        <v>鈑金維修組</v>
      </c>
      <c r="N3049">
        <f>IF(交易處理資料__3[[#This Row],[上班時間]]=0,0,交易處理資料__3[[#This Row],[售出工時]]/交易處理資料__3[[#This Row],[上班時間]])</f>
        <v>0.28266331658291455</v>
      </c>
      <c r="O3049" s="31" t="str">
        <f>IF(交易處理資料__3[[#This Row],[上班時間]]=0,"否","是")</f>
        <v>是</v>
      </c>
    </row>
    <row r="3050" spans="1:15" hidden="1">
      <c r="A3050" t="s">
        <v>74</v>
      </c>
      <c r="B3050" t="s">
        <v>13</v>
      </c>
      <c r="C3050">
        <v>0</v>
      </c>
      <c r="D3050">
        <v>0</v>
      </c>
      <c r="E3050" s="27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 s="9">
        <v>45369</v>
      </c>
      <c r="L3050">
        <f xml:space="preserve"> (交易處理資料__3[[#This Row],[售出工時]] * 60) / 5</f>
        <v>0</v>
      </c>
      <c r="M3050" t="str">
        <f>VLOOKUP(交易處理資料__3[[#This Row],[人員代號]],團隊分組!$B$1:$C$52,2,FALSE)</f>
        <v>鈑金維修組</v>
      </c>
      <c r="N3050">
        <f>IF(交易處理資料__3[[#This Row],[上班時間]]=0,0,交易處理資料__3[[#This Row],[售出工時]]/交易處理資料__3[[#This Row],[上班時間]])</f>
        <v>0</v>
      </c>
      <c r="O3050" s="31" t="str">
        <f>IF(交易處理資料__3[[#This Row],[上班時間]]=0,"否","是")</f>
        <v>否</v>
      </c>
    </row>
    <row r="3051" spans="1:15" hidden="1">
      <c r="A3051" t="s">
        <v>74</v>
      </c>
      <c r="B3051" t="s">
        <v>14</v>
      </c>
      <c r="C3051">
        <v>0</v>
      </c>
      <c r="D3051">
        <v>0</v>
      </c>
      <c r="E3051" s="27">
        <v>0</v>
      </c>
      <c r="F3051">
        <v>5.85</v>
      </c>
      <c r="G3051">
        <v>2.12</v>
      </c>
      <c r="H3051">
        <v>7.97</v>
      </c>
      <c r="I3051">
        <v>73.400000000000006</v>
      </c>
      <c r="J3051">
        <v>0</v>
      </c>
      <c r="K3051" s="9">
        <v>45369</v>
      </c>
      <c r="L3051">
        <f xml:space="preserve"> (交易處理資料__3[[#This Row],[售出工時]] * 60) / 5</f>
        <v>0</v>
      </c>
      <c r="M3051" t="str">
        <f>VLOOKUP(交易處理資料__3[[#This Row],[人員代號]],團隊分組!$B$1:$C$52,2,FALSE)</f>
        <v>鈑金維修組</v>
      </c>
      <c r="N3051">
        <f>IF(交易處理資料__3[[#This Row],[上班時間]]=0,0,交易處理資料__3[[#This Row],[售出工時]]/交易處理資料__3[[#This Row],[上班時間]])</f>
        <v>0</v>
      </c>
      <c r="O3051" s="31" t="str">
        <f>IF(交易處理資料__3[[#This Row],[上班時間]]=0,"否","是")</f>
        <v>是</v>
      </c>
    </row>
    <row r="3052" spans="1:15" hidden="1">
      <c r="A3052" t="s">
        <v>74</v>
      </c>
      <c r="B3052" t="s">
        <v>15</v>
      </c>
      <c r="C3052">
        <v>0</v>
      </c>
      <c r="D3052">
        <v>0</v>
      </c>
      <c r="E3052" s="27">
        <v>0</v>
      </c>
      <c r="F3052">
        <v>7.19</v>
      </c>
      <c r="G3052">
        <v>0.78</v>
      </c>
      <c r="H3052">
        <v>7.97</v>
      </c>
      <c r="I3052">
        <v>90.21</v>
      </c>
      <c r="J3052">
        <v>0</v>
      </c>
      <c r="K3052" s="9">
        <v>45369</v>
      </c>
      <c r="L3052">
        <f xml:space="preserve"> (交易處理資料__3[[#This Row],[售出工時]] * 60) / 5</f>
        <v>0</v>
      </c>
      <c r="M3052" t="str">
        <f>VLOOKUP(交易處理資料__3[[#This Row],[人員代號]],團隊分組!$B$1:$C$52,2,FALSE)</f>
        <v>鈑金維修組</v>
      </c>
      <c r="N3052">
        <f>IF(交易處理資料__3[[#This Row],[上班時間]]=0,0,交易處理資料__3[[#This Row],[售出工時]]/交易處理資料__3[[#This Row],[上班時間]])</f>
        <v>0</v>
      </c>
      <c r="O3052" s="31" t="str">
        <f>IF(交易處理資料__3[[#This Row],[上班時間]]=0,"否","是")</f>
        <v>是</v>
      </c>
    </row>
    <row r="3053" spans="1:15" hidden="1">
      <c r="A3053" t="s">
        <v>75</v>
      </c>
      <c r="B3053" t="s">
        <v>17</v>
      </c>
      <c r="C3053">
        <v>8</v>
      </c>
      <c r="D3053">
        <v>7.78</v>
      </c>
      <c r="E3053" s="27">
        <v>102.8277635</v>
      </c>
      <c r="F3053">
        <v>7.27</v>
      </c>
      <c r="G3053">
        <v>0.81</v>
      </c>
      <c r="H3053">
        <v>8.08</v>
      </c>
      <c r="I3053">
        <v>89.98</v>
      </c>
      <c r="J3053">
        <v>99.01</v>
      </c>
      <c r="K3053" s="9">
        <v>45369</v>
      </c>
      <c r="L3053">
        <f xml:space="preserve"> (交易處理資料__3[[#This Row],[售出工時]] * 60) / 5</f>
        <v>96</v>
      </c>
      <c r="M3053" t="str">
        <f>VLOOKUP(交易處理資料__3[[#This Row],[人員代號]],團隊分組!$B$1:$C$52,2,FALSE)</f>
        <v>快速保養團隊A</v>
      </c>
      <c r="N3053">
        <f>IF(交易處理資料__3[[#This Row],[上班時間]]=0,0,交易處理資料__3[[#This Row],[售出工時]]/交易處理資料__3[[#This Row],[上班時間]])</f>
        <v>0.99009900990099009</v>
      </c>
      <c r="O3053" s="31" t="str">
        <f>IF(交易處理資料__3[[#This Row],[上班時間]]=0,"否","是")</f>
        <v>是</v>
      </c>
    </row>
    <row r="3054" spans="1:15" hidden="1">
      <c r="A3054" t="s">
        <v>75</v>
      </c>
      <c r="B3054" t="s">
        <v>18</v>
      </c>
      <c r="C3054">
        <v>0</v>
      </c>
      <c r="D3054">
        <v>0</v>
      </c>
      <c r="E3054" s="27">
        <v>0</v>
      </c>
      <c r="F3054">
        <v>7.85</v>
      </c>
      <c r="G3054">
        <v>0.34</v>
      </c>
      <c r="H3054">
        <v>8.19</v>
      </c>
      <c r="I3054">
        <v>95.85</v>
      </c>
      <c r="J3054">
        <v>0</v>
      </c>
      <c r="K3054" s="9">
        <v>45369</v>
      </c>
      <c r="L3054">
        <f xml:space="preserve"> (交易處理資料__3[[#This Row],[售出工時]] * 60) / 5</f>
        <v>0</v>
      </c>
      <c r="M3054" t="str">
        <f>VLOOKUP(交易處理資料__3[[#This Row],[人員代號]],團隊分組!$B$1:$C$52,2,FALSE)</f>
        <v>查修團隊B</v>
      </c>
      <c r="N3054">
        <f>IF(交易處理資料__3[[#This Row],[上班時間]]=0,0,交易處理資料__3[[#This Row],[售出工時]]/交易處理資料__3[[#This Row],[上班時間]])</f>
        <v>0</v>
      </c>
      <c r="O3054" s="31" t="str">
        <f>IF(交易處理資料__3[[#This Row],[上班時間]]=0,"否","是")</f>
        <v>是</v>
      </c>
    </row>
    <row r="3055" spans="1:15" hidden="1">
      <c r="A3055" t="s">
        <v>75</v>
      </c>
      <c r="B3055" t="s">
        <v>19</v>
      </c>
      <c r="C3055">
        <v>0</v>
      </c>
      <c r="D3055">
        <v>0</v>
      </c>
      <c r="E3055" s="27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 s="9">
        <v>45369</v>
      </c>
      <c r="L3055">
        <f xml:space="preserve"> (交易處理資料__3[[#This Row],[售出工時]] * 60) / 5</f>
        <v>0</v>
      </c>
      <c r="M3055" t="str">
        <f>VLOOKUP(交易處理資料__3[[#This Row],[人員代號]],團隊分組!$B$1:$C$52,2,FALSE)</f>
        <v>查修團隊A</v>
      </c>
      <c r="N3055">
        <f>IF(交易處理資料__3[[#This Row],[上班時間]]=0,0,交易處理資料__3[[#This Row],[售出工時]]/交易處理資料__3[[#This Row],[上班時間]])</f>
        <v>0</v>
      </c>
      <c r="O3055" s="31" t="str">
        <f>IF(交易處理資料__3[[#This Row],[上班時間]]=0,"否","是")</f>
        <v>否</v>
      </c>
    </row>
    <row r="3056" spans="1:15" hidden="1">
      <c r="A3056" t="s">
        <v>75</v>
      </c>
      <c r="B3056" t="s">
        <v>20</v>
      </c>
      <c r="C3056">
        <v>0</v>
      </c>
      <c r="D3056">
        <v>0</v>
      </c>
      <c r="E3056" s="27">
        <v>0</v>
      </c>
      <c r="F3056">
        <v>4.53</v>
      </c>
      <c r="G3056">
        <v>4.71</v>
      </c>
      <c r="H3056">
        <v>9.24</v>
      </c>
      <c r="I3056">
        <v>49.03</v>
      </c>
      <c r="J3056">
        <v>0</v>
      </c>
      <c r="K3056" s="9">
        <v>45369</v>
      </c>
      <c r="L3056">
        <f xml:space="preserve"> (交易處理資料__3[[#This Row],[售出工時]] * 60) / 5</f>
        <v>0</v>
      </c>
      <c r="M3056" t="str">
        <f>VLOOKUP(交易處理資料__3[[#This Row],[人員代號]],團隊分組!$B$1:$C$52,2,FALSE)</f>
        <v>查修團隊B</v>
      </c>
      <c r="N3056">
        <f>IF(交易處理資料__3[[#This Row],[上班時間]]=0,0,交易處理資料__3[[#This Row],[售出工時]]/交易處理資料__3[[#This Row],[上班時間]])</f>
        <v>0</v>
      </c>
      <c r="O3056" s="31" t="str">
        <f>IF(交易處理資料__3[[#This Row],[上班時間]]=0,"否","是")</f>
        <v>是</v>
      </c>
    </row>
    <row r="3057" spans="1:15" hidden="1">
      <c r="A3057" t="s">
        <v>75</v>
      </c>
      <c r="B3057" t="s">
        <v>21</v>
      </c>
      <c r="C3057">
        <v>0</v>
      </c>
      <c r="D3057">
        <v>0</v>
      </c>
      <c r="E3057" s="27">
        <v>0</v>
      </c>
      <c r="F3057">
        <v>3.91</v>
      </c>
      <c r="G3057">
        <v>4.16</v>
      </c>
      <c r="H3057">
        <v>8.07</v>
      </c>
      <c r="I3057">
        <v>48.45</v>
      </c>
      <c r="J3057">
        <v>0</v>
      </c>
      <c r="K3057" s="9">
        <v>45369</v>
      </c>
      <c r="L3057">
        <f xml:space="preserve"> (交易處理資料__3[[#This Row],[售出工時]] * 60) / 5</f>
        <v>0</v>
      </c>
      <c r="M3057" t="str">
        <f>VLOOKUP(交易處理資料__3[[#This Row],[人員代號]],團隊分組!$B$1:$C$52,2,FALSE)</f>
        <v>查修團隊B</v>
      </c>
      <c r="N3057">
        <f>IF(交易處理資料__3[[#This Row],[上班時間]]=0,0,交易處理資料__3[[#This Row],[售出工時]]/交易處理資料__3[[#This Row],[上班時間]])</f>
        <v>0</v>
      </c>
      <c r="O3057" s="31" t="str">
        <f>IF(交易處理資料__3[[#This Row],[上班時間]]=0,"否","是")</f>
        <v>是</v>
      </c>
    </row>
    <row r="3058" spans="1:15" hidden="1">
      <c r="A3058" t="s">
        <v>75</v>
      </c>
      <c r="B3058" t="s">
        <v>22</v>
      </c>
      <c r="C3058">
        <v>5.1266666670000003</v>
      </c>
      <c r="D3058">
        <v>3.62</v>
      </c>
      <c r="E3058" s="27">
        <v>141.6206262</v>
      </c>
      <c r="F3058">
        <v>7.8</v>
      </c>
      <c r="G3058">
        <v>0.75</v>
      </c>
      <c r="H3058">
        <v>8.5500000000000007</v>
      </c>
      <c r="I3058">
        <v>91.23</v>
      </c>
      <c r="J3058">
        <v>59.96</v>
      </c>
      <c r="K3058" s="9">
        <v>45369</v>
      </c>
      <c r="L3058">
        <f xml:space="preserve"> (交易處理資料__3[[#This Row],[售出工時]] * 60) / 5</f>
        <v>61.520000004000011</v>
      </c>
      <c r="M3058" t="str">
        <f>VLOOKUP(交易處理資料__3[[#This Row],[人員代號]],團隊分組!$B$1:$C$52,2,FALSE)</f>
        <v>快速保養團隊A</v>
      </c>
      <c r="N3058">
        <f>IF(交易處理資料__3[[#This Row],[上班時間]]=0,0,交易處理資料__3[[#This Row],[售出工時]]/交易處理資料__3[[#This Row],[上班時間]])</f>
        <v>0.59961013649122807</v>
      </c>
      <c r="O3058" s="31" t="str">
        <f>IF(交易處理資料__3[[#This Row],[上班時間]]=0,"否","是")</f>
        <v>是</v>
      </c>
    </row>
    <row r="3059" spans="1:15" hidden="1">
      <c r="A3059" t="s">
        <v>75</v>
      </c>
      <c r="B3059" t="s">
        <v>23</v>
      </c>
      <c r="C3059">
        <v>6.88</v>
      </c>
      <c r="D3059">
        <v>3.71</v>
      </c>
      <c r="E3059" s="27">
        <v>185.44474389999999</v>
      </c>
      <c r="F3059">
        <v>9.16</v>
      </c>
      <c r="G3059">
        <v>0.5</v>
      </c>
      <c r="H3059">
        <v>9.66</v>
      </c>
      <c r="I3059">
        <v>94.82</v>
      </c>
      <c r="J3059">
        <v>71.22</v>
      </c>
      <c r="K3059" s="9">
        <v>45369</v>
      </c>
      <c r="L3059">
        <f xml:space="preserve"> (交易處理資料__3[[#This Row],[售出工時]] * 60) / 5</f>
        <v>82.56</v>
      </c>
      <c r="M3059" t="str">
        <f>VLOOKUP(交易處理資料__3[[#This Row],[人員代號]],團隊分組!$B$1:$C$52,2,FALSE)</f>
        <v>快速保養團隊B</v>
      </c>
      <c r="N3059">
        <f>IF(交易處理資料__3[[#This Row],[上班時間]]=0,0,交易處理資料__3[[#This Row],[售出工時]]/交易處理資料__3[[#This Row],[上班時間]])</f>
        <v>0.71221532091097306</v>
      </c>
      <c r="O3059" s="31" t="str">
        <f>IF(交易處理資料__3[[#This Row],[上班時間]]=0,"否","是")</f>
        <v>是</v>
      </c>
    </row>
    <row r="3060" spans="1:15" hidden="1">
      <c r="A3060" t="s">
        <v>75</v>
      </c>
      <c r="B3060" t="s">
        <v>24</v>
      </c>
      <c r="C3060">
        <v>11.58333333</v>
      </c>
      <c r="D3060">
        <v>6.4</v>
      </c>
      <c r="E3060" s="27">
        <v>180.98958329999999</v>
      </c>
      <c r="F3060">
        <v>9.01</v>
      </c>
      <c r="G3060">
        <v>1.1599999999999999</v>
      </c>
      <c r="H3060">
        <v>10.17</v>
      </c>
      <c r="I3060">
        <v>88.59</v>
      </c>
      <c r="J3060">
        <v>113.9</v>
      </c>
      <c r="K3060" s="9">
        <v>45369</v>
      </c>
      <c r="L3060">
        <f xml:space="preserve"> (交易處理資料__3[[#This Row],[售出工時]] * 60) / 5</f>
        <v>138.99999996000003</v>
      </c>
      <c r="M3060" t="str">
        <f>VLOOKUP(交易處理資料__3[[#This Row],[人員代號]],團隊分組!$B$1:$C$52,2,FALSE)</f>
        <v>快速保養團隊A</v>
      </c>
      <c r="N3060">
        <f>IF(交易處理資料__3[[#This Row],[上班時間]]=0,0,交易處理資料__3[[#This Row],[售出工時]]/交易處理資料__3[[#This Row],[上班時間]])</f>
        <v>1.1389708289085547</v>
      </c>
      <c r="O3060" s="31" t="str">
        <f>IF(交易處理資料__3[[#This Row],[上班時間]]=0,"否","是")</f>
        <v>是</v>
      </c>
    </row>
    <row r="3061" spans="1:15" hidden="1">
      <c r="A3061" t="s">
        <v>75</v>
      </c>
      <c r="B3061" t="s">
        <v>25</v>
      </c>
      <c r="C3061">
        <v>0.6</v>
      </c>
      <c r="D3061">
        <v>1.27</v>
      </c>
      <c r="E3061" s="27">
        <v>47.244094490000002</v>
      </c>
      <c r="F3061">
        <v>6.17</v>
      </c>
      <c r="G3061">
        <v>1.69</v>
      </c>
      <c r="H3061">
        <v>7.86</v>
      </c>
      <c r="I3061">
        <v>78.5</v>
      </c>
      <c r="J3061">
        <v>7.63</v>
      </c>
      <c r="K3061" s="9">
        <v>45369</v>
      </c>
      <c r="L3061">
        <f xml:space="preserve"> (交易處理資料__3[[#This Row],[售出工時]] * 60) / 5</f>
        <v>7.2</v>
      </c>
      <c r="M3061" t="str">
        <f>VLOOKUP(交易處理資料__3[[#This Row],[人員代號]],團隊分組!$B$1:$C$52,2,FALSE)</f>
        <v>查修團隊A</v>
      </c>
      <c r="N3061">
        <f>IF(交易處理資料__3[[#This Row],[上班時間]]=0,0,交易處理資料__3[[#This Row],[售出工時]]/交易處理資料__3[[#This Row],[上班時間]])</f>
        <v>7.6335877862595408E-2</v>
      </c>
      <c r="O3061" s="31" t="str">
        <f>IF(交易處理資料__3[[#This Row],[上班時間]]=0,"否","是")</f>
        <v>是</v>
      </c>
    </row>
    <row r="3062" spans="1:15" hidden="1">
      <c r="A3062" t="s">
        <v>75</v>
      </c>
      <c r="B3062" t="s">
        <v>26</v>
      </c>
      <c r="C3062">
        <v>1</v>
      </c>
      <c r="D3062">
        <v>1.08</v>
      </c>
      <c r="E3062" s="27">
        <v>92.592592589999995</v>
      </c>
      <c r="F3062">
        <v>3.83</v>
      </c>
      <c r="G3062">
        <v>5.42</v>
      </c>
      <c r="H3062">
        <v>9.25</v>
      </c>
      <c r="I3062">
        <v>41.41</v>
      </c>
      <c r="J3062">
        <v>10.81</v>
      </c>
      <c r="K3062" s="9">
        <v>45369</v>
      </c>
      <c r="L3062">
        <f xml:space="preserve"> (交易處理資料__3[[#This Row],[售出工時]] * 60) / 5</f>
        <v>12</v>
      </c>
      <c r="M3062" t="str">
        <f>VLOOKUP(交易處理資料__3[[#This Row],[人員代號]],團隊分組!$B$1:$C$52,2,FALSE)</f>
        <v>查修團隊B</v>
      </c>
      <c r="N3062">
        <f>IF(交易處理資料__3[[#This Row],[上班時間]]=0,0,交易處理資料__3[[#This Row],[售出工時]]/交易處理資料__3[[#This Row],[上班時間]])</f>
        <v>0.10810810810810811</v>
      </c>
      <c r="O3062" s="31" t="str">
        <f>IF(交易處理資料__3[[#This Row],[上班時間]]=0,"否","是")</f>
        <v>是</v>
      </c>
    </row>
    <row r="3063" spans="1:15" hidden="1">
      <c r="A3063" t="s">
        <v>75</v>
      </c>
      <c r="B3063" t="s">
        <v>27</v>
      </c>
      <c r="C3063">
        <v>0</v>
      </c>
      <c r="D3063">
        <v>0</v>
      </c>
      <c r="E3063" s="27">
        <v>0</v>
      </c>
      <c r="F3063">
        <v>7.24</v>
      </c>
      <c r="G3063">
        <v>0.82</v>
      </c>
      <c r="H3063">
        <v>8.06</v>
      </c>
      <c r="I3063">
        <v>89.83</v>
      </c>
      <c r="J3063">
        <v>0</v>
      </c>
      <c r="K3063" s="9">
        <v>45369</v>
      </c>
      <c r="L3063">
        <f xml:space="preserve"> (交易處理資料__3[[#This Row],[售出工時]] * 60) / 5</f>
        <v>0</v>
      </c>
      <c r="M3063" t="str">
        <f>VLOOKUP(交易處理資料__3[[#This Row],[人員代號]],團隊分組!$B$1:$C$52,2,FALSE)</f>
        <v>快速保養團隊B</v>
      </c>
      <c r="N3063">
        <f>IF(交易處理資料__3[[#This Row],[上班時間]]=0,0,交易處理資料__3[[#This Row],[售出工時]]/交易處理資料__3[[#This Row],[上班時間]])</f>
        <v>0</v>
      </c>
      <c r="O3063" s="31" t="str">
        <f>IF(交易處理資料__3[[#This Row],[上班時間]]=0,"否","是")</f>
        <v>是</v>
      </c>
    </row>
    <row r="3064" spans="1:15" hidden="1">
      <c r="A3064" t="s">
        <v>75</v>
      </c>
      <c r="B3064" t="s">
        <v>28</v>
      </c>
      <c r="C3064">
        <v>10.14</v>
      </c>
      <c r="D3064">
        <v>6.91</v>
      </c>
      <c r="E3064" s="27">
        <v>146.74384950000001</v>
      </c>
      <c r="F3064">
        <v>7.33</v>
      </c>
      <c r="G3064">
        <v>0.68</v>
      </c>
      <c r="H3064">
        <v>8.01</v>
      </c>
      <c r="I3064">
        <v>91.51</v>
      </c>
      <c r="J3064">
        <v>126.59</v>
      </c>
      <c r="K3064" s="9">
        <v>45369</v>
      </c>
      <c r="L3064">
        <f xml:space="preserve"> (交易處理資料__3[[#This Row],[售出工時]] * 60) / 5</f>
        <v>121.68000000000002</v>
      </c>
      <c r="M3064" t="str">
        <f>VLOOKUP(交易處理資料__3[[#This Row],[人員代號]],團隊分組!$B$1:$C$52,2,FALSE)</f>
        <v>快速保養團隊A</v>
      </c>
      <c r="N3064">
        <f>IF(交易處理資料__3[[#This Row],[上班時間]]=0,0,交易處理資料__3[[#This Row],[售出工時]]/交易處理資料__3[[#This Row],[上班時間]])</f>
        <v>1.2659176029962549</v>
      </c>
      <c r="O3064" s="31" t="str">
        <f>IF(交易處理資料__3[[#This Row],[上班時間]]=0,"否","是")</f>
        <v>是</v>
      </c>
    </row>
    <row r="3065" spans="1:15" hidden="1">
      <c r="A3065" t="s">
        <v>75</v>
      </c>
      <c r="B3065" t="s">
        <v>29</v>
      </c>
      <c r="C3065">
        <v>0</v>
      </c>
      <c r="D3065">
        <v>0</v>
      </c>
      <c r="E3065" s="27">
        <v>0</v>
      </c>
      <c r="F3065">
        <v>7.69</v>
      </c>
      <c r="G3065">
        <v>0.46</v>
      </c>
      <c r="H3065">
        <v>8.15</v>
      </c>
      <c r="I3065">
        <v>94.36</v>
      </c>
      <c r="J3065">
        <v>0</v>
      </c>
      <c r="K3065" s="9">
        <v>45369</v>
      </c>
      <c r="L3065">
        <f xml:space="preserve"> (交易處理資料__3[[#This Row],[售出工時]] * 60) / 5</f>
        <v>0</v>
      </c>
      <c r="M3065" t="str">
        <f>VLOOKUP(交易處理資料__3[[#This Row],[人員代號]],團隊分組!$B$1:$C$52,2,FALSE)</f>
        <v>查修團隊B</v>
      </c>
      <c r="N3065">
        <f>IF(交易處理資料__3[[#This Row],[上班時間]]=0,0,交易處理資料__3[[#This Row],[售出工時]]/交易處理資料__3[[#This Row],[上班時間]])</f>
        <v>0</v>
      </c>
      <c r="O3065" s="31" t="str">
        <f>IF(交易處理資料__3[[#This Row],[上班時間]]=0,"否","是")</f>
        <v>是</v>
      </c>
    </row>
    <row r="3066" spans="1:15" hidden="1">
      <c r="A3066" t="s">
        <v>75</v>
      </c>
      <c r="B3066" t="s">
        <v>30</v>
      </c>
      <c r="C3066">
        <v>9.25</v>
      </c>
      <c r="D3066">
        <v>5.53</v>
      </c>
      <c r="E3066" s="27">
        <v>167.26943940000001</v>
      </c>
      <c r="F3066">
        <v>7.31</v>
      </c>
      <c r="G3066">
        <v>0.74</v>
      </c>
      <c r="H3066">
        <v>8.0500000000000007</v>
      </c>
      <c r="I3066">
        <v>90.81</v>
      </c>
      <c r="J3066">
        <v>114.91</v>
      </c>
      <c r="K3066" s="9">
        <v>45369</v>
      </c>
      <c r="L3066">
        <f xml:space="preserve"> (交易處理資料__3[[#This Row],[售出工時]] * 60) / 5</f>
        <v>111</v>
      </c>
      <c r="M3066" t="str">
        <f>VLOOKUP(交易處理資料__3[[#This Row],[人員代號]],團隊分組!$B$1:$C$52,2,FALSE)</f>
        <v>快速保養團隊B</v>
      </c>
      <c r="N3066">
        <f>IF(交易處理資料__3[[#This Row],[上班時間]]=0,0,交易處理資料__3[[#This Row],[售出工時]]/交易處理資料__3[[#This Row],[上班時間]])</f>
        <v>1.1490683229813663</v>
      </c>
      <c r="O3066" s="31" t="str">
        <f>IF(交易處理資料__3[[#This Row],[上班時間]]=0,"否","是")</f>
        <v>是</v>
      </c>
    </row>
    <row r="3067" spans="1:15" hidden="1">
      <c r="A3067" t="s">
        <v>75</v>
      </c>
      <c r="B3067" t="s">
        <v>32</v>
      </c>
      <c r="C3067">
        <v>0</v>
      </c>
      <c r="D3067">
        <v>0</v>
      </c>
      <c r="E3067" s="2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 s="9">
        <v>45369</v>
      </c>
      <c r="L3067">
        <f xml:space="preserve"> (交易處理資料__3[[#This Row],[售出工時]] * 60) / 5</f>
        <v>0</v>
      </c>
      <c r="M3067" t="str">
        <f>VLOOKUP(交易處理資料__3[[#This Row],[人員代號]],團隊分組!$B$1:$C$52,2,FALSE)</f>
        <v>快速保養團隊B</v>
      </c>
      <c r="N3067">
        <f>IF(交易處理資料__3[[#This Row],[上班時間]]=0,0,交易處理資料__3[[#This Row],[售出工時]]/交易處理資料__3[[#This Row],[上班時間]])</f>
        <v>0</v>
      </c>
      <c r="O3067" s="31" t="str">
        <f>IF(交易處理資料__3[[#This Row],[上班時間]]=0,"否","是")</f>
        <v>否</v>
      </c>
    </row>
    <row r="3068" spans="1:15" hidden="1">
      <c r="A3068" t="s">
        <v>75</v>
      </c>
      <c r="B3068" t="s">
        <v>34</v>
      </c>
      <c r="C3068">
        <v>1.8333333329999999</v>
      </c>
      <c r="D3068">
        <v>1.4</v>
      </c>
      <c r="E3068" s="27">
        <v>130.952381</v>
      </c>
      <c r="F3068">
        <v>7.87</v>
      </c>
      <c r="G3068">
        <v>1.39</v>
      </c>
      <c r="H3068">
        <v>9.26</v>
      </c>
      <c r="I3068">
        <v>84.99</v>
      </c>
      <c r="J3068">
        <v>19.8</v>
      </c>
      <c r="K3068" s="9">
        <v>45369</v>
      </c>
      <c r="L3068">
        <f xml:space="preserve"> (交易處理資料__3[[#This Row],[售出工時]] * 60) / 5</f>
        <v>21.999999996</v>
      </c>
      <c r="M3068" t="str">
        <f>VLOOKUP(交易處理資料__3[[#This Row],[人員代號]],團隊分組!$B$1:$C$52,2,FALSE)</f>
        <v>快速保養團隊A</v>
      </c>
      <c r="N3068">
        <f>IF(交易處理資料__3[[#This Row],[上班時間]]=0,0,交易處理資料__3[[#This Row],[售出工時]]/交易處理資料__3[[#This Row],[上班時間]])</f>
        <v>0.19798416123110152</v>
      </c>
      <c r="O3068" s="31" t="str">
        <f>IF(交易處理資料__3[[#This Row],[上班時間]]=0,"否","是")</f>
        <v>是</v>
      </c>
    </row>
    <row r="3069" spans="1:15" hidden="1">
      <c r="A3069" t="s">
        <v>75</v>
      </c>
      <c r="B3069" t="s">
        <v>35</v>
      </c>
      <c r="C3069">
        <v>1.48</v>
      </c>
      <c r="D3069">
        <v>1.74</v>
      </c>
      <c r="E3069" s="27">
        <v>85.05747126</v>
      </c>
      <c r="F3069">
        <v>7.31</v>
      </c>
      <c r="G3069">
        <v>2.2599999999999998</v>
      </c>
      <c r="H3069">
        <v>9.57</v>
      </c>
      <c r="I3069">
        <v>76.38</v>
      </c>
      <c r="J3069">
        <v>15.46</v>
      </c>
      <c r="K3069" s="9">
        <v>45369</v>
      </c>
      <c r="L3069">
        <f xml:space="preserve"> (交易處理資料__3[[#This Row],[售出工時]] * 60) / 5</f>
        <v>17.759999999999998</v>
      </c>
      <c r="M3069" t="str">
        <f>VLOOKUP(交易處理資料__3[[#This Row],[人員代號]],團隊分組!$B$1:$C$52,2,FALSE)</f>
        <v>查修團隊B</v>
      </c>
      <c r="N3069">
        <f>IF(交易處理資料__3[[#This Row],[上班時間]]=0,0,交易處理資料__3[[#This Row],[售出工時]]/交易處理資料__3[[#This Row],[上班時間]])</f>
        <v>0.15464994775339602</v>
      </c>
      <c r="O3069" s="31" t="str">
        <f>IF(交易處理資料__3[[#This Row],[上班時間]]=0,"否","是")</f>
        <v>是</v>
      </c>
    </row>
    <row r="3070" spans="1:15" hidden="1">
      <c r="A3070" t="s">
        <v>75</v>
      </c>
      <c r="B3070" t="s">
        <v>36</v>
      </c>
      <c r="C3070">
        <v>0</v>
      </c>
      <c r="D3070">
        <v>0</v>
      </c>
      <c r="E3070" s="27">
        <v>0</v>
      </c>
      <c r="F3070">
        <v>9.2799999999999994</v>
      </c>
      <c r="G3070">
        <v>0.34</v>
      </c>
      <c r="H3070">
        <v>9.6199999999999992</v>
      </c>
      <c r="I3070">
        <v>96.47</v>
      </c>
      <c r="J3070">
        <v>0</v>
      </c>
      <c r="K3070" s="9">
        <v>45369</v>
      </c>
      <c r="L3070">
        <f xml:space="preserve"> (交易處理資料__3[[#This Row],[售出工時]] * 60) / 5</f>
        <v>0</v>
      </c>
      <c r="M3070" t="str">
        <f>VLOOKUP(交易處理資料__3[[#This Row],[人員代號]],團隊分組!$B$1:$C$52,2,FALSE)</f>
        <v>查修團隊B</v>
      </c>
      <c r="N3070">
        <f>IF(交易處理資料__3[[#This Row],[上班時間]]=0,0,交易處理資料__3[[#This Row],[售出工時]]/交易處理資料__3[[#This Row],[上班時間]])</f>
        <v>0</v>
      </c>
      <c r="O3070" s="31" t="str">
        <f>IF(交易處理資料__3[[#This Row],[上班時間]]=0,"否","是")</f>
        <v>是</v>
      </c>
    </row>
    <row r="3071" spans="1:15" hidden="1">
      <c r="A3071" t="s">
        <v>75</v>
      </c>
      <c r="B3071" t="s">
        <v>37</v>
      </c>
      <c r="C3071">
        <v>1.03</v>
      </c>
      <c r="D3071">
        <v>2.3199999999999998</v>
      </c>
      <c r="E3071" s="27">
        <v>44.396551719999998</v>
      </c>
      <c r="F3071">
        <v>6.06</v>
      </c>
      <c r="G3071">
        <v>3.55</v>
      </c>
      <c r="H3071">
        <v>9.61</v>
      </c>
      <c r="I3071">
        <v>63.06</v>
      </c>
      <c r="J3071">
        <v>10.72</v>
      </c>
      <c r="K3071" s="9">
        <v>45369</v>
      </c>
      <c r="L3071">
        <f xml:space="preserve"> (交易處理資料__3[[#This Row],[售出工時]] * 60) / 5</f>
        <v>12.360000000000001</v>
      </c>
      <c r="M3071" t="str">
        <f>VLOOKUP(交易處理資料__3[[#This Row],[人員代號]],團隊分組!$B$1:$C$52,2,FALSE)</f>
        <v>查修團隊A</v>
      </c>
      <c r="N3071">
        <f>IF(交易處理資料__3[[#This Row],[上班時間]]=0,0,交易處理資料__3[[#This Row],[售出工時]]/交易處理資料__3[[#This Row],[上班時間]])</f>
        <v>0.10718002081165454</v>
      </c>
      <c r="O3071" s="31" t="str">
        <f>IF(交易處理資料__3[[#This Row],[上班時間]]=0,"否","是")</f>
        <v>是</v>
      </c>
    </row>
    <row r="3072" spans="1:15" hidden="1">
      <c r="A3072" t="s">
        <v>75</v>
      </c>
      <c r="B3072" t="s">
        <v>38</v>
      </c>
      <c r="C3072">
        <v>12.95333333</v>
      </c>
      <c r="D3072">
        <v>8.0500000000000007</v>
      </c>
      <c r="E3072" s="27">
        <v>160.91097310000001</v>
      </c>
      <c r="F3072">
        <v>8.6999999999999993</v>
      </c>
      <c r="G3072">
        <v>0.82</v>
      </c>
      <c r="H3072">
        <v>9.52</v>
      </c>
      <c r="I3072">
        <v>91.39</v>
      </c>
      <c r="J3072">
        <v>136.06</v>
      </c>
      <c r="K3072" s="9">
        <v>45369</v>
      </c>
      <c r="L3072">
        <f xml:space="preserve"> (交易處理資料__3[[#This Row],[售出工時]] * 60) / 5</f>
        <v>155.43999995999999</v>
      </c>
      <c r="M3072" t="str">
        <f>VLOOKUP(交易處理資料__3[[#This Row],[人員代號]],團隊分組!$B$1:$C$52,2,FALSE)</f>
        <v>快速保養團隊A</v>
      </c>
      <c r="N3072">
        <f>IF(交易處理資料__3[[#This Row],[上班時間]]=0,0,交易處理資料__3[[#This Row],[售出工時]]/交易處理資料__3[[#This Row],[上班時間]])</f>
        <v>1.3606442573529411</v>
      </c>
      <c r="O3072" s="31" t="str">
        <f>IF(交易處理資料__3[[#This Row],[上班時間]]=0,"否","是")</f>
        <v>是</v>
      </c>
    </row>
    <row r="3073" spans="1:15" hidden="1">
      <c r="A3073" t="s">
        <v>75</v>
      </c>
      <c r="B3073" t="s">
        <v>39</v>
      </c>
      <c r="C3073">
        <v>0.74</v>
      </c>
      <c r="D3073">
        <v>1.75</v>
      </c>
      <c r="E3073" s="27">
        <v>42.285714290000001</v>
      </c>
      <c r="F3073">
        <v>5.42</v>
      </c>
      <c r="G3073">
        <v>2.4500000000000002</v>
      </c>
      <c r="H3073">
        <v>7.87</v>
      </c>
      <c r="I3073">
        <v>68.87</v>
      </c>
      <c r="J3073">
        <v>9.4</v>
      </c>
      <c r="K3073" s="9">
        <v>45369</v>
      </c>
      <c r="L3073">
        <f xml:space="preserve"> (交易處理資料__3[[#This Row],[售出工時]] * 60) / 5</f>
        <v>8.879999999999999</v>
      </c>
      <c r="M3073" t="str">
        <f>VLOOKUP(交易處理資料__3[[#This Row],[人員代號]],團隊分組!$B$1:$C$52,2,FALSE)</f>
        <v>查修團隊A</v>
      </c>
      <c r="N3073">
        <f>IF(交易處理資料__3[[#This Row],[上班時間]]=0,0,交易處理資料__3[[#This Row],[售出工時]]/交易處理資料__3[[#This Row],[上班時間]])</f>
        <v>9.4027954256670904E-2</v>
      </c>
      <c r="O3073" s="31" t="str">
        <f>IF(交易處理資料__3[[#This Row],[上班時間]]=0,"否","是")</f>
        <v>是</v>
      </c>
    </row>
    <row r="3074" spans="1:15" hidden="1">
      <c r="A3074" t="s">
        <v>75</v>
      </c>
      <c r="B3074" t="s">
        <v>40</v>
      </c>
      <c r="C3074">
        <v>0.23</v>
      </c>
      <c r="D3074">
        <v>1.92</v>
      </c>
      <c r="E3074" s="27">
        <v>11.97916667</v>
      </c>
      <c r="F3074">
        <v>7.07</v>
      </c>
      <c r="G3074">
        <v>0.92</v>
      </c>
      <c r="H3074">
        <v>7.99</v>
      </c>
      <c r="I3074">
        <v>88.49</v>
      </c>
      <c r="J3074">
        <v>2.88</v>
      </c>
      <c r="K3074" s="9">
        <v>45369</v>
      </c>
      <c r="L3074">
        <f xml:space="preserve"> (交易處理資料__3[[#This Row],[售出工時]] * 60) / 5</f>
        <v>2.7600000000000002</v>
      </c>
      <c r="M3074" t="str">
        <f>VLOOKUP(交易處理資料__3[[#This Row],[人員代號]],團隊分組!$B$1:$C$52,2,FALSE)</f>
        <v>查修團隊A</v>
      </c>
      <c r="N3074">
        <f>IF(交易處理資料__3[[#This Row],[上班時間]]=0,0,交易處理資料__3[[#This Row],[售出工時]]/交易處理資料__3[[#This Row],[上班時間]])</f>
        <v>2.8785982478097622E-2</v>
      </c>
      <c r="O3074" s="31" t="str">
        <f>IF(交易處理資料__3[[#This Row],[上班時間]]=0,"否","是")</f>
        <v>是</v>
      </c>
    </row>
    <row r="3075" spans="1:15" hidden="1">
      <c r="A3075" t="s">
        <v>75</v>
      </c>
      <c r="B3075" t="s">
        <v>41</v>
      </c>
      <c r="C3075">
        <v>15.41666667</v>
      </c>
      <c r="D3075">
        <v>8.0299999999999994</v>
      </c>
      <c r="E3075" s="27">
        <v>191.98837689999999</v>
      </c>
      <c r="F3075">
        <v>8.3699999999999992</v>
      </c>
      <c r="G3075">
        <v>1.1599999999999999</v>
      </c>
      <c r="H3075">
        <v>9.5299999999999994</v>
      </c>
      <c r="I3075">
        <v>87.83</v>
      </c>
      <c r="J3075">
        <v>161.77000000000001</v>
      </c>
      <c r="K3075" s="9">
        <v>45369</v>
      </c>
      <c r="L3075">
        <f xml:space="preserve"> (交易處理資料__3[[#This Row],[售出工時]] * 60) / 5</f>
        <v>185.00000003999997</v>
      </c>
      <c r="M3075" t="str">
        <f>VLOOKUP(交易處理資料__3[[#This Row],[人員代號]],團隊分組!$B$1:$C$52,2,FALSE)</f>
        <v>快速保養團隊A</v>
      </c>
      <c r="N3075">
        <f>IF(交易處理資料__3[[#This Row],[上班時間]]=0,0,交易處理資料__3[[#This Row],[售出工時]]/交易處理資料__3[[#This Row],[上班時間]])</f>
        <v>1.6176984963273873</v>
      </c>
      <c r="O3075" s="31" t="str">
        <f>IF(交易處理資料__3[[#This Row],[上班時間]]=0,"否","是")</f>
        <v>是</v>
      </c>
    </row>
    <row r="3076" spans="1:15" hidden="1">
      <c r="A3076" t="s">
        <v>75</v>
      </c>
      <c r="B3076" t="s">
        <v>42</v>
      </c>
      <c r="C3076">
        <v>3.1666666669999999</v>
      </c>
      <c r="D3076">
        <v>2.42</v>
      </c>
      <c r="E3076" s="27">
        <v>130.8539945</v>
      </c>
      <c r="F3076">
        <v>5.39</v>
      </c>
      <c r="G3076">
        <v>2.5099999999999998</v>
      </c>
      <c r="H3076">
        <v>7.9</v>
      </c>
      <c r="I3076">
        <v>68.23</v>
      </c>
      <c r="J3076">
        <v>40.08</v>
      </c>
      <c r="K3076" s="9">
        <v>45369</v>
      </c>
      <c r="L3076">
        <f xml:space="preserve"> (交易處理資料__3[[#This Row],[售出工時]] * 60) / 5</f>
        <v>38.000000004</v>
      </c>
      <c r="M3076" t="str">
        <f>VLOOKUP(交易處理資料__3[[#This Row],[人員代號]],團隊分組!$B$1:$C$52,2,FALSE)</f>
        <v>快速保養團隊A</v>
      </c>
      <c r="N3076">
        <f>IF(交易處理資料__3[[#This Row],[上班時間]]=0,0,交易處理資料__3[[#This Row],[售出工時]]/交易處理資料__3[[#This Row],[上班時間]])</f>
        <v>0.40084388189873416</v>
      </c>
      <c r="O3076" s="31" t="str">
        <f>IF(交易處理資料__3[[#This Row],[上班時間]]=0,"否","是")</f>
        <v>是</v>
      </c>
    </row>
    <row r="3077" spans="1:15" hidden="1">
      <c r="A3077" t="s">
        <v>75</v>
      </c>
      <c r="B3077" t="s">
        <v>44</v>
      </c>
      <c r="C3077">
        <v>3.28</v>
      </c>
      <c r="D3077">
        <v>3.4</v>
      </c>
      <c r="E3077" s="27">
        <v>96.470588239999998</v>
      </c>
      <c r="F3077">
        <v>7.9</v>
      </c>
      <c r="G3077">
        <v>0.15</v>
      </c>
      <c r="H3077">
        <v>8.0500000000000007</v>
      </c>
      <c r="I3077">
        <v>98.14</v>
      </c>
      <c r="J3077">
        <v>40.75</v>
      </c>
      <c r="K3077" s="9">
        <v>45369</v>
      </c>
      <c r="L3077">
        <f xml:space="preserve"> (交易處理資料__3[[#This Row],[售出工時]] * 60) / 5</f>
        <v>39.36</v>
      </c>
      <c r="M3077" t="str">
        <f>VLOOKUP(交易處理資料__3[[#This Row],[人員代號]],團隊分組!$B$1:$C$52,2,FALSE)</f>
        <v>快速保養團隊B</v>
      </c>
      <c r="N3077">
        <f>IF(交易處理資料__3[[#This Row],[上班時間]]=0,0,交易處理資料__3[[#This Row],[售出工時]]/交易處理資料__3[[#This Row],[上班時間]])</f>
        <v>0.40745341614906827</v>
      </c>
      <c r="O3077" s="31" t="str">
        <f>IF(交易處理資料__3[[#This Row],[上班時間]]=0,"否","是")</f>
        <v>是</v>
      </c>
    </row>
    <row r="3078" spans="1:15" hidden="1">
      <c r="A3078" t="s">
        <v>75</v>
      </c>
      <c r="B3078" t="s">
        <v>45</v>
      </c>
      <c r="C3078">
        <v>11.5</v>
      </c>
      <c r="D3078">
        <v>7.72</v>
      </c>
      <c r="E3078" s="27">
        <v>148.96373059999999</v>
      </c>
      <c r="F3078">
        <v>7.04</v>
      </c>
      <c r="G3078">
        <v>1.26</v>
      </c>
      <c r="H3078">
        <v>8.3000000000000007</v>
      </c>
      <c r="I3078">
        <v>84.82</v>
      </c>
      <c r="J3078">
        <v>138.55000000000001</v>
      </c>
      <c r="K3078" s="9">
        <v>45369</v>
      </c>
      <c r="L3078">
        <f xml:space="preserve"> (交易處理資料__3[[#This Row],[售出工時]] * 60) / 5</f>
        <v>138</v>
      </c>
      <c r="M3078" t="str">
        <f>VLOOKUP(交易處理資料__3[[#This Row],[人員代號]],團隊分組!$B$1:$C$52,2,FALSE)</f>
        <v>快速保養團隊A</v>
      </c>
      <c r="N3078">
        <f>IF(交易處理資料__3[[#This Row],[上班時間]]=0,0,交易處理資料__3[[#This Row],[售出工時]]/交易處理資料__3[[#This Row],[上班時間]])</f>
        <v>1.3855421686746987</v>
      </c>
      <c r="O3078" s="31" t="str">
        <f>IF(交易處理資料__3[[#This Row],[上班時間]]=0,"否","是")</f>
        <v>是</v>
      </c>
    </row>
    <row r="3079" spans="1:15" hidden="1">
      <c r="A3079" t="s">
        <v>75</v>
      </c>
      <c r="B3079" t="s">
        <v>46</v>
      </c>
      <c r="C3079">
        <v>0</v>
      </c>
      <c r="D3079">
        <v>0</v>
      </c>
      <c r="E3079" s="27">
        <v>0</v>
      </c>
      <c r="F3079">
        <v>7.55</v>
      </c>
      <c r="G3079">
        <v>0.65</v>
      </c>
      <c r="H3079">
        <v>8.1999999999999993</v>
      </c>
      <c r="I3079">
        <v>92.07</v>
      </c>
      <c r="J3079">
        <v>0</v>
      </c>
      <c r="K3079" s="9">
        <v>45369</v>
      </c>
      <c r="L3079">
        <f xml:space="preserve"> (交易處理資料__3[[#This Row],[售出工時]] * 60) / 5</f>
        <v>0</v>
      </c>
      <c r="M3079" t="str">
        <f>VLOOKUP(交易處理資料__3[[#This Row],[人員代號]],團隊分組!$B$1:$C$52,2,FALSE)</f>
        <v>查修團隊B</v>
      </c>
      <c r="N3079">
        <f>IF(交易處理資料__3[[#This Row],[上班時間]]=0,0,交易處理資料__3[[#This Row],[售出工時]]/交易處理資料__3[[#This Row],[上班時間]])</f>
        <v>0</v>
      </c>
      <c r="O3079" s="31" t="str">
        <f>IF(交易處理資料__3[[#This Row],[上班時間]]=0,"否","是")</f>
        <v>是</v>
      </c>
    </row>
    <row r="3080" spans="1:15" hidden="1">
      <c r="A3080" t="s">
        <v>75</v>
      </c>
      <c r="B3080" t="s">
        <v>47</v>
      </c>
      <c r="C3080">
        <v>6.6666666670000003</v>
      </c>
      <c r="D3080">
        <v>8.09</v>
      </c>
      <c r="E3080" s="27">
        <v>82.40626288</v>
      </c>
      <c r="F3080">
        <v>6.23</v>
      </c>
      <c r="G3080">
        <v>1.88</v>
      </c>
      <c r="H3080">
        <v>8.11</v>
      </c>
      <c r="I3080">
        <v>76.819999999999993</v>
      </c>
      <c r="J3080">
        <v>82.2</v>
      </c>
      <c r="K3080" s="9">
        <v>45369</v>
      </c>
      <c r="L3080">
        <f xml:space="preserve"> (交易處理資料__3[[#This Row],[售出工時]] * 60) / 5</f>
        <v>80.000000004</v>
      </c>
      <c r="M3080" t="str">
        <f>VLOOKUP(交易處理資料__3[[#This Row],[人員代號]],團隊分組!$B$1:$C$52,2,FALSE)</f>
        <v>查修團隊B</v>
      </c>
      <c r="N3080">
        <f>IF(交易處理資料__3[[#This Row],[上班時間]]=0,0,交易處理資料__3[[#This Row],[售出工時]]/交易處理資料__3[[#This Row],[上班時間]])</f>
        <v>0.82203041516646125</v>
      </c>
      <c r="O3080" s="31" t="str">
        <f>IF(交易處理資料__3[[#This Row],[上班時間]]=0,"否","是")</f>
        <v>是</v>
      </c>
    </row>
    <row r="3081" spans="1:15" hidden="1">
      <c r="A3081" t="s">
        <v>75</v>
      </c>
      <c r="B3081" t="s">
        <v>49</v>
      </c>
      <c r="C3081">
        <v>0</v>
      </c>
      <c r="D3081">
        <v>0</v>
      </c>
      <c r="E3081" s="27">
        <v>0</v>
      </c>
      <c r="F3081">
        <v>7.05</v>
      </c>
      <c r="G3081">
        <v>0.81</v>
      </c>
      <c r="H3081">
        <v>7.86</v>
      </c>
      <c r="I3081">
        <v>89.69</v>
      </c>
      <c r="J3081">
        <v>0</v>
      </c>
      <c r="K3081" s="9">
        <v>45369</v>
      </c>
      <c r="L3081">
        <f xml:space="preserve"> (交易處理資料__3[[#This Row],[售出工時]] * 60) / 5</f>
        <v>0</v>
      </c>
      <c r="M3081" t="str">
        <f>VLOOKUP(交易處理資料__3[[#This Row],[人員代號]],團隊分組!$B$1:$C$52,2,FALSE)</f>
        <v>查修團隊A</v>
      </c>
      <c r="N3081">
        <f>IF(交易處理資料__3[[#This Row],[上班時間]]=0,0,交易處理資料__3[[#This Row],[售出工時]]/交易處理資料__3[[#This Row],[上班時間]])</f>
        <v>0</v>
      </c>
      <c r="O3081" s="31" t="str">
        <f>IF(交易處理資料__3[[#This Row],[上班時間]]=0,"否","是")</f>
        <v>是</v>
      </c>
    </row>
    <row r="3082" spans="1:15" hidden="1">
      <c r="A3082" t="s">
        <v>75</v>
      </c>
      <c r="B3082" t="s">
        <v>50</v>
      </c>
      <c r="C3082">
        <v>2.2999999999999998</v>
      </c>
      <c r="D3082">
        <v>3.4</v>
      </c>
      <c r="E3082" s="27">
        <v>67.647058819999998</v>
      </c>
      <c r="F3082">
        <v>7.88</v>
      </c>
      <c r="G3082">
        <v>0.15</v>
      </c>
      <c r="H3082">
        <v>8.0299999999999994</v>
      </c>
      <c r="I3082">
        <v>98.13</v>
      </c>
      <c r="J3082">
        <v>28.64</v>
      </c>
      <c r="K3082" s="9">
        <v>45369</v>
      </c>
      <c r="L3082">
        <f xml:space="preserve"> (交易處理資料__3[[#This Row],[售出工時]] * 60) / 5</f>
        <v>27.6</v>
      </c>
      <c r="M3082" t="str">
        <f>VLOOKUP(交易處理資料__3[[#This Row],[人員代號]],團隊分組!$B$1:$C$52,2,FALSE)</f>
        <v>快速保養團隊B</v>
      </c>
      <c r="N3082">
        <f>IF(交易處理資料__3[[#This Row],[上班時間]]=0,0,交易處理資料__3[[#This Row],[售出工時]]/交易處理資料__3[[#This Row],[上班時間]])</f>
        <v>0.28642590286425901</v>
      </c>
      <c r="O3082" s="31" t="str">
        <f>IF(交易處理資料__3[[#This Row],[上班時間]]=0,"否","是")</f>
        <v>是</v>
      </c>
    </row>
    <row r="3083" spans="1:15" hidden="1">
      <c r="A3083" t="s">
        <v>75</v>
      </c>
      <c r="B3083" t="s">
        <v>51</v>
      </c>
      <c r="C3083">
        <v>0</v>
      </c>
      <c r="D3083">
        <v>0</v>
      </c>
      <c r="E3083" s="27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 s="9">
        <v>45369</v>
      </c>
      <c r="L3083">
        <f xml:space="preserve"> (交易處理資料__3[[#This Row],[售出工時]] * 60) / 5</f>
        <v>0</v>
      </c>
      <c r="M3083" t="str">
        <f>VLOOKUP(交易處理資料__3[[#This Row],[人員代號]],團隊分組!$B$1:$C$52,2,FALSE)</f>
        <v>無效數據</v>
      </c>
      <c r="N3083">
        <f>IF(交易處理資料__3[[#This Row],[上班時間]]=0,0,交易處理資料__3[[#This Row],[售出工時]]/交易處理資料__3[[#This Row],[上班時間]])</f>
        <v>0</v>
      </c>
      <c r="O3083" s="31" t="str">
        <f>IF(交易處理資料__3[[#This Row],[上班時間]]=0,"否","是")</f>
        <v>否</v>
      </c>
    </row>
    <row r="3084" spans="1:15" hidden="1">
      <c r="A3084" t="s">
        <v>75</v>
      </c>
      <c r="B3084" t="s">
        <v>52</v>
      </c>
      <c r="C3084">
        <v>1</v>
      </c>
      <c r="D3084">
        <v>0.19</v>
      </c>
      <c r="E3084" s="27">
        <v>526.31578950000005</v>
      </c>
      <c r="F3084">
        <v>7.66</v>
      </c>
      <c r="G3084">
        <v>0.45</v>
      </c>
      <c r="H3084">
        <v>8.11</v>
      </c>
      <c r="I3084">
        <v>94.45</v>
      </c>
      <c r="J3084">
        <v>12.33</v>
      </c>
      <c r="K3084" s="9">
        <v>45369</v>
      </c>
      <c r="L3084">
        <f xml:space="preserve"> (交易處理資料__3[[#This Row],[售出工時]] * 60) / 5</f>
        <v>12</v>
      </c>
      <c r="M3084" t="str">
        <f>VLOOKUP(交易處理資料__3[[#This Row],[人員代號]],團隊分組!$B$1:$C$52,2,FALSE)</f>
        <v>查修團隊B</v>
      </c>
      <c r="N3084">
        <f>IF(交易處理資料__3[[#This Row],[上班時間]]=0,0,交易處理資料__3[[#This Row],[售出工時]]/交易處理資料__3[[#This Row],[上班時間]])</f>
        <v>0.12330456226880396</v>
      </c>
      <c r="O3084" s="31" t="str">
        <f>IF(交易處理資料__3[[#This Row],[上班時間]]=0,"否","是")</f>
        <v>是</v>
      </c>
    </row>
    <row r="3085" spans="1:15" hidden="1">
      <c r="A3085" s="10" t="s">
        <v>73</v>
      </c>
      <c r="B3085" t="s">
        <v>6</v>
      </c>
      <c r="C3085">
        <v>2.2200000000000002</v>
      </c>
      <c r="D3085">
        <v>10.34</v>
      </c>
      <c r="E3085" s="27">
        <v>21.47001934</v>
      </c>
      <c r="F3085">
        <v>10.46</v>
      </c>
      <c r="G3085">
        <v>0.09</v>
      </c>
      <c r="H3085">
        <v>10.55</v>
      </c>
      <c r="I3085">
        <v>99.15</v>
      </c>
      <c r="J3085">
        <v>21.04</v>
      </c>
      <c r="K3085" s="9">
        <v>45370</v>
      </c>
      <c r="L3085">
        <f xml:space="preserve"> (交易處理資料__3[[#This Row],[售出工時]] * 60) / 5</f>
        <v>26.640000000000004</v>
      </c>
      <c r="M3085" t="str">
        <f>VLOOKUP(交易處理資料__3[[#This Row],[人員代號]],團隊分組!$B$1:$C$52,2,FALSE)</f>
        <v>噴漆維修組</v>
      </c>
      <c r="N3085">
        <f>IF(交易處理資料__3[[#This Row],[上班時間]]=0,0,交易處理資料__3[[#This Row],[售出工時]]/交易處理資料__3[[#This Row],[上班時間]])</f>
        <v>0.2104265402843602</v>
      </c>
      <c r="O3085" s="31" t="str">
        <f>IF(交易處理資料__3[[#This Row],[上班時間]]=0,"否","是")</f>
        <v>是</v>
      </c>
    </row>
    <row r="3086" spans="1:15" hidden="1">
      <c r="A3086" s="10" t="s">
        <v>73</v>
      </c>
      <c r="B3086" t="s">
        <v>8</v>
      </c>
      <c r="C3086">
        <v>3.3</v>
      </c>
      <c r="D3086">
        <v>5.88</v>
      </c>
      <c r="E3086" s="27">
        <v>56.122448980000001</v>
      </c>
      <c r="F3086">
        <v>7.48</v>
      </c>
      <c r="G3086">
        <v>0.57999999999999996</v>
      </c>
      <c r="H3086">
        <v>8.06</v>
      </c>
      <c r="I3086">
        <v>92.8</v>
      </c>
      <c r="J3086">
        <v>40.94</v>
      </c>
      <c r="K3086" s="9">
        <v>45370</v>
      </c>
      <c r="L3086">
        <f xml:space="preserve"> (交易處理資料__3[[#This Row],[售出工時]] * 60) / 5</f>
        <v>39.6</v>
      </c>
      <c r="M3086" t="str">
        <f>VLOOKUP(交易處理資料__3[[#This Row],[人員代號]],團隊分組!$B$1:$C$52,2,FALSE)</f>
        <v>噴漆維修組</v>
      </c>
      <c r="N3086">
        <f>IF(交易處理資料__3[[#This Row],[上班時間]]=0,0,交易處理資料__3[[#This Row],[售出工時]]/交易處理資料__3[[#This Row],[上班時間]])</f>
        <v>0.40942928039702231</v>
      </c>
      <c r="O3086" s="31" t="str">
        <f>IF(交易處理資料__3[[#This Row],[上班時間]]=0,"否","是")</f>
        <v>是</v>
      </c>
    </row>
    <row r="3087" spans="1:15" hidden="1">
      <c r="A3087" t="s">
        <v>74</v>
      </c>
      <c r="B3087" t="s">
        <v>11</v>
      </c>
      <c r="C3087">
        <v>4.4366666669999999</v>
      </c>
      <c r="D3087">
        <v>3.37</v>
      </c>
      <c r="E3087" s="27">
        <v>131.6518299</v>
      </c>
      <c r="F3087">
        <v>1.68</v>
      </c>
      <c r="G3087">
        <v>6.37</v>
      </c>
      <c r="H3087">
        <v>8.0500000000000007</v>
      </c>
      <c r="I3087">
        <v>20.87</v>
      </c>
      <c r="J3087">
        <v>55.11</v>
      </c>
      <c r="K3087" s="9">
        <v>45370</v>
      </c>
      <c r="L3087">
        <f xml:space="preserve"> (交易處理資料__3[[#This Row],[售出工時]] * 60) / 5</f>
        <v>53.240000004000002</v>
      </c>
      <c r="M3087" t="str">
        <f>VLOOKUP(交易處理資料__3[[#This Row],[人員代號]],團隊分組!$B$1:$C$52,2,FALSE)</f>
        <v>鈑金維修組</v>
      </c>
      <c r="N3087">
        <f>IF(交易處理資料__3[[#This Row],[上班時間]]=0,0,交易處理資料__3[[#This Row],[售出工時]]/交易處理資料__3[[#This Row],[上班時間]])</f>
        <v>0.55113871639751544</v>
      </c>
      <c r="O3087" s="31" t="str">
        <f>IF(交易處理資料__3[[#This Row],[上班時間]]=0,"否","是")</f>
        <v>是</v>
      </c>
    </row>
    <row r="3088" spans="1:15" hidden="1">
      <c r="A3088" t="s">
        <v>74</v>
      </c>
      <c r="B3088" t="s">
        <v>14</v>
      </c>
      <c r="C3088">
        <v>7.3366666670000003</v>
      </c>
      <c r="D3088">
        <v>6.01</v>
      </c>
      <c r="E3088" s="27">
        <v>122.07432059999999</v>
      </c>
      <c r="F3088">
        <v>6.18</v>
      </c>
      <c r="G3088">
        <v>1.89</v>
      </c>
      <c r="H3088">
        <v>8.07</v>
      </c>
      <c r="I3088">
        <v>76.58</v>
      </c>
      <c r="J3088">
        <v>90.91</v>
      </c>
      <c r="K3088" s="9">
        <v>45370</v>
      </c>
      <c r="L3088">
        <f xml:space="preserve"> (交易處理資料__3[[#This Row],[售出工時]] * 60) / 5</f>
        <v>88.040000004000007</v>
      </c>
      <c r="M3088" t="str">
        <f>VLOOKUP(交易處理資料__3[[#This Row],[人員代號]],團隊分組!$B$1:$C$52,2,FALSE)</f>
        <v>鈑金維修組</v>
      </c>
      <c r="N3088">
        <f>IF(交易處理資料__3[[#This Row],[上班時間]]=0,0,交易處理資料__3[[#This Row],[售出工時]]/交易處理資料__3[[#This Row],[上班時間]])</f>
        <v>0.90912845935563813</v>
      </c>
      <c r="O3088" s="31" t="str">
        <f>IF(交易處理資料__3[[#This Row],[上班時間]]=0,"否","是")</f>
        <v>是</v>
      </c>
    </row>
    <row r="3089" spans="1:15" hidden="1">
      <c r="A3089" t="s">
        <v>75</v>
      </c>
      <c r="B3089" t="s">
        <v>17</v>
      </c>
      <c r="C3089">
        <v>13.31</v>
      </c>
      <c r="D3089">
        <v>5.31</v>
      </c>
      <c r="E3089" s="27">
        <v>250.65913370000001</v>
      </c>
      <c r="F3089">
        <v>8.18</v>
      </c>
      <c r="G3089">
        <v>0.14000000000000001</v>
      </c>
      <c r="H3089">
        <v>8.32</v>
      </c>
      <c r="I3089">
        <v>98.32</v>
      </c>
      <c r="J3089">
        <v>159.97999999999999</v>
      </c>
      <c r="K3089" s="9">
        <v>45370</v>
      </c>
      <c r="L3089">
        <f xml:space="preserve"> (交易處理資料__3[[#This Row],[售出工時]] * 60) / 5</f>
        <v>159.72</v>
      </c>
      <c r="M3089" t="str">
        <f>VLOOKUP(交易處理資料__3[[#This Row],[人員代號]],團隊分組!$B$1:$C$52,2,FALSE)</f>
        <v>快速保養團隊A</v>
      </c>
      <c r="N3089">
        <f>IF(交易處理資料__3[[#This Row],[上班時間]]=0,0,交易處理資料__3[[#This Row],[售出工時]]/交易處理資料__3[[#This Row],[上班時間]])</f>
        <v>1.5997596153846154</v>
      </c>
      <c r="O3089" s="31" t="str">
        <f>IF(交易處理資料__3[[#This Row],[上班時間]]=0,"否","是")</f>
        <v>是</v>
      </c>
    </row>
    <row r="3090" spans="1:15" hidden="1">
      <c r="A3090" t="s">
        <v>75</v>
      </c>
      <c r="B3090" t="s">
        <v>18</v>
      </c>
      <c r="C3090">
        <v>0</v>
      </c>
      <c r="D3090">
        <v>0</v>
      </c>
      <c r="E3090" s="27">
        <v>0</v>
      </c>
      <c r="F3090">
        <v>7.82</v>
      </c>
      <c r="G3090">
        <v>0.32</v>
      </c>
      <c r="H3090">
        <v>8.14</v>
      </c>
      <c r="I3090">
        <v>96.07</v>
      </c>
      <c r="J3090">
        <v>0</v>
      </c>
      <c r="K3090" s="9">
        <v>45370</v>
      </c>
      <c r="L3090">
        <f xml:space="preserve"> (交易處理資料__3[[#This Row],[售出工時]] * 60) / 5</f>
        <v>0</v>
      </c>
      <c r="M3090" t="str">
        <f>VLOOKUP(交易處理資料__3[[#This Row],[人員代號]],團隊分組!$B$1:$C$52,2,FALSE)</f>
        <v>查修團隊B</v>
      </c>
      <c r="N3090">
        <f>IF(交易處理資料__3[[#This Row],[上班時間]]=0,0,交易處理資料__3[[#This Row],[售出工時]]/交易處理資料__3[[#This Row],[上班時間]])</f>
        <v>0</v>
      </c>
      <c r="O3090" s="31" t="str">
        <f>IF(交易處理資料__3[[#This Row],[上班時間]]=0,"否","是")</f>
        <v>是</v>
      </c>
    </row>
    <row r="3091" spans="1:15" hidden="1">
      <c r="A3091" t="s">
        <v>75</v>
      </c>
      <c r="B3091" t="s">
        <v>20</v>
      </c>
      <c r="C3091">
        <v>0.33333333300000001</v>
      </c>
      <c r="D3091">
        <v>0.97</v>
      </c>
      <c r="E3091" s="27">
        <v>34.364261169999999</v>
      </c>
      <c r="F3091">
        <v>0</v>
      </c>
      <c r="G3091">
        <v>4.47</v>
      </c>
      <c r="H3091">
        <v>4.47</v>
      </c>
      <c r="I3091">
        <v>0</v>
      </c>
      <c r="J3091">
        <v>7.46</v>
      </c>
      <c r="K3091" s="9">
        <v>45370</v>
      </c>
      <c r="L3091">
        <f xml:space="preserve"> (交易處理資料__3[[#This Row],[售出工時]] * 60) / 5</f>
        <v>3.9999999960000006</v>
      </c>
      <c r="M3091" t="str">
        <f>VLOOKUP(交易處理資料__3[[#This Row],[人員代號]],團隊分組!$B$1:$C$52,2,FALSE)</f>
        <v>查修團隊B</v>
      </c>
      <c r="N3091">
        <f>IF(交易處理資料__3[[#This Row],[上班時間]]=0,0,交易處理資料__3[[#This Row],[售出工時]]/交易處理資料__3[[#This Row],[上班時間]])</f>
        <v>7.4571215436241622E-2</v>
      </c>
      <c r="O3091" s="31" t="str">
        <f>IF(交易處理資料__3[[#This Row],[上班時間]]=0,"否","是")</f>
        <v>是</v>
      </c>
    </row>
    <row r="3092" spans="1:15" hidden="1">
      <c r="A3092" t="s">
        <v>75</v>
      </c>
      <c r="B3092" t="s">
        <v>21</v>
      </c>
      <c r="C3092">
        <v>2.48</v>
      </c>
      <c r="D3092">
        <v>1.46</v>
      </c>
      <c r="E3092" s="27">
        <v>169.86301370000001</v>
      </c>
      <c r="F3092">
        <v>7.01</v>
      </c>
      <c r="G3092">
        <v>1.48</v>
      </c>
      <c r="H3092">
        <v>8.49</v>
      </c>
      <c r="I3092">
        <v>82.57</v>
      </c>
      <c r="J3092">
        <v>29.21</v>
      </c>
      <c r="K3092" s="9">
        <v>45370</v>
      </c>
      <c r="L3092">
        <f xml:space="preserve"> (交易處理資料__3[[#This Row],[售出工時]] * 60) / 5</f>
        <v>29.76</v>
      </c>
      <c r="M3092" t="str">
        <f>VLOOKUP(交易處理資料__3[[#This Row],[人員代號]],團隊分組!$B$1:$C$52,2,FALSE)</f>
        <v>查修團隊B</v>
      </c>
      <c r="N3092">
        <f>IF(交易處理資料__3[[#This Row],[上班時間]]=0,0,交易處理資料__3[[#This Row],[售出工時]]/交易處理資料__3[[#This Row],[上班時間]])</f>
        <v>0.29210836277974084</v>
      </c>
      <c r="O3092" s="31" t="str">
        <f>IF(交易處理資料__3[[#This Row],[上班時間]]=0,"否","是")</f>
        <v>是</v>
      </c>
    </row>
    <row r="3093" spans="1:15" hidden="1">
      <c r="A3093" t="s">
        <v>75</v>
      </c>
      <c r="B3093" t="s">
        <v>24</v>
      </c>
      <c r="C3093">
        <v>12.10333333</v>
      </c>
      <c r="D3093">
        <v>6.26</v>
      </c>
      <c r="E3093" s="27">
        <v>193.34398300000001</v>
      </c>
      <c r="F3093">
        <v>9.1199999999999992</v>
      </c>
      <c r="G3093">
        <v>0.44</v>
      </c>
      <c r="H3093">
        <v>9.56</v>
      </c>
      <c r="I3093">
        <v>95.4</v>
      </c>
      <c r="J3093">
        <v>126.6</v>
      </c>
      <c r="K3093" s="9">
        <v>45370</v>
      </c>
      <c r="L3093">
        <f xml:space="preserve"> (交易處理資料__3[[#This Row],[售出工時]] * 60) / 5</f>
        <v>145.23999996000001</v>
      </c>
      <c r="M3093" t="str">
        <f>VLOOKUP(交易處理資料__3[[#This Row],[人員代號]],團隊分組!$B$1:$C$52,2,FALSE)</f>
        <v>快速保養團隊A</v>
      </c>
      <c r="N3093">
        <f>IF(交易處理資料__3[[#This Row],[上班時間]]=0,0,交易處理資料__3[[#This Row],[售出工時]]/交易處理資料__3[[#This Row],[上班時間]])</f>
        <v>1.26603905125523</v>
      </c>
      <c r="O3093" s="31" t="str">
        <f>IF(交易處理資料__3[[#This Row],[上班時間]]=0,"否","是")</f>
        <v>是</v>
      </c>
    </row>
    <row r="3094" spans="1:15" hidden="1">
      <c r="A3094" t="s">
        <v>75</v>
      </c>
      <c r="B3094" t="s">
        <v>25</v>
      </c>
      <c r="C3094">
        <v>3.47</v>
      </c>
      <c r="D3094">
        <v>4.25</v>
      </c>
      <c r="E3094" s="27">
        <v>81.647058819999998</v>
      </c>
      <c r="F3094">
        <v>7.4</v>
      </c>
      <c r="G3094">
        <v>0.8</v>
      </c>
      <c r="H3094">
        <v>8.1999999999999993</v>
      </c>
      <c r="I3094">
        <v>90.24</v>
      </c>
      <c r="J3094">
        <v>42.32</v>
      </c>
      <c r="K3094" s="9">
        <v>45370</v>
      </c>
      <c r="L3094">
        <f xml:space="preserve"> (交易處理資料__3[[#This Row],[售出工時]] * 60) / 5</f>
        <v>41.64</v>
      </c>
      <c r="M3094" t="str">
        <f>VLOOKUP(交易處理資料__3[[#This Row],[人員代號]],團隊分組!$B$1:$C$52,2,FALSE)</f>
        <v>查修團隊A</v>
      </c>
      <c r="N3094">
        <f>IF(交易處理資料__3[[#This Row],[上班時間]]=0,0,交易處理資料__3[[#This Row],[售出工時]]/交易處理資料__3[[#This Row],[上班時間]])</f>
        <v>0.42317073170731712</v>
      </c>
      <c r="O3094" s="31" t="str">
        <f>IF(交易處理資料__3[[#This Row],[上班時間]]=0,"否","是")</f>
        <v>是</v>
      </c>
    </row>
    <row r="3095" spans="1:15" hidden="1">
      <c r="A3095" t="s">
        <v>75</v>
      </c>
      <c r="B3095" t="s">
        <v>26</v>
      </c>
      <c r="C3095">
        <v>1.88</v>
      </c>
      <c r="D3095">
        <v>1.76</v>
      </c>
      <c r="E3095" s="27">
        <v>106.8181818</v>
      </c>
      <c r="F3095">
        <v>3.85</v>
      </c>
      <c r="G3095">
        <v>6.15</v>
      </c>
      <c r="H3095">
        <v>10</v>
      </c>
      <c r="I3095">
        <v>38.5</v>
      </c>
      <c r="J3095">
        <v>18.8</v>
      </c>
      <c r="K3095" s="9">
        <v>45370</v>
      </c>
      <c r="L3095">
        <f xml:space="preserve"> (交易處理資料__3[[#This Row],[售出工時]] * 60) / 5</f>
        <v>22.56</v>
      </c>
      <c r="M3095" t="str">
        <f>VLOOKUP(交易處理資料__3[[#This Row],[人員代號]],團隊分組!$B$1:$C$52,2,FALSE)</f>
        <v>查修團隊B</v>
      </c>
      <c r="N3095">
        <f>IF(交易處理資料__3[[#This Row],[上班時間]]=0,0,交易處理資料__3[[#This Row],[售出工時]]/交易處理資料__3[[#This Row],[上班時間]])</f>
        <v>0.188</v>
      </c>
      <c r="O3095" s="31" t="str">
        <f>IF(交易處理資料__3[[#This Row],[上班時間]]=0,"否","是")</f>
        <v>是</v>
      </c>
    </row>
    <row r="3096" spans="1:15" hidden="1">
      <c r="A3096" t="s">
        <v>75</v>
      </c>
      <c r="B3096" t="s">
        <v>27</v>
      </c>
      <c r="C3096">
        <v>11.01</v>
      </c>
      <c r="D3096">
        <v>10.48</v>
      </c>
      <c r="E3096" s="27">
        <v>105.0572519</v>
      </c>
      <c r="F3096">
        <v>9.16</v>
      </c>
      <c r="G3096">
        <v>1.89</v>
      </c>
      <c r="H3096">
        <v>11.05</v>
      </c>
      <c r="I3096">
        <v>82.9</v>
      </c>
      <c r="J3096">
        <v>99.64</v>
      </c>
      <c r="K3096" s="9">
        <v>45370</v>
      </c>
      <c r="L3096">
        <f xml:space="preserve"> (交易處理資料__3[[#This Row],[售出工時]] * 60) / 5</f>
        <v>132.12</v>
      </c>
      <c r="M3096" t="str">
        <f>VLOOKUP(交易處理資料__3[[#This Row],[人員代號]],團隊分組!$B$1:$C$52,2,FALSE)</f>
        <v>快速保養團隊B</v>
      </c>
      <c r="N3096">
        <f>IF(交易處理資料__3[[#This Row],[上班時間]]=0,0,交易處理資料__3[[#This Row],[售出工時]]/交易處理資料__3[[#This Row],[上班時間]])</f>
        <v>0.99638009049773746</v>
      </c>
      <c r="O3096" s="31" t="str">
        <f>IF(交易處理資料__3[[#This Row],[上班時間]]=0,"否","是")</f>
        <v>是</v>
      </c>
    </row>
    <row r="3097" spans="1:15" hidden="1">
      <c r="A3097" t="s">
        <v>75</v>
      </c>
      <c r="B3097" t="s">
        <v>28</v>
      </c>
      <c r="C3097">
        <v>12.08333333</v>
      </c>
      <c r="D3097">
        <v>7.49</v>
      </c>
      <c r="E3097" s="27">
        <v>161.32621270000001</v>
      </c>
      <c r="F3097">
        <v>8.92</v>
      </c>
      <c r="G3097">
        <v>0.88</v>
      </c>
      <c r="H3097">
        <v>9.8000000000000007</v>
      </c>
      <c r="I3097">
        <v>91.02</v>
      </c>
      <c r="J3097">
        <v>123.3</v>
      </c>
      <c r="K3097" s="9">
        <v>45370</v>
      </c>
      <c r="L3097">
        <f xml:space="preserve"> (交易處理資料__3[[#This Row],[售出工時]] * 60) / 5</f>
        <v>144.99999996000003</v>
      </c>
      <c r="M3097" t="str">
        <f>VLOOKUP(交易處理資料__3[[#This Row],[人員代號]],團隊分組!$B$1:$C$52,2,FALSE)</f>
        <v>快速保養團隊A</v>
      </c>
      <c r="N3097">
        <f>IF(交易處理資料__3[[#This Row],[上班時間]]=0,0,交易處理資料__3[[#This Row],[售出工時]]/交易處理資料__3[[#This Row],[上班時間]])</f>
        <v>1.2329931969387755</v>
      </c>
      <c r="O3097" s="31" t="str">
        <f>IF(交易處理資料__3[[#This Row],[上班時間]]=0,"否","是")</f>
        <v>是</v>
      </c>
    </row>
    <row r="3098" spans="1:15" hidden="1">
      <c r="A3098" t="s">
        <v>75</v>
      </c>
      <c r="B3098" t="s">
        <v>29</v>
      </c>
      <c r="C3098">
        <v>1.1666666670000001</v>
      </c>
      <c r="D3098">
        <v>1.35</v>
      </c>
      <c r="E3098" s="27">
        <v>86.41975309</v>
      </c>
      <c r="F3098">
        <v>9.4700000000000006</v>
      </c>
      <c r="G3098">
        <v>0.56999999999999995</v>
      </c>
      <c r="H3098">
        <v>10.039999999999999</v>
      </c>
      <c r="I3098">
        <v>94.32</v>
      </c>
      <c r="J3098">
        <v>11.62</v>
      </c>
      <c r="K3098" s="9">
        <v>45370</v>
      </c>
      <c r="L3098">
        <f xml:space="preserve"> (交易處理資料__3[[#This Row],[售出工時]] * 60) / 5</f>
        <v>14.000000004</v>
      </c>
      <c r="M3098" t="str">
        <f>VLOOKUP(交易處理資料__3[[#This Row],[人員代號]],團隊分組!$B$1:$C$52,2,FALSE)</f>
        <v>查修團隊B</v>
      </c>
      <c r="N3098">
        <f>IF(交易處理資料__3[[#This Row],[上班時間]]=0,0,交易處理資料__3[[#This Row],[售出工時]]/交易處理資料__3[[#This Row],[上班時間]])</f>
        <v>0.11620185926294822</v>
      </c>
      <c r="O3098" s="31" t="str">
        <f>IF(交易處理資料__3[[#This Row],[上班時間]]=0,"否","是")</f>
        <v>是</v>
      </c>
    </row>
    <row r="3099" spans="1:15" hidden="1">
      <c r="A3099" t="s">
        <v>75</v>
      </c>
      <c r="B3099" t="s">
        <v>30</v>
      </c>
      <c r="C3099">
        <v>12.653333330000001</v>
      </c>
      <c r="D3099">
        <v>6.74</v>
      </c>
      <c r="E3099" s="27">
        <v>187.7349159</v>
      </c>
      <c r="F3099">
        <v>9.5399999999999991</v>
      </c>
      <c r="G3099">
        <v>1.51</v>
      </c>
      <c r="H3099">
        <v>11.05</v>
      </c>
      <c r="I3099">
        <v>86.33</v>
      </c>
      <c r="J3099">
        <v>114.51</v>
      </c>
      <c r="K3099" s="9">
        <v>45370</v>
      </c>
      <c r="L3099">
        <f xml:space="preserve"> (交易處理資料__3[[#This Row],[售出工時]] * 60) / 5</f>
        <v>151.83999996</v>
      </c>
      <c r="M3099" t="str">
        <f>VLOOKUP(交易處理資料__3[[#This Row],[人員代號]],團隊分組!$B$1:$C$52,2,FALSE)</f>
        <v>快速保養團隊B</v>
      </c>
      <c r="N3099">
        <f>IF(交易處理資料__3[[#This Row],[上班時間]]=0,0,交易處理資料__3[[#This Row],[售出工時]]/交易處理資料__3[[#This Row],[上班時間]])</f>
        <v>1.1450980389140271</v>
      </c>
      <c r="O3099" s="31" t="str">
        <f>IF(交易處理資料__3[[#This Row],[上班時間]]=0,"否","是")</f>
        <v>是</v>
      </c>
    </row>
    <row r="3100" spans="1:15" hidden="1">
      <c r="A3100" t="s">
        <v>75</v>
      </c>
      <c r="B3100" t="s">
        <v>32</v>
      </c>
      <c r="C3100">
        <v>0</v>
      </c>
      <c r="D3100">
        <v>0</v>
      </c>
      <c r="E3100" s="27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 s="9">
        <v>45370</v>
      </c>
      <c r="L3100">
        <f xml:space="preserve"> (交易處理資料__3[[#This Row],[售出工時]] * 60) / 5</f>
        <v>0</v>
      </c>
      <c r="M3100" t="str">
        <f>VLOOKUP(交易處理資料__3[[#This Row],[人員代號]],團隊分組!$B$1:$C$52,2,FALSE)</f>
        <v>快速保養團隊B</v>
      </c>
      <c r="N3100">
        <f>IF(交易處理資料__3[[#This Row],[上班時間]]=0,0,交易處理資料__3[[#This Row],[售出工時]]/交易處理資料__3[[#This Row],[上班時間]])</f>
        <v>0</v>
      </c>
      <c r="O3100" s="31" t="str">
        <f>IF(交易處理資料__3[[#This Row],[上班時間]]=0,"否","是")</f>
        <v>否</v>
      </c>
    </row>
    <row r="3101" spans="1:15" hidden="1">
      <c r="A3101" t="s">
        <v>75</v>
      </c>
      <c r="B3101" t="s">
        <v>34</v>
      </c>
      <c r="C3101">
        <v>5.9166666670000003</v>
      </c>
      <c r="D3101">
        <v>4.12</v>
      </c>
      <c r="E3101" s="27">
        <v>143.6084142</v>
      </c>
      <c r="F3101">
        <v>7.76</v>
      </c>
      <c r="G3101">
        <v>1.67</v>
      </c>
      <c r="H3101">
        <v>9.43</v>
      </c>
      <c r="I3101">
        <v>82.29</v>
      </c>
      <c r="J3101">
        <v>62.74</v>
      </c>
      <c r="K3101" s="9">
        <v>45370</v>
      </c>
      <c r="L3101">
        <f xml:space="preserve"> (交易處理資料__3[[#This Row],[售出工時]] * 60) / 5</f>
        <v>71.000000004</v>
      </c>
      <c r="M3101" t="str">
        <f>VLOOKUP(交易處理資料__3[[#This Row],[人員代號]],團隊分組!$B$1:$C$52,2,FALSE)</f>
        <v>快速保養團隊A</v>
      </c>
      <c r="N3101">
        <f>IF(交易處理資料__3[[#This Row],[上班時間]]=0,0,交易處理資料__3[[#This Row],[售出工時]]/交易處理資料__3[[#This Row],[上班時間]])</f>
        <v>0.6274301873807</v>
      </c>
      <c r="O3101" s="31" t="str">
        <f>IF(交易處理資料__3[[#This Row],[上班時間]]=0,"否","是")</f>
        <v>是</v>
      </c>
    </row>
    <row r="3102" spans="1:15" hidden="1">
      <c r="A3102" t="s">
        <v>75</v>
      </c>
      <c r="B3102" t="s">
        <v>35</v>
      </c>
      <c r="C3102">
        <v>1.4466666669999999</v>
      </c>
      <c r="D3102">
        <v>2.95</v>
      </c>
      <c r="E3102" s="27">
        <v>49.039548019999998</v>
      </c>
      <c r="F3102">
        <v>8.89</v>
      </c>
      <c r="G3102">
        <v>1.1100000000000001</v>
      </c>
      <c r="H3102">
        <v>10</v>
      </c>
      <c r="I3102">
        <v>88.9</v>
      </c>
      <c r="J3102">
        <v>14.47</v>
      </c>
      <c r="K3102" s="9">
        <v>45370</v>
      </c>
      <c r="L3102">
        <f xml:space="preserve"> (交易處理資料__3[[#This Row],[售出工時]] * 60) / 5</f>
        <v>17.360000004</v>
      </c>
      <c r="M3102" t="str">
        <f>VLOOKUP(交易處理資料__3[[#This Row],[人員代號]],團隊分組!$B$1:$C$52,2,FALSE)</f>
        <v>查修團隊B</v>
      </c>
      <c r="N3102">
        <f>IF(交易處理資料__3[[#This Row],[上班時間]]=0,0,交易處理資料__3[[#This Row],[售出工時]]/交易處理資料__3[[#This Row],[上班時間]])</f>
        <v>0.1446666667</v>
      </c>
      <c r="O3102" s="31" t="str">
        <f>IF(交易處理資料__3[[#This Row],[上班時間]]=0,"否","是")</f>
        <v>是</v>
      </c>
    </row>
    <row r="3103" spans="1:15" hidden="1">
      <c r="A3103" t="s">
        <v>75</v>
      </c>
      <c r="B3103" t="s">
        <v>36</v>
      </c>
      <c r="C3103">
        <v>5.16</v>
      </c>
      <c r="D3103">
        <v>7.05</v>
      </c>
      <c r="E3103" s="27">
        <v>73.191489360000006</v>
      </c>
      <c r="F3103">
        <v>9.6300000000000008</v>
      </c>
      <c r="G3103">
        <v>0.43</v>
      </c>
      <c r="H3103">
        <v>10.06</v>
      </c>
      <c r="I3103">
        <v>95.73</v>
      </c>
      <c r="J3103">
        <v>51.29</v>
      </c>
      <c r="K3103" s="9">
        <v>45370</v>
      </c>
      <c r="L3103">
        <f xml:space="preserve"> (交易處理資料__3[[#This Row],[售出工時]] * 60) / 5</f>
        <v>61.92</v>
      </c>
      <c r="M3103" t="str">
        <f>VLOOKUP(交易處理資料__3[[#This Row],[人員代號]],團隊分組!$B$1:$C$52,2,FALSE)</f>
        <v>查修團隊B</v>
      </c>
      <c r="N3103">
        <f>IF(交易處理資料__3[[#This Row],[上班時間]]=0,0,交易處理資料__3[[#This Row],[售出工時]]/交易處理資料__3[[#This Row],[上班時間]])</f>
        <v>0.51292246520874751</v>
      </c>
      <c r="O3103" s="31" t="str">
        <f>IF(交易處理資料__3[[#This Row],[上班時間]]=0,"否","是")</f>
        <v>是</v>
      </c>
    </row>
    <row r="3104" spans="1:15" hidden="1">
      <c r="A3104" t="s">
        <v>75</v>
      </c>
      <c r="B3104" t="s">
        <v>38</v>
      </c>
      <c r="C3104">
        <v>14.05666667</v>
      </c>
      <c r="D3104">
        <v>9.66</v>
      </c>
      <c r="E3104" s="27">
        <v>145.5141477</v>
      </c>
      <c r="F3104">
        <v>11.12</v>
      </c>
      <c r="G3104">
        <v>0.88</v>
      </c>
      <c r="H3104">
        <v>12</v>
      </c>
      <c r="I3104">
        <v>92.67</v>
      </c>
      <c r="J3104">
        <v>117.14</v>
      </c>
      <c r="K3104" s="9">
        <v>45370</v>
      </c>
      <c r="L3104">
        <f xml:space="preserve"> (交易處理資料__3[[#This Row],[售出工時]] * 60) / 5</f>
        <v>168.68000004000001</v>
      </c>
      <c r="M3104" t="str">
        <f>VLOOKUP(交易處理資料__3[[#This Row],[人員代號]],團隊分組!$B$1:$C$52,2,FALSE)</f>
        <v>快速保養團隊A</v>
      </c>
      <c r="N3104">
        <f>IF(交易處理資料__3[[#This Row],[上班時間]]=0,0,交易處理資料__3[[#This Row],[售出工時]]/交易處理資料__3[[#This Row],[上班時間]])</f>
        <v>1.1713888891666666</v>
      </c>
      <c r="O3104" s="31" t="str">
        <f>IF(交易處理資料__3[[#This Row],[上班時間]]=0,"否","是")</f>
        <v>是</v>
      </c>
    </row>
    <row r="3105" spans="1:15" hidden="1">
      <c r="A3105" t="s">
        <v>75</v>
      </c>
      <c r="B3105" t="s">
        <v>39</v>
      </c>
      <c r="C3105">
        <v>0.5</v>
      </c>
      <c r="D3105">
        <v>0.94</v>
      </c>
      <c r="E3105" s="27">
        <v>53.191489359999998</v>
      </c>
      <c r="F3105">
        <v>6</v>
      </c>
      <c r="G3105">
        <v>2.41</v>
      </c>
      <c r="H3105">
        <v>8.41</v>
      </c>
      <c r="I3105">
        <v>71.34</v>
      </c>
      <c r="J3105">
        <v>5.95</v>
      </c>
      <c r="K3105" s="9">
        <v>45370</v>
      </c>
      <c r="L3105">
        <f xml:space="preserve"> (交易處理資料__3[[#This Row],[售出工時]] * 60) / 5</f>
        <v>6</v>
      </c>
      <c r="M3105" t="str">
        <f>VLOOKUP(交易處理資料__3[[#This Row],[人員代號]],團隊分組!$B$1:$C$52,2,FALSE)</f>
        <v>查修團隊A</v>
      </c>
      <c r="N3105">
        <f>IF(交易處理資料__3[[#This Row],[上班時間]]=0,0,交易處理資料__3[[#This Row],[售出工時]]/交易處理資料__3[[#This Row],[上班時間]])</f>
        <v>5.9453032104637336E-2</v>
      </c>
      <c r="O3105" s="31" t="str">
        <f>IF(交易處理資料__3[[#This Row],[上班時間]]=0,"否","是")</f>
        <v>是</v>
      </c>
    </row>
    <row r="3106" spans="1:15" hidden="1">
      <c r="A3106" t="s">
        <v>75</v>
      </c>
      <c r="B3106" t="s">
        <v>40</v>
      </c>
      <c r="C3106">
        <v>0</v>
      </c>
      <c r="D3106">
        <v>0</v>
      </c>
      <c r="E3106" s="27">
        <v>0</v>
      </c>
      <c r="F3106">
        <v>7.97</v>
      </c>
      <c r="G3106">
        <v>0.53</v>
      </c>
      <c r="H3106">
        <v>8.5</v>
      </c>
      <c r="I3106">
        <v>93.76</v>
      </c>
      <c r="J3106">
        <v>0</v>
      </c>
      <c r="K3106" s="9">
        <v>45370</v>
      </c>
      <c r="L3106">
        <f xml:space="preserve"> (交易處理資料__3[[#This Row],[售出工時]] * 60) / 5</f>
        <v>0</v>
      </c>
      <c r="M3106" t="str">
        <f>VLOOKUP(交易處理資料__3[[#This Row],[人員代號]],團隊分組!$B$1:$C$52,2,FALSE)</f>
        <v>查修團隊A</v>
      </c>
      <c r="N3106">
        <f>IF(交易處理資料__3[[#This Row],[上班時間]]=0,0,交易處理資料__3[[#This Row],[售出工時]]/交易處理資料__3[[#This Row],[上班時間]])</f>
        <v>0</v>
      </c>
      <c r="O3106" s="31" t="str">
        <f>IF(交易處理資料__3[[#This Row],[上班時間]]=0,"否","是")</f>
        <v>是</v>
      </c>
    </row>
    <row r="3107" spans="1:15" hidden="1">
      <c r="A3107" t="s">
        <v>75</v>
      </c>
      <c r="B3107" t="s">
        <v>42</v>
      </c>
      <c r="C3107">
        <v>9.3133333329999992</v>
      </c>
      <c r="D3107">
        <v>7.7</v>
      </c>
      <c r="E3107" s="27">
        <v>120.952381</v>
      </c>
      <c r="F3107">
        <v>6.63</v>
      </c>
      <c r="G3107">
        <v>1.52</v>
      </c>
      <c r="H3107">
        <v>8.15</v>
      </c>
      <c r="I3107">
        <v>81.349999999999994</v>
      </c>
      <c r="J3107">
        <v>114.27</v>
      </c>
      <c r="K3107" s="9">
        <v>45370</v>
      </c>
      <c r="L3107">
        <f xml:space="preserve"> (交易處理資料__3[[#This Row],[售出工時]] * 60) / 5</f>
        <v>111.75999999599999</v>
      </c>
      <c r="M3107" t="str">
        <f>VLOOKUP(交易處理資料__3[[#This Row],[人員代號]],團隊分組!$B$1:$C$52,2,FALSE)</f>
        <v>快速保養團隊A</v>
      </c>
      <c r="N3107">
        <f>IF(交易處理資料__3[[#This Row],[上班時間]]=0,0,交易處理資料__3[[#This Row],[售出工時]]/交易處理資料__3[[#This Row],[上班時間]])</f>
        <v>1.1427402862576685</v>
      </c>
      <c r="O3107" s="31" t="str">
        <f>IF(交易處理資料__3[[#This Row],[上班時間]]=0,"否","是")</f>
        <v>是</v>
      </c>
    </row>
    <row r="3108" spans="1:15" hidden="1">
      <c r="A3108" t="s">
        <v>75</v>
      </c>
      <c r="B3108" t="s">
        <v>44</v>
      </c>
      <c r="C3108">
        <v>4.5199999999999996</v>
      </c>
      <c r="D3108">
        <v>5.59</v>
      </c>
      <c r="E3108" s="27">
        <v>80.858676209999999</v>
      </c>
      <c r="F3108">
        <v>8.5</v>
      </c>
      <c r="G3108">
        <v>1.1200000000000001</v>
      </c>
      <c r="H3108">
        <v>9.6199999999999992</v>
      </c>
      <c r="I3108">
        <v>88.36</v>
      </c>
      <c r="J3108">
        <v>46.99</v>
      </c>
      <c r="K3108" s="9">
        <v>45370</v>
      </c>
      <c r="L3108">
        <f xml:space="preserve"> (交易處理資料__3[[#This Row],[售出工時]] * 60) / 5</f>
        <v>54.239999999999995</v>
      </c>
      <c r="M3108" t="str">
        <f>VLOOKUP(交易處理資料__3[[#This Row],[人員代號]],團隊分組!$B$1:$C$52,2,FALSE)</f>
        <v>快速保養團隊B</v>
      </c>
      <c r="N3108">
        <f>IF(交易處理資料__3[[#This Row],[上班時間]]=0,0,交易處理資料__3[[#This Row],[售出工時]]/交易處理資料__3[[#This Row],[上班時間]])</f>
        <v>0.46985446985446983</v>
      </c>
      <c r="O3108" s="31" t="str">
        <f>IF(交易處理資料__3[[#This Row],[上班時間]]=0,"否","是")</f>
        <v>是</v>
      </c>
    </row>
    <row r="3109" spans="1:15" hidden="1">
      <c r="A3109" t="s">
        <v>75</v>
      </c>
      <c r="B3109" t="s">
        <v>45</v>
      </c>
      <c r="C3109">
        <v>11.25</v>
      </c>
      <c r="D3109">
        <v>5.75</v>
      </c>
      <c r="E3109" s="27">
        <v>195.65217390000001</v>
      </c>
      <c r="F3109">
        <v>8.02</v>
      </c>
      <c r="G3109">
        <v>0.78</v>
      </c>
      <c r="H3109">
        <v>8.8000000000000007</v>
      </c>
      <c r="I3109">
        <v>91.14</v>
      </c>
      <c r="J3109">
        <v>127.84</v>
      </c>
      <c r="K3109" s="9">
        <v>45370</v>
      </c>
      <c r="L3109">
        <f xml:space="preserve"> (交易處理資料__3[[#This Row],[售出工時]] * 60) / 5</f>
        <v>135</v>
      </c>
      <c r="M3109" t="str">
        <f>VLOOKUP(交易處理資料__3[[#This Row],[人員代號]],團隊分組!$B$1:$C$52,2,FALSE)</f>
        <v>快速保養團隊A</v>
      </c>
      <c r="N3109">
        <f>IF(交易處理資料__3[[#This Row],[上班時間]]=0,0,交易處理資料__3[[#This Row],[售出工時]]/交易處理資料__3[[#This Row],[上班時間]])</f>
        <v>1.2784090909090908</v>
      </c>
      <c r="O3109" s="31" t="str">
        <f>IF(交易處理資料__3[[#This Row],[上班時間]]=0,"否","是")</f>
        <v>是</v>
      </c>
    </row>
    <row r="3110" spans="1:15" hidden="1">
      <c r="A3110" t="s">
        <v>75</v>
      </c>
      <c r="B3110" t="s">
        <v>46</v>
      </c>
      <c r="C3110">
        <v>0.83333333300000001</v>
      </c>
      <c r="D3110">
        <v>2.6</v>
      </c>
      <c r="E3110" s="27">
        <v>32.051282049999998</v>
      </c>
      <c r="F3110">
        <v>6.64</v>
      </c>
      <c r="G3110">
        <v>1.5</v>
      </c>
      <c r="H3110">
        <v>8.14</v>
      </c>
      <c r="I3110">
        <v>81.569999999999993</v>
      </c>
      <c r="J3110">
        <v>10.24</v>
      </c>
      <c r="K3110" s="9">
        <v>45370</v>
      </c>
      <c r="L3110">
        <f xml:space="preserve"> (交易處理資料__3[[#This Row],[售出工時]] * 60) / 5</f>
        <v>9.9999999959999997</v>
      </c>
      <c r="M3110" t="str">
        <f>VLOOKUP(交易處理資料__3[[#This Row],[人員代號]],團隊分組!$B$1:$C$52,2,FALSE)</f>
        <v>查修團隊B</v>
      </c>
      <c r="N3110">
        <f>IF(交易處理資料__3[[#This Row],[上班時間]]=0,0,交易處理資料__3[[#This Row],[售出工時]]/交易處理資料__3[[#This Row],[上班時間]])</f>
        <v>0.10237510233415233</v>
      </c>
      <c r="O3110" s="31" t="str">
        <f>IF(交易處理資料__3[[#This Row],[上班時間]]=0,"否","是")</f>
        <v>是</v>
      </c>
    </row>
    <row r="3111" spans="1:15" hidden="1">
      <c r="A3111" t="s">
        <v>75</v>
      </c>
      <c r="B3111" t="s">
        <v>47</v>
      </c>
      <c r="C3111">
        <v>2.8333333330000001</v>
      </c>
      <c r="D3111">
        <v>5.04</v>
      </c>
      <c r="E3111" s="27">
        <v>56.216931219999999</v>
      </c>
      <c r="F3111">
        <v>6.6</v>
      </c>
      <c r="G3111">
        <v>2.5499999999999998</v>
      </c>
      <c r="H3111">
        <v>9.15</v>
      </c>
      <c r="I3111">
        <v>72.13</v>
      </c>
      <c r="J3111">
        <v>30.97</v>
      </c>
      <c r="K3111" s="9">
        <v>45370</v>
      </c>
      <c r="L3111">
        <f xml:space="preserve"> (交易處理資料__3[[#This Row],[售出工時]] * 60) / 5</f>
        <v>33.999999996</v>
      </c>
      <c r="M3111" t="str">
        <f>VLOOKUP(交易處理資料__3[[#This Row],[人員代號]],團隊分組!$B$1:$C$52,2,FALSE)</f>
        <v>查修團隊B</v>
      </c>
      <c r="N3111">
        <f>IF(交易處理資料__3[[#This Row],[上班時間]]=0,0,交易處理資料__3[[#This Row],[售出工時]]/交易處理資料__3[[#This Row],[上班時間]])</f>
        <v>0.30965391617486338</v>
      </c>
      <c r="O3111" s="31" t="str">
        <f>IF(交易處理資料__3[[#This Row],[上班時間]]=0,"否","是")</f>
        <v>是</v>
      </c>
    </row>
    <row r="3112" spans="1:15" hidden="1">
      <c r="A3112" t="s">
        <v>75</v>
      </c>
      <c r="B3112" t="s">
        <v>48</v>
      </c>
      <c r="C3112">
        <v>0</v>
      </c>
      <c r="D3112">
        <v>0</v>
      </c>
      <c r="E3112" s="27">
        <v>0</v>
      </c>
      <c r="F3112">
        <v>3.98</v>
      </c>
      <c r="G3112">
        <v>4.07</v>
      </c>
      <c r="H3112">
        <v>8.0500000000000007</v>
      </c>
      <c r="I3112">
        <v>49.44</v>
      </c>
      <c r="J3112">
        <v>0</v>
      </c>
      <c r="K3112" s="9">
        <v>45370</v>
      </c>
      <c r="L3112">
        <f xml:space="preserve"> (交易處理資料__3[[#This Row],[售出工時]] * 60) / 5</f>
        <v>0</v>
      </c>
      <c r="M3112" t="str">
        <f>VLOOKUP(交易處理資料__3[[#This Row],[人員代號]],團隊分組!$B$1:$C$52,2,FALSE)</f>
        <v>查修團隊A</v>
      </c>
      <c r="N3112">
        <f>IF(交易處理資料__3[[#This Row],[上班時間]]=0,0,交易處理資料__3[[#This Row],[售出工時]]/交易處理資料__3[[#This Row],[上班時間]])</f>
        <v>0</v>
      </c>
      <c r="O3112" s="31" t="str">
        <f>IF(交易處理資料__3[[#This Row],[上班時間]]=0,"否","是")</f>
        <v>是</v>
      </c>
    </row>
    <row r="3113" spans="1:15" hidden="1">
      <c r="A3113" t="s">
        <v>75</v>
      </c>
      <c r="B3113" t="s">
        <v>49</v>
      </c>
      <c r="C3113">
        <v>6.1</v>
      </c>
      <c r="D3113">
        <v>6.55</v>
      </c>
      <c r="E3113" s="27">
        <v>93.129770989999997</v>
      </c>
      <c r="F3113">
        <v>8.4499999999999993</v>
      </c>
      <c r="G3113">
        <v>0.61</v>
      </c>
      <c r="H3113">
        <v>9.06</v>
      </c>
      <c r="I3113">
        <v>93.27</v>
      </c>
      <c r="J3113">
        <v>67.33</v>
      </c>
      <c r="K3113" s="9">
        <v>45370</v>
      </c>
      <c r="L3113">
        <f xml:space="preserve"> (交易處理資料__3[[#This Row],[售出工時]] * 60) / 5</f>
        <v>73.2</v>
      </c>
      <c r="M3113" t="str">
        <f>VLOOKUP(交易處理資料__3[[#This Row],[人員代號]],團隊分組!$B$1:$C$52,2,FALSE)</f>
        <v>查修團隊A</v>
      </c>
      <c r="N3113">
        <f>IF(交易處理資料__3[[#This Row],[上班時間]]=0,0,交易處理資料__3[[#This Row],[售出工時]]/交易處理資料__3[[#This Row],[上班時間]])</f>
        <v>0.67328918322295794</v>
      </c>
      <c r="O3113" s="31" t="str">
        <f>IF(交易處理資料__3[[#This Row],[上班時間]]=0,"否","是")</f>
        <v>是</v>
      </c>
    </row>
    <row r="3114" spans="1:15" hidden="1">
      <c r="A3114" t="s">
        <v>75</v>
      </c>
      <c r="B3114" t="s">
        <v>50</v>
      </c>
      <c r="C3114">
        <v>9.5666666669999998</v>
      </c>
      <c r="D3114">
        <v>5.23</v>
      </c>
      <c r="E3114" s="27">
        <v>182.9190567</v>
      </c>
      <c r="F3114">
        <v>7.89</v>
      </c>
      <c r="G3114">
        <v>0.83</v>
      </c>
      <c r="H3114">
        <v>8.7200000000000006</v>
      </c>
      <c r="I3114">
        <v>90.48</v>
      </c>
      <c r="J3114">
        <v>109.71</v>
      </c>
      <c r="K3114" s="9">
        <v>45370</v>
      </c>
      <c r="L3114">
        <f xml:space="preserve"> (交易處理資料__3[[#This Row],[售出工時]] * 60) / 5</f>
        <v>114.800000004</v>
      </c>
      <c r="M3114" t="str">
        <f>VLOOKUP(交易處理資料__3[[#This Row],[人員代號]],團隊分組!$B$1:$C$52,2,FALSE)</f>
        <v>快速保養團隊B</v>
      </c>
      <c r="N3114">
        <f>IF(交易處理資料__3[[#This Row],[上班時間]]=0,0,交易處理資料__3[[#This Row],[售出工時]]/交易處理資料__3[[#This Row],[上班時間]])</f>
        <v>1.0970948012614679</v>
      </c>
      <c r="O3114" s="31" t="str">
        <f>IF(交易處理資料__3[[#This Row],[上班時間]]=0,"否","是")</f>
        <v>是</v>
      </c>
    </row>
    <row r="3115" spans="1:15" hidden="1">
      <c r="A3115" t="s">
        <v>75</v>
      </c>
      <c r="B3115" t="s">
        <v>51</v>
      </c>
      <c r="C3115">
        <v>0</v>
      </c>
      <c r="D3115">
        <v>0</v>
      </c>
      <c r="E3115" s="27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 s="9">
        <v>45370</v>
      </c>
      <c r="L3115">
        <f xml:space="preserve"> (交易處理資料__3[[#This Row],[售出工時]] * 60) / 5</f>
        <v>0</v>
      </c>
      <c r="M3115" t="str">
        <f>VLOOKUP(交易處理資料__3[[#This Row],[人員代號]],團隊分組!$B$1:$C$52,2,FALSE)</f>
        <v>無效數據</v>
      </c>
      <c r="N3115">
        <f>IF(交易處理資料__3[[#This Row],[上班時間]]=0,0,交易處理資料__3[[#This Row],[售出工時]]/交易處理資料__3[[#This Row],[上班時間]])</f>
        <v>0</v>
      </c>
      <c r="O3115" s="31" t="str">
        <f>IF(交易處理資料__3[[#This Row],[上班時間]]=0,"否","是")</f>
        <v>否</v>
      </c>
    </row>
    <row r="3116" spans="1:15" hidden="1">
      <c r="A3116" t="s">
        <v>75</v>
      </c>
      <c r="B3116" t="s">
        <v>52</v>
      </c>
      <c r="C3116">
        <v>4.6666666670000003</v>
      </c>
      <c r="D3116">
        <v>7.87</v>
      </c>
      <c r="E3116" s="27">
        <v>59.296908090000002</v>
      </c>
      <c r="F3116">
        <v>7.19</v>
      </c>
      <c r="G3116">
        <v>0.82</v>
      </c>
      <c r="H3116">
        <v>8.01</v>
      </c>
      <c r="I3116">
        <v>89.76</v>
      </c>
      <c r="J3116">
        <v>58.26</v>
      </c>
      <c r="K3116" s="9">
        <v>45370</v>
      </c>
      <c r="L3116">
        <f xml:space="preserve"> (交易處理資料__3[[#This Row],[售出工時]] * 60) / 5</f>
        <v>56.000000004</v>
      </c>
      <c r="M3116" t="str">
        <f>VLOOKUP(交易處理資料__3[[#This Row],[人員代號]],團隊分組!$B$1:$C$52,2,FALSE)</f>
        <v>查修團隊B</v>
      </c>
      <c r="N3116">
        <f>IF(交易處理資料__3[[#This Row],[上班時間]]=0,0,交易處理資料__3[[#This Row],[售出工時]]/交易處理資料__3[[#This Row],[上班時間]])</f>
        <v>0.58260507702871411</v>
      </c>
      <c r="O3116" s="31" t="str">
        <f>IF(交易處理資料__3[[#This Row],[上班時間]]=0,"否","是")</f>
        <v>是</v>
      </c>
    </row>
    <row r="3117" spans="1:15" hidden="1">
      <c r="A3117" s="10" t="s">
        <v>73</v>
      </c>
      <c r="B3117" t="s">
        <v>1</v>
      </c>
      <c r="C3117">
        <v>0</v>
      </c>
      <c r="D3117">
        <v>0</v>
      </c>
      <c r="E3117" s="27">
        <v>0</v>
      </c>
      <c r="F3117">
        <v>7.5</v>
      </c>
      <c r="G3117">
        <v>0.47</v>
      </c>
      <c r="H3117">
        <v>7.97</v>
      </c>
      <c r="I3117">
        <v>94.1</v>
      </c>
      <c r="J3117">
        <v>0</v>
      </c>
      <c r="K3117" s="9">
        <v>45371</v>
      </c>
      <c r="L3117">
        <f xml:space="preserve"> (交易處理資料__3[[#This Row],[售出工時]] * 60) / 5</f>
        <v>0</v>
      </c>
      <c r="M3117" t="str">
        <f>VLOOKUP(交易處理資料__3[[#This Row],[人員代號]],團隊分組!$B$1:$C$52,2,FALSE)</f>
        <v>噴漆維修組</v>
      </c>
      <c r="N3117">
        <f>IF(交易處理資料__3[[#This Row],[上班時間]]=0,0,交易處理資料__3[[#This Row],[售出工時]]/交易處理資料__3[[#This Row],[上班時間]])</f>
        <v>0</v>
      </c>
      <c r="O3117" s="31" t="str">
        <f>IF(交易處理資料__3[[#This Row],[上班時間]]=0,"否","是")</f>
        <v>是</v>
      </c>
    </row>
    <row r="3118" spans="1:15" hidden="1">
      <c r="A3118" s="10" t="s">
        <v>73</v>
      </c>
      <c r="B3118" t="s">
        <v>2</v>
      </c>
      <c r="C3118">
        <v>0</v>
      </c>
      <c r="D3118">
        <v>0</v>
      </c>
      <c r="E3118" s="27">
        <v>0</v>
      </c>
      <c r="F3118">
        <v>7.99</v>
      </c>
      <c r="G3118">
        <v>0.08</v>
      </c>
      <c r="H3118">
        <v>8.07</v>
      </c>
      <c r="I3118">
        <v>99.01</v>
      </c>
      <c r="J3118">
        <v>0</v>
      </c>
      <c r="K3118" s="9">
        <v>45371</v>
      </c>
      <c r="L3118">
        <f xml:space="preserve"> (交易處理資料__3[[#This Row],[售出工時]] * 60) / 5</f>
        <v>0</v>
      </c>
      <c r="M3118" t="str">
        <f>VLOOKUP(交易處理資料__3[[#This Row],[人員代號]],團隊分組!$B$1:$C$52,2,FALSE)</f>
        <v>噴漆維修組</v>
      </c>
      <c r="N3118">
        <f>IF(交易處理資料__3[[#This Row],[上班時間]]=0,0,交易處理資料__3[[#This Row],[售出工時]]/交易處理資料__3[[#This Row],[上班時間]])</f>
        <v>0</v>
      </c>
      <c r="O3118" s="31" t="str">
        <f>IF(交易處理資料__3[[#This Row],[上班時間]]=0,"否","是")</f>
        <v>是</v>
      </c>
    </row>
    <row r="3119" spans="1:15" hidden="1">
      <c r="A3119" s="10" t="s">
        <v>73</v>
      </c>
      <c r="B3119" t="s">
        <v>3</v>
      </c>
      <c r="C3119">
        <v>1</v>
      </c>
      <c r="D3119">
        <v>0.08</v>
      </c>
      <c r="E3119" s="27">
        <v>1250</v>
      </c>
      <c r="F3119">
        <v>7.99</v>
      </c>
      <c r="G3119">
        <v>0.08</v>
      </c>
      <c r="H3119">
        <v>8.07</v>
      </c>
      <c r="I3119">
        <v>99.01</v>
      </c>
      <c r="J3119">
        <v>12.39</v>
      </c>
      <c r="K3119" s="9">
        <v>45371</v>
      </c>
      <c r="L3119">
        <f xml:space="preserve"> (交易處理資料__3[[#This Row],[售出工時]] * 60) / 5</f>
        <v>12</v>
      </c>
      <c r="M3119" t="str">
        <f>VLOOKUP(交易處理資料__3[[#This Row],[人員代號]],團隊分組!$B$1:$C$52,2,FALSE)</f>
        <v>噴漆維修組</v>
      </c>
      <c r="N3119">
        <f>IF(交易處理資料__3[[#This Row],[上班時間]]=0,0,交易處理資料__3[[#This Row],[售出工時]]/交易處理資料__3[[#This Row],[上班時間]])</f>
        <v>0.12391573729863692</v>
      </c>
      <c r="O3119" s="31" t="str">
        <f>IF(交易處理資料__3[[#This Row],[上班時間]]=0,"否","是")</f>
        <v>是</v>
      </c>
    </row>
    <row r="3120" spans="1:15" hidden="1">
      <c r="A3120" s="10" t="s">
        <v>73</v>
      </c>
      <c r="B3120" t="s">
        <v>4</v>
      </c>
      <c r="C3120">
        <v>0.92</v>
      </c>
      <c r="D3120">
        <v>1.24</v>
      </c>
      <c r="E3120" s="27">
        <v>74.193548390000004</v>
      </c>
      <c r="F3120">
        <v>7.53</v>
      </c>
      <c r="G3120">
        <v>0.48</v>
      </c>
      <c r="H3120">
        <v>8.01</v>
      </c>
      <c r="I3120">
        <v>94.01</v>
      </c>
      <c r="J3120">
        <v>11.49</v>
      </c>
      <c r="K3120" s="9">
        <v>45371</v>
      </c>
      <c r="L3120">
        <f xml:space="preserve"> (交易處理資料__3[[#This Row],[售出工時]] * 60) / 5</f>
        <v>11.040000000000001</v>
      </c>
      <c r="M3120" t="str">
        <f>VLOOKUP(交易處理資料__3[[#This Row],[人員代號]],團隊分組!$B$1:$C$52,2,FALSE)</f>
        <v>噴漆維修組</v>
      </c>
      <c r="N3120">
        <f>IF(交易處理資料__3[[#This Row],[上班時間]]=0,0,交易處理資料__3[[#This Row],[售出工時]]/交易處理資料__3[[#This Row],[上班時間]])</f>
        <v>0.11485642946317104</v>
      </c>
      <c r="O3120" s="31" t="str">
        <f>IF(交易處理資料__3[[#This Row],[上班時間]]=0,"否","是")</f>
        <v>是</v>
      </c>
    </row>
    <row r="3121" spans="1:15" hidden="1">
      <c r="A3121" s="10" t="s">
        <v>73</v>
      </c>
      <c r="B3121" t="s">
        <v>6</v>
      </c>
      <c r="C3121">
        <v>0</v>
      </c>
      <c r="D3121">
        <v>0</v>
      </c>
      <c r="E3121" s="27">
        <v>0</v>
      </c>
      <c r="F3121">
        <v>7.99</v>
      </c>
      <c r="G3121">
        <v>0.08</v>
      </c>
      <c r="H3121">
        <v>8.07</v>
      </c>
      <c r="I3121">
        <v>99.01</v>
      </c>
      <c r="J3121">
        <v>0</v>
      </c>
      <c r="K3121" s="9">
        <v>45371</v>
      </c>
      <c r="L3121">
        <f xml:space="preserve"> (交易處理資料__3[[#This Row],[售出工時]] * 60) / 5</f>
        <v>0</v>
      </c>
      <c r="M3121" t="str">
        <f>VLOOKUP(交易處理資料__3[[#This Row],[人員代號]],團隊分組!$B$1:$C$52,2,FALSE)</f>
        <v>噴漆維修組</v>
      </c>
      <c r="N3121">
        <f>IF(交易處理資料__3[[#This Row],[上班時間]]=0,0,交易處理資料__3[[#This Row],[售出工時]]/交易處理資料__3[[#This Row],[上班時間]])</f>
        <v>0</v>
      </c>
      <c r="O3121" s="31" t="str">
        <f>IF(交易處理資料__3[[#This Row],[上班時間]]=0,"否","是")</f>
        <v>是</v>
      </c>
    </row>
    <row r="3122" spans="1:15" hidden="1">
      <c r="A3122" s="10" t="s">
        <v>73</v>
      </c>
      <c r="B3122" t="s">
        <v>8</v>
      </c>
      <c r="C3122">
        <v>3.9933333329999998</v>
      </c>
      <c r="D3122">
        <v>5.29</v>
      </c>
      <c r="E3122" s="27">
        <v>75.488342790000004</v>
      </c>
      <c r="F3122">
        <v>7.54</v>
      </c>
      <c r="G3122">
        <v>0.47</v>
      </c>
      <c r="H3122">
        <v>8.01</v>
      </c>
      <c r="I3122">
        <v>94.13</v>
      </c>
      <c r="J3122">
        <v>49.85</v>
      </c>
      <c r="K3122" s="9">
        <v>45371</v>
      </c>
      <c r="L3122">
        <f xml:space="preserve"> (交易處理資料__3[[#This Row],[售出工時]] * 60) / 5</f>
        <v>47.919999995999994</v>
      </c>
      <c r="M3122" t="str">
        <f>VLOOKUP(交易處理資料__3[[#This Row],[人員代號]],團隊分組!$B$1:$C$52,2,FALSE)</f>
        <v>噴漆維修組</v>
      </c>
      <c r="N3122">
        <f>IF(交易處理資料__3[[#This Row],[上班時間]]=0,0,交易處理資料__3[[#This Row],[售出工時]]/交易處理資料__3[[#This Row],[上班時間]])</f>
        <v>0.49854348726591757</v>
      </c>
      <c r="O3122" s="31" t="str">
        <f>IF(交易處理資料__3[[#This Row],[上班時間]]=0,"否","是")</f>
        <v>是</v>
      </c>
    </row>
    <row r="3123" spans="1:15" hidden="1">
      <c r="A3123" s="10" t="s">
        <v>73</v>
      </c>
      <c r="B3123" t="s">
        <v>9</v>
      </c>
      <c r="C3123">
        <v>3.75</v>
      </c>
      <c r="D3123">
        <v>7.42</v>
      </c>
      <c r="E3123" s="27">
        <v>50.539083560000002</v>
      </c>
      <c r="F3123">
        <v>7.6</v>
      </c>
      <c r="G3123">
        <v>0.47</v>
      </c>
      <c r="H3123">
        <v>8.07</v>
      </c>
      <c r="I3123">
        <v>94.18</v>
      </c>
      <c r="J3123">
        <v>46.47</v>
      </c>
      <c r="K3123" s="9">
        <v>45371</v>
      </c>
      <c r="L3123">
        <f xml:space="preserve"> (交易處理資料__3[[#This Row],[售出工時]] * 60) / 5</f>
        <v>45</v>
      </c>
      <c r="M3123" t="str">
        <f>VLOOKUP(交易處理資料__3[[#This Row],[人員代號]],團隊分組!$B$1:$C$52,2,FALSE)</f>
        <v>噴漆維修組</v>
      </c>
      <c r="N3123">
        <f>IF(交易處理資料__3[[#This Row],[上班時間]]=0,0,交易處理資料__3[[#This Row],[售出工時]]/交易處理資料__3[[#This Row],[上班時間]])</f>
        <v>0.46468401486988847</v>
      </c>
      <c r="O3123" s="31" t="str">
        <f>IF(交易處理資料__3[[#This Row],[上班時間]]=0,"否","是")</f>
        <v>是</v>
      </c>
    </row>
    <row r="3124" spans="1:15" hidden="1">
      <c r="A3124" t="s">
        <v>74</v>
      </c>
      <c r="B3124" t="s">
        <v>11</v>
      </c>
      <c r="C3124">
        <v>9.25</v>
      </c>
      <c r="D3124">
        <v>4.5199999999999996</v>
      </c>
      <c r="E3124" s="27">
        <v>204.64601769999999</v>
      </c>
      <c r="F3124">
        <v>4.55</v>
      </c>
      <c r="G3124">
        <v>3.49</v>
      </c>
      <c r="H3124">
        <v>8.0399999999999991</v>
      </c>
      <c r="I3124">
        <v>56.59</v>
      </c>
      <c r="J3124">
        <v>115.05</v>
      </c>
      <c r="K3124" s="9">
        <v>45371</v>
      </c>
      <c r="L3124">
        <f xml:space="preserve"> (交易處理資料__3[[#This Row],[售出工時]] * 60) / 5</f>
        <v>111</v>
      </c>
      <c r="M3124" t="str">
        <f>VLOOKUP(交易處理資料__3[[#This Row],[人員代號]],團隊分組!$B$1:$C$52,2,FALSE)</f>
        <v>鈑金維修組</v>
      </c>
      <c r="N3124">
        <f>IF(交易處理資料__3[[#This Row],[上班時間]]=0,0,交易處理資料__3[[#This Row],[售出工時]]/交易處理資料__3[[#This Row],[上班時間]])</f>
        <v>1.1504975124378112</v>
      </c>
      <c r="O3124" s="31" t="str">
        <f>IF(交易處理資料__3[[#This Row],[上班時間]]=0,"否","是")</f>
        <v>是</v>
      </c>
    </row>
    <row r="3125" spans="1:15" hidden="1">
      <c r="A3125" t="s">
        <v>74</v>
      </c>
      <c r="B3125" t="s">
        <v>14</v>
      </c>
      <c r="C3125">
        <v>1.153333333</v>
      </c>
      <c r="D3125">
        <v>4.75</v>
      </c>
      <c r="E3125" s="27">
        <v>24.280701749999999</v>
      </c>
      <c r="F3125">
        <v>7.67</v>
      </c>
      <c r="G3125">
        <v>0.4</v>
      </c>
      <c r="H3125">
        <v>8.07</v>
      </c>
      <c r="I3125">
        <v>95.04</v>
      </c>
      <c r="J3125">
        <v>14.29</v>
      </c>
      <c r="K3125" s="9">
        <v>45371</v>
      </c>
      <c r="L3125">
        <f xml:space="preserve"> (交易處理資料__3[[#This Row],[售出工時]] * 60) / 5</f>
        <v>13.839999996</v>
      </c>
      <c r="M3125" t="str">
        <f>VLOOKUP(交易處理資料__3[[#This Row],[人員代號]],團隊分組!$B$1:$C$52,2,FALSE)</f>
        <v>鈑金維修組</v>
      </c>
      <c r="N3125">
        <f>IF(交易處理資料__3[[#This Row],[上班時間]]=0,0,交易處理資料__3[[#This Row],[售出工時]]/交易處理資料__3[[#This Row],[上班時間]])</f>
        <v>0.14291615030978932</v>
      </c>
      <c r="O3125" s="31" t="str">
        <f>IF(交易處理資料__3[[#This Row],[上班時間]]=0,"否","是")</f>
        <v>是</v>
      </c>
    </row>
    <row r="3126" spans="1:15" hidden="1">
      <c r="A3126" t="s">
        <v>75</v>
      </c>
      <c r="B3126" t="s">
        <v>17</v>
      </c>
      <c r="C3126">
        <v>10.58333333</v>
      </c>
      <c r="D3126">
        <v>4.8499999999999996</v>
      </c>
      <c r="E3126" s="27">
        <v>218.21305839999999</v>
      </c>
      <c r="F3126">
        <v>7.49</v>
      </c>
      <c r="G3126">
        <v>0.49</v>
      </c>
      <c r="H3126">
        <v>7.98</v>
      </c>
      <c r="I3126">
        <v>93.86</v>
      </c>
      <c r="J3126">
        <v>132.62</v>
      </c>
      <c r="K3126" s="9">
        <v>45371</v>
      </c>
      <c r="L3126">
        <f xml:space="preserve"> (交易處理資料__3[[#This Row],[售出工時]] * 60) / 5</f>
        <v>126.99999996000001</v>
      </c>
      <c r="M3126" t="str">
        <f>VLOOKUP(交易處理資料__3[[#This Row],[人員代號]],團隊分組!$B$1:$C$52,2,FALSE)</f>
        <v>快速保養團隊A</v>
      </c>
      <c r="N3126">
        <f>IF(交易處理資料__3[[#This Row],[上班時間]]=0,0,交易處理資料__3[[#This Row],[售出工時]]/交易處理資料__3[[#This Row],[上班時間]])</f>
        <v>1.3262322468671679</v>
      </c>
      <c r="O3126" s="31" t="str">
        <f>IF(交易處理資料__3[[#This Row],[上班時間]]=0,"否","是")</f>
        <v>是</v>
      </c>
    </row>
    <row r="3127" spans="1:15" hidden="1">
      <c r="A3127" t="s">
        <v>75</v>
      </c>
      <c r="B3127" t="s">
        <v>19</v>
      </c>
      <c r="C3127">
        <v>0</v>
      </c>
      <c r="D3127">
        <v>0</v>
      </c>
      <c r="E3127" s="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 s="9">
        <v>45371</v>
      </c>
      <c r="L3127">
        <f xml:space="preserve"> (交易處理資料__3[[#This Row],[售出工時]] * 60) / 5</f>
        <v>0</v>
      </c>
      <c r="M3127" t="str">
        <f>VLOOKUP(交易處理資料__3[[#This Row],[人員代號]],團隊分組!$B$1:$C$52,2,FALSE)</f>
        <v>查修團隊A</v>
      </c>
      <c r="N3127">
        <f>IF(交易處理資料__3[[#This Row],[上班時間]]=0,0,交易處理資料__3[[#This Row],[售出工時]]/交易處理資料__3[[#This Row],[上班時間]])</f>
        <v>0</v>
      </c>
      <c r="O3127" s="31" t="str">
        <f>IF(交易處理資料__3[[#This Row],[上班時間]]=0,"否","是")</f>
        <v>否</v>
      </c>
    </row>
    <row r="3128" spans="1:15" hidden="1">
      <c r="A3128" t="s">
        <v>75</v>
      </c>
      <c r="B3128" t="s">
        <v>20</v>
      </c>
      <c r="C3128">
        <v>1</v>
      </c>
      <c r="D3128">
        <v>0.97</v>
      </c>
      <c r="E3128" s="27">
        <v>103.0927835</v>
      </c>
      <c r="F3128">
        <v>6.26</v>
      </c>
      <c r="G3128">
        <v>1.8</v>
      </c>
      <c r="H3128">
        <v>8.06</v>
      </c>
      <c r="I3128">
        <v>77.67</v>
      </c>
      <c r="J3128">
        <v>12.41</v>
      </c>
      <c r="K3128" s="9">
        <v>45371</v>
      </c>
      <c r="L3128">
        <f xml:space="preserve"> (交易處理資料__3[[#This Row],[售出工時]] * 60) / 5</f>
        <v>12</v>
      </c>
      <c r="M3128" t="str">
        <f>VLOOKUP(交易處理資料__3[[#This Row],[人員代號]],團隊分組!$B$1:$C$52,2,FALSE)</f>
        <v>查修團隊B</v>
      </c>
      <c r="N3128">
        <f>IF(交易處理資料__3[[#This Row],[上班時間]]=0,0,交易處理資料__3[[#This Row],[售出工時]]/交易處理資料__3[[#This Row],[上班時間]])</f>
        <v>0.12406947890818858</v>
      </c>
      <c r="O3128" s="31" t="str">
        <f>IF(交易處理資料__3[[#This Row],[上班時間]]=0,"否","是")</f>
        <v>是</v>
      </c>
    </row>
    <row r="3129" spans="1:15" hidden="1">
      <c r="A3129" t="s">
        <v>75</v>
      </c>
      <c r="B3129" t="s">
        <v>21</v>
      </c>
      <c r="C3129">
        <v>2.1666666669999999</v>
      </c>
      <c r="D3129">
        <v>2.46</v>
      </c>
      <c r="E3129" s="27">
        <v>88.075880760000004</v>
      </c>
      <c r="F3129">
        <v>7.54</v>
      </c>
      <c r="G3129">
        <v>0.53</v>
      </c>
      <c r="H3129">
        <v>8.07</v>
      </c>
      <c r="I3129">
        <v>93.43</v>
      </c>
      <c r="J3129">
        <v>26.85</v>
      </c>
      <c r="K3129" s="9">
        <v>45371</v>
      </c>
      <c r="L3129">
        <f xml:space="preserve"> (交易處理資料__3[[#This Row],[售出工時]] * 60) / 5</f>
        <v>26.000000003999997</v>
      </c>
      <c r="M3129" t="str">
        <f>VLOOKUP(交易處理資料__3[[#This Row],[人員代號]],團隊分組!$B$1:$C$52,2,FALSE)</f>
        <v>查修團隊B</v>
      </c>
      <c r="N3129">
        <f>IF(交易處理資料__3[[#This Row],[上班時間]]=0,0,交易處理資料__3[[#This Row],[售出工時]]/交易處理資料__3[[#This Row],[上班時間]])</f>
        <v>0.26848409752168523</v>
      </c>
      <c r="O3129" s="31" t="str">
        <f>IF(交易處理資料__3[[#This Row],[上班時間]]=0,"否","是")</f>
        <v>是</v>
      </c>
    </row>
    <row r="3130" spans="1:15" hidden="1">
      <c r="A3130" t="s">
        <v>75</v>
      </c>
      <c r="B3130" t="s">
        <v>23</v>
      </c>
      <c r="C3130">
        <v>4.1866666669999999</v>
      </c>
      <c r="D3130">
        <v>2.12</v>
      </c>
      <c r="E3130" s="27">
        <v>197.48427670000001</v>
      </c>
      <c r="F3130">
        <v>9.68</v>
      </c>
      <c r="G3130">
        <v>0.5</v>
      </c>
      <c r="H3130">
        <v>10.18</v>
      </c>
      <c r="I3130">
        <v>95.09</v>
      </c>
      <c r="J3130">
        <v>41.13</v>
      </c>
      <c r="K3130" s="9">
        <v>45371</v>
      </c>
      <c r="L3130">
        <f xml:space="preserve"> (交易處理資料__3[[#This Row],[售出工時]] * 60) / 5</f>
        <v>50.240000004000002</v>
      </c>
      <c r="M3130" t="str">
        <f>VLOOKUP(交易處理資料__3[[#This Row],[人員代號]],團隊分組!$B$1:$C$52,2,FALSE)</f>
        <v>快速保養團隊B</v>
      </c>
      <c r="N3130">
        <f>IF(交易處理資料__3[[#This Row],[上班時間]]=0,0,交易處理資料__3[[#This Row],[售出工時]]/交易處理資料__3[[#This Row],[上班時間]])</f>
        <v>0.41126391620825148</v>
      </c>
      <c r="O3130" s="31" t="str">
        <f>IF(交易處理資料__3[[#This Row],[上班時間]]=0,"否","是")</f>
        <v>是</v>
      </c>
    </row>
    <row r="3131" spans="1:15" hidden="1">
      <c r="A3131" t="s">
        <v>75</v>
      </c>
      <c r="B3131" t="s">
        <v>25</v>
      </c>
      <c r="C3131">
        <v>5.09</v>
      </c>
      <c r="D3131">
        <v>5.66</v>
      </c>
      <c r="E3131" s="27">
        <v>89.929328620000007</v>
      </c>
      <c r="F3131">
        <v>6.55</v>
      </c>
      <c r="G3131">
        <v>1.36</v>
      </c>
      <c r="H3131">
        <v>7.91</v>
      </c>
      <c r="I3131">
        <v>82.81</v>
      </c>
      <c r="J3131">
        <v>64.349999999999994</v>
      </c>
      <c r="K3131" s="9">
        <v>45371</v>
      </c>
      <c r="L3131">
        <f xml:space="preserve"> (交易處理資料__3[[#This Row],[售出工時]] * 60) / 5</f>
        <v>61.08</v>
      </c>
      <c r="M3131" t="str">
        <f>VLOOKUP(交易處理資料__3[[#This Row],[人員代號]],團隊分組!$B$1:$C$52,2,FALSE)</f>
        <v>查修團隊A</v>
      </c>
      <c r="N3131">
        <f>IF(交易處理資料__3[[#This Row],[上班時間]]=0,0,交易處理資料__3[[#This Row],[售出工時]]/交易處理資料__3[[#This Row],[上班時間]])</f>
        <v>0.64348925410872315</v>
      </c>
      <c r="O3131" s="31" t="str">
        <f>IF(交易處理資料__3[[#This Row],[上班時間]]=0,"否","是")</f>
        <v>是</v>
      </c>
    </row>
    <row r="3132" spans="1:15" hidden="1">
      <c r="A3132" t="s">
        <v>75</v>
      </c>
      <c r="B3132" t="s">
        <v>26</v>
      </c>
      <c r="C3132">
        <v>1</v>
      </c>
      <c r="D3132">
        <v>0.27</v>
      </c>
      <c r="E3132" s="27">
        <v>370.37037040000001</v>
      </c>
      <c r="F3132">
        <v>7.27</v>
      </c>
      <c r="G3132">
        <v>0.85</v>
      </c>
      <c r="H3132">
        <v>8.1199999999999992</v>
      </c>
      <c r="I3132">
        <v>89.53</v>
      </c>
      <c r="J3132">
        <v>12.32</v>
      </c>
      <c r="K3132" s="9">
        <v>45371</v>
      </c>
      <c r="L3132">
        <f xml:space="preserve"> (交易處理資料__3[[#This Row],[售出工時]] * 60) / 5</f>
        <v>12</v>
      </c>
      <c r="M3132" t="str">
        <f>VLOOKUP(交易處理資料__3[[#This Row],[人員代號]],團隊分組!$B$1:$C$52,2,FALSE)</f>
        <v>查修團隊B</v>
      </c>
      <c r="N3132">
        <f>IF(交易處理資料__3[[#This Row],[上班時間]]=0,0,交易處理資料__3[[#This Row],[售出工時]]/交易處理資料__3[[#This Row],[上班時間]])</f>
        <v>0.12315270935960593</v>
      </c>
      <c r="O3132" s="31" t="str">
        <f>IF(交易處理資料__3[[#This Row],[上班時間]]=0,"否","是")</f>
        <v>是</v>
      </c>
    </row>
    <row r="3133" spans="1:15" hidden="1">
      <c r="A3133" t="s">
        <v>75</v>
      </c>
      <c r="B3133" t="s">
        <v>27</v>
      </c>
      <c r="C3133">
        <v>6.2966666670000002</v>
      </c>
      <c r="D3133">
        <v>7.62</v>
      </c>
      <c r="E3133" s="27">
        <v>82.633420819999998</v>
      </c>
      <c r="F3133">
        <v>9.93</v>
      </c>
      <c r="G3133">
        <v>0.1</v>
      </c>
      <c r="H3133">
        <v>10.029999999999999</v>
      </c>
      <c r="I3133">
        <v>99</v>
      </c>
      <c r="J3133">
        <v>62.78</v>
      </c>
      <c r="K3133" s="9">
        <v>45371</v>
      </c>
      <c r="L3133">
        <f xml:space="preserve"> (交易處理資料__3[[#This Row],[售出工時]] * 60) / 5</f>
        <v>75.560000004000003</v>
      </c>
      <c r="M3133" t="str">
        <f>VLOOKUP(交易處理資料__3[[#This Row],[人員代號]],團隊分組!$B$1:$C$52,2,FALSE)</f>
        <v>快速保養團隊B</v>
      </c>
      <c r="N3133">
        <f>IF(交易處理資料__3[[#This Row],[上班時間]]=0,0,交易處理資料__3[[#This Row],[售出工時]]/交易處理資料__3[[#This Row],[上班時間]])</f>
        <v>0.62778331674975085</v>
      </c>
      <c r="O3133" s="31" t="str">
        <f>IF(交易處理資料__3[[#This Row],[上班時間]]=0,"否","是")</f>
        <v>是</v>
      </c>
    </row>
    <row r="3134" spans="1:15" hidden="1">
      <c r="A3134" t="s">
        <v>75</v>
      </c>
      <c r="B3134" t="s">
        <v>28</v>
      </c>
      <c r="C3134">
        <v>6.8033333330000003</v>
      </c>
      <c r="D3134">
        <v>7.13</v>
      </c>
      <c r="E3134" s="27">
        <v>95.418419819999997</v>
      </c>
      <c r="F3134">
        <v>7.33</v>
      </c>
      <c r="G3134">
        <v>0.66</v>
      </c>
      <c r="H3134">
        <v>7.99</v>
      </c>
      <c r="I3134">
        <v>91.74</v>
      </c>
      <c r="J3134">
        <v>85.15</v>
      </c>
      <c r="K3134" s="9">
        <v>45371</v>
      </c>
      <c r="L3134">
        <f xml:space="preserve"> (交易處理資料__3[[#This Row],[售出工時]] * 60) / 5</f>
        <v>81.639999996</v>
      </c>
      <c r="M3134" t="str">
        <f>VLOOKUP(交易處理資料__3[[#This Row],[人員代號]],團隊分組!$B$1:$C$52,2,FALSE)</f>
        <v>快速保養團隊A</v>
      </c>
      <c r="N3134">
        <f>IF(交易處理資料__3[[#This Row],[上班時間]]=0,0,交易處理資料__3[[#This Row],[售出工時]]/交易處理資料__3[[#This Row],[上班時間]])</f>
        <v>0.85148101789737174</v>
      </c>
      <c r="O3134" s="31" t="str">
        <f>IF(交易處理資料__3[[#This Row],[上班時間]]=0,"否","是")</f>
        <v>是</v>
      </c>
    </row>
    <row r="3135" spans="1:15" hidden="1">
      <c r="A3135" t="s">
        <v>75</v>
      </c>
      <c r="B3135" t="s">
        <v>29</v>
      </c>
      <c r="C3135">
        <v>0</v>
      </c>
      <c r="D3135">
        <v>0</v>
      </c>
      <c r="E3135" s="27">
        <v>0</v>
      </c>
      <c r="F3135">
        <v>7.74</v>
      </c>
      <c r="G3135">
        <v>0.26</v>
      </c>
      <c r="H3135">
        <v>8</v>
      </c>
      <c r="I3135">
        <v>96.75</v>
      </c>
      <c r="J3135">
        <v>0</v>
      </c>
      <c r="K3135" s="9">
        <v>45371</v>
      </c>
      <c r="L3135">
        <f xml:space="preserve"> (交易處理資料__3[[#This Row],[售出工時]] * 60) / 5</f>
        <v>0</v>
      </c>
      <c r="M3135" t="str">
        <f>VLOOKUP(交易處理資料__3[[#This Row],[人員代號]],團隊分組!$B$1:$C$52,2,FALSE)</f>
        <v>查修團隊B</v>
      </c>
      <c r="N3135">
        <f>IF(交易處理資料__3[[#This Row],[上班時間]]=0,0,交易處理資料__3[[#This Row],[售出工時]]/交易處理資料__3[[#This Row],[上班時間]])</f>
        <v>0</v>
      </c>
      <c r="O3135" s="31" t="str">
        <f>IF(交易處理資料__3[[#This Row],[上班時間]]=0,"否","是")</f>
        <v>是</v>
      </c>
    </row>
    <row r="3136" spans="1:15" hidden="1">
      <c r="A3136" t="s">
        <v>75</v>
      </c>
      <c r="B3136" t="s">
        <v>32</v>
      </c>
      <c r="C3136">
        <v>1.5833333329999999</v>
      </c>
      <c r="D3136">
        <v>2.2200000000000002</v>
      </c>
      <c r="E3136" s="27">
        <v>71.321321319999996</v>
      </c>
      <c r="F3136">
        <v>6.91</v>
      </c>
      <c r="G3136">
        <v>0.87</v>
      </c>
      <c r="H3136">
        <v>7.78</v>
      </c>
      <c r="I3136">
        <v>88.82</v>
      </c>
      <c r="J3136">
        <v>20.350000000000001</v>
      </c>
      <c r="K3136" s="9">
        <v>45371</v>
      </c>
      <c r="L3136">
        <f xml:space="preserve"> (交易處理資料__3[[#This Row],[售出工時]] * 60) / 5</f>
        <v>18.999999996</v>
      </c>
      <c r="M3136" t="str">
        <f>VLOOKUP(交易處理資料__3[[#This Row],[人員代號]],團隊分組!$B$1:$C$52,2,FALSE)</f>
        <v>快速保養團隊B</v>
      </c>
      <c r="N3136">
        <f>IF(交易處理資料__3[[#This Row],[上班時間]]=0,0,交易處理資料__3[[#This Row],[售出工時]]/交易處理資料__3[[#This Row],[上班時間]])</f>
        <v>0.20351328187660667</v>
      </c>
      <c r="O3136" s="31" t="str">
        <f>IF(交易處理資料__3[[#This Row],[上班時間]]=0,"否","是")</f>
        <v>是</v>
      </c>
    </row>
    <row r="3137" spans="1:15">
      <c r="A3137" t="s">
        <v>75</v>
      </c>
      <c r="B3137" t="s">
        <v>33</v>
      </c>
      <c r="C3137">
        <v>1.973333333</v>
      </c>
      <c r="D3137">
        <v>3.85</v>
      </c>
      <c r="E3137" s="27">
        <v>51.255411260000002</v>
      </c>
      <c r="F3137">
        <v>9.17</v>
      </c>
      <c r="G3137">
        <v>0.87</v>
      </c>
      <c r="H3137">
        <v>10.039999999999999</v>
      </c>
      <c r="I3137">
        <v>91.33</v>
      </c>
      <c r="J3137">
        <v>19.649999999999999</v>
      </c>
      <c r="K3137" s="9">
        <v>45371</v>
      </c>
      <c r="L3137">
        <f xml:space="preserve"> (交易處理資料__3[[#This Row],[售出工時]] * 60) / 5</f>
        <v>23.679999995999999</v>
      </c>
      <c r="M3137" t="str">
        <f>VLOOKUP(交易處理資料__3[[#This Row],[人員代號]],團隊分組!$B$1:$C$52,2,FALSE)</f>
        <v>快速保養團隊B</v>
      </c>
      <c r="N3137">
        <f>IF(交易處理資料__3[[#This Row],[上班時間]]=0,0,交易處理資料__3[[#This Row],[售出工時]]/交易處理資料__3[[#This Row],[上班時間]])</f>
        <v>0.19654714472111556</v>
      </c>
      <c r="O3137" s="31" t="str">
        <f>IF(交易處理資料__3[[#This Row],[上班時間]]=0,"否","是")</f>
        <v>是</v>
      </c>
    </row>
    <row r="3138" spans="1:15" hidden="1">
      <c r="A3138" t="s">
        <v>75</v>
      </c>
      <c r="B3138" t="s">
        <v>34</v>
      </c>
      <c r="C3138">
        <v>7.6666666670000003</v>
      </c>
      <c r="D3138">
        <v>7.4</v>
      </c>
      <c r="E3138" s="27">
        <v>103.6036036</v>
      </c>
      <c r="F3138">
        <v>7.23</v>
      </c>
      <c r="G3138">
        <v>0.96</v>
      </c>
      <c r="H3138">
        <v>8.19</v>
      </c>
      <c r="I3138">
        <v>88.28</v>
      </c>
      <c r="J3138">
        <v>93.61</v>
      </c>
      <c r="K3138" s="9">
        <v>45371</v>
      </c>
      <c r="L3138">
        <f xml:space="preserve"> (交易處理資料__3[[#This Row],[售出工時]] * 60) / 5</f>
        <v>92.000000004</v>
      </c>
      <c r="M3138" t="str">
        <f>VLOOKUP(交易處理資料__3[[#This Row],[人員代號]],團隊分組!$B$1:$C$52,2,FALSE)</f>
        <v>快速保養團隊A</v>
      </c>
      <c r="N3138">
        <f>IF(交易處理資料__3[[#This Row],[上班時間]]=0,0,交易處理資料__3[[#This Row],[售出工時]]/交易處理資料__3[[#This Row],[上班時間]])</f>
        <v>0.93610093614163625</v>
      </c>
      <c r="O3138" s="31" t="str">
        <f>IF(交易處理資料__3[[#This Row],[上班時間]]=0,"否","是")</f>
        <v>是</v>
      </c>
    </row>
    <row r="3139" spans="1:15" hidden="1">
      <c r="A3139" t="s">
        <v>75</v>
      </c>
      <c r="B3139" t="s">
        <v>35</v>
      </c>
      <c r="C3139">
        <v>2.99</v>
      </c>
      <c r="D3139">
        <v>3.17</v>
      </c>
      <c r="E3139" s="27">
        <v>94.32176656</v>
      </c>
      <c r="F3139">
        <v>7</v>
      </c>
      <c r="G3139">
        <v>1.1100000000000001</v>
      </c>
      <c r="H3139">
        <v>8.11</v>
      </c>
      <c r="I3139">
        <v>86.31</v>
      </c>
      <c r="J3139">
        <v>36.869999999999997</v>
      </c>
      <c r="K3139" s="9">
        <v>45371</v>
      </c>
      <c r="L3139">
        <f xml:space="preserve"> (交易處理資料__3[[#This Row],[售出工時]] * 60) / 5</f>
        <v>35.880000000000003</v>
      </c>
      <c r="M3139" t="str">
        <f>VLOOKUP(交易處理資料__3[[#This Row],[人員代號]],團隊分組!$B$1:$C$52,2,FALSE)</f>
        <v>查修團隊B</v>
      </c>
      <c r="N3139">
        <f>IF(交易處理資料__3[[#This Row],[上班時間]]=0,0,交易處理資料__3[[#This Row],[售出工時]]/交易處理資料__3[[#This Row],[上班時間]])</f>
        <v>0.36868064118372385</v>
      </c>
      <c r="O3139" s="31" t="str">
        <f>IF(交易處理資料__3[[#This Row],[上班時間]]=0,"否","是")</f>
        <v>是</v>
      </c>
    </row>
    <row r="3140" spans="1:15" hidden="1">
      <c r="A3140" t="s">
        <v>75</v>
      </c>
      <c r="B3140" t="s">
        <v>36</v>
      </c>
      <c r="C3140">
        <v>0</v>
      </c>
      <c r="D3140">
        <v>0</v>
      </c>
      <c r="E3140" s="27">
        <v>0</v>
      </c>
      <c r="F3140">
        <v>9.1199999999999992</v>
      </c>
      <c r="G3140">
        <v>0.86</v>
      </c>
      <c r="H3140">
        <v>9.98</v>
      </c>
      <c r="I3140">
        <v>91.38</v>
      </c>
      <c r="J3140">
        <v>0</v>
      </c>
      <c r="K3140" s="9">
        <v>45371</v>
      </c>
      <c r="L3140">
        <f xml:space="preserve"> (交易處理資料__3[[#This Row],[售出工時]] * 60) / 5</f>
        <v>0</v>
      </c>
      <c r="M3140" t="str">
        <f>VLOOKUP(交易處理資料__3[[#This Row],[人員代號]],團隊分組!$B$1:$C$52,2,FALSE)</f>
        <v>查修團隊B</v>
      </c>
      <c r="N3140">
        <f>IF(交易處理資料__3[[#This Row],[上班時間]]=0,0,交易處理資料__3[[#This Row],[售出工時]]/交易處理資料__3[[#This Row],[上班時間]])</f>
        <v>0</v>
      </c>
      <c r="O3140" s="31" t="str">
        <f>IF(交易處理資料__3[[#This Row],[上班時間]]=0,"否","是")</f>
        <v>是</v>
      </c>
    </row>
    <row r="3141" spans="1:15" hidden="1">
      <c r="A3141" t="s">
        <v>75</v>
      </c>
      <c r="B3141" t="s">
        <v>38</v>
      </c>
      <c r="C3141">
        <v>10.16666667</v>
      </c>
      <c r="D3141">
        <v>5.62</v>
      </c>
      <c r="E3141" s="27">
        <v>180.9015421</v>
      </c>
      <c r="F3141">
        <v>9.14</v>
      </c>
      <c r="G3141">
        <v>1.03</v>
      </c>
      <c r="H3141">
        <v>10.17</v>
      </c>
      <c r="I3141">
        <v>89.87</v>
      </c>
      <c r="J3141">
        <v>99.97</v>
      </c>
      <c r="K3141" s="9">
        <v>45371</v>
      </c>
      <c r="L3141">
        <f xml:space="preserve"> (交易處理資料__3[[#This Row],[售出工時]] * 60) / 5</f>
        <v>122.00000003999999</v>
      </c>
      <c r="M3141" t="str">
        <f>VLOOKUP(交易處理資料__3[[#This Row],[人員代號]],團隊分組!$B$1:$C$52,2,FALSE)</f>
        <v>快速保養團隊A</v>
      </c>
      <c r="N3141">
        <f>IF(交易處理資料__3[[#This Row],[上班時間]]=0,0,交易處理資料__3[[#This Row],[售出工時]]/交易處理資料__3[[#This Row],[上班時間]])</f>
        <v>0.99967223893805313</v>
      </c>
      <c r="O3141" s="31" t="str">
        <f>IF(交易處理資料__3[[#This Row],[上班時間]]=0,"否","是")</f>
        <v>是</v>
      </c>
    </row>
    <row r="3142" spans="1:15" hidden="1">
      <c r="A3142" t="s">
        <v>75</v>
      </c>
      <c r="B3142" t="s">
        <v>41</v>
      </c>
      <c r="C3142">
        <v>10</v>
      </c>
      <c r="D3142">
        <v>6.2</v>
      </c>
      <c r="E3142" s="27">
        <v>161.2903226</v>
      </c>
      <c r="F3142">
        <v>9.06</v>
      </c>
      <c r="G3142">
        <v>0.6</v>
      </c>
      <c r="H3142">
        <v>9.66</v>
      </c>
      <c r="I3142">
        <v>93.79</v>
      </c>
      <c r="J3142">
        <v>103.52</v>
      </c>
      <c r="K3142" s="9">
        <v>45371</v>
      </c>
      <c r="L3142">
        <f xml:space="preserve"> (交易處理資料__3[[#This Row],[售出工時]] * 60) / 5</f>
        <v>120</v>
      </c>
      <c r="M3142" t="str">
        <f>VLOOKUP(交易處理資料__3[[#This Row],[人員代號]],團隊分組!$B$1:$C$52,2,FALSE)</f>
        <v>快速保養團隊A</v>
      </c>
      <c r="N3142">
        <f>IF(交易處理資料__3[[#This Row],[上班時間]]=0,0,交易處理資料__3[[#This Row],[售出工時]]/交易處理資料__3[[#This Row],[上班時間]])</f>
        <v>1.0351966873706004</v>
      </c>
      <c r="O3142" s="31" t="str">
        <f>IF(交易處理資料__3[[#This Row],[上班時間]]=0,"否","是")</f>
        <v>是</v>
      </c>
    </row>
    <row r="3143" spans="1:15" hidden="1">
      <c r="A3143" t="s">
        <v>75</v>
      </c>
      <c r="B3143" t="s">
        <v>42</v>
      </c>
      <c r="C3143">
        <v>11.16666667</v>
      </c>
      <c r="D3143">
        <v>6.86</v>
      </c>
      <c r="E3143" s="27">
        <v>162.77939749999999</v>
      </c>
      <c r="F3143">
        <v>6.15</v>
      </c>
      <c r="G3143">
        <v>1.87</v>
      </c>
      <c r="H3143">
        <v>8.02</v>
      </c>
      <c r="I3143">
        <v>76.680000000000007</v>
      </c>
      <c r="J3143">
        <v>139.24</v>
      </c>
      <c r="K3143" s="9">
        <v>45371</v>
      </c>
      <c r="L3143">
        <f xml:space="preserve"> (交易處理資料__3[[#This Row],[售出工時]] * 60) / 5</f>
        <v>134.00000003999997</v>
      </c>
      <c r="M3143" t="str">
        <f>VLOOKUP(交易處理資料__3[[#This Row],[人員代號]],團隊分組!$B$1:$C$52,2,FALSE)</f>
        <v>快速保養團隊A</v>
      </c>
      <c r="N3143">
        <f>IF(交易處理資料__3[[#This Row],[上班時間]]=0,0,交易處理資料__3[[#This Row],[售出工時]]/交易處理資料__3[[#This Row],[上班時間]])</f>
        <v>1.3923524526184539</v>
      </c>
      <c r="O3143" s="31" t="str">
        <f>IF(交易處理資料__3[[#This Row],[上班時間]]=0,"否","是")</f>
        <v>是</v>
      </c>
    </row>
    <row r="3144" spans="1:15" hidden="1">
      <c r="A3144" t="s">
        <v>75</v>
      </c>
      <c r="B3144" t="s">
        <v>43</v>
      </c>
      <c r="C3144">
        <v>0.16666666699999999</v>
      </c>
      <c r="D3144">
        <v>0.24</v>
      </c>
      <c r="E3144" s="27">
        <v>69.444444439999998</v>
      </c>
      <c r="F3144">
        <v>9.19</v>
      </c>
      <c r="G3144">
        <v>0.81</v>
      </c>
      <c r="H3144">
        <v>10</v>
      </c>
      <c r="I3144">
        <v>91.9</v>
      </c>
      <c r="J3144">
        <v>1.67</v>
      </c>
      <c r="K3144" s="9">
        <v>45371</v>
      </c>
      <c r="L3144">
        <f xml:space="preserve"> (交易處理資料__3[[#This Row],[售出工時]] * 60) / 5</f>
        <v>2.0000000039999999</v>
      </c>
      <c r="M3144" t="str">
        <f>VLOOKUP(交易處理資料__3[[#This Row],[人員代號]],團隊分組!$B$1:$C$52,2,FALSE)</f>
        <v>查修團隊B</v>
      </c>
      <c r="N3144">
        <f>IF(交易處理資料__3[[#This Row],[上班時間]]=0,0,交易處理資料__3[[#This Row],[售出工時]]/交易處理資料__3[[#This Row],[上班時間]])</f>
        <v>1.6666666699999999E-2</v>
      </c>
      <c r="O3144" s="31" t="str">
        <f>IF(交易處理資料__3[[#This Row],[上班時間]]=0,"否","是")</f>
        <v>是</v>
      </c>
    </row>
    <row r="3145" spans="1:15" hidden="1">
      <c r="A3145" t="s">
        <v>75</v>
      </c>
      <c r="B3145" t="s">
        <v>44</v>
      </c>
      <c r="C3145">
        <v>3.79</v>
      </c>
      <c r="D3145">
        <v>1.59</v>
      </c>
      <c r="E3145" s="27">
        <v>238.3647799</v>
      </c>
      <c r="F3145">
        <v>8.99</v>
      </c>
      <c r="G3145">
        <v>0.21</v>
      </c>
      <c r="H3145">
        <v>9.1999999999999993</v>
      </c>
      <c r="I3145">
        <v>97.72</v>
      </c>
      <c r="J3145">
        <v>41.2</v>
      </c>
      <c r="K3145" s="9">
        <v>45371</v>
      </c>
      <c r="L3145">
        <f xml:space="preserve"> (交易處理資料__3[[#This Row],[售出工時]] * 60) / 5</f>
        <v>45.480000000000004</v>
      </c>
      <c r="M3145" t="str">
        <f>VLOOKUP(交易處理資料__3[[#This Row],[人員代號]],團隊分組!$B$1:$C$52,2,FALSE)</f>
        <v>快速保養團隊B</v>
      </c>
      <c r="N3145">
        <f>IF(交易處理資料__3[[#This Row],[上班時間]]=0,0,交易處理資料__3[[#This Row],[售出工時]]/交易處理資料__3[[#This Row],[上班時間]])</f>
        <v>0.41195652173913044</v>
      </c>
      <c r="O3145" s="31" t="str">
        <f>IF(交易處理資料__3[[#This Row],[上班時間]]=0,"否","是")</f>
        <v>是</v>
      </c>
    </row>
    <row r="3146" spans="1:15" hidden="1">
      <c r="A3146" t="s">
        <v>75</v>
      </c>
      <c r="B3146" t="s">
        <v>45</v>
      </c>
      <c r="C3146">
        <v>16.583333329999999</v>
      </c>
      <c r="D3146">
        <v>7.34</v>
      </c>
      <c r="E3146" s="27">
        <v>225.93097180000001</v>
      </c>
      <c r="F3146">
        <v>8.56</v>
      </c>
      <c r="G3146">
        <v>0.44</v>
      </c>
      <c r="H3146">
        <v>9</v>
      </c>
      <c r="I3146">
        <v>95.11</v>
      </c>
      <c r="J3146">
        <v>184.26</v>
      </c>
      <c r="K3146" s="9">
        <v>45371</v>
      </c>
      <c r="L3146">
        <f xml:space="preserve"> (交易處理資料__3[[#This Row],[售出工時]] * 60) / 5</f>
        <v>198.99999996</v>
      </c>
      <c r="M3146" t="str">
        <f>VLOOKUP(交易處理資料__3[[#This Row],[人員代號]],團隊分組!$B$1:$C$52,2,FALSE)</f>
        <v>快速保養團隊A</v>
      </c>
      <c r="N3146">
        <f>IF(交易處理資料__3[[#This Row],[上班時間]]=0,0,交易處理資料__3[[#This Row],[售出工時]]/交易處理資料__3[[#This Row],[上班時間]])</f>
        <v>1.8425925922222222</v>
      </c>
      <c r="O3146" s="31" t="str">
        <f>IF(交易處理資料__3[[#This Row],[上班時間]]=0,"否","是")</f>
        <v>是</v>
      </c>
    </row>
    <row r="3147" spans="1:15" hidden="1">
      <c r="A3147" t="s">
        <v>75</v>
      </c>
      <c r="B3147" t="s">
        <v>47</v>
      </c>
      <c r="C3147">
        <v>0.5</v>
      </c>
      <c r="D3147">
        <v>0.94</v>
      </c>
      <c r="E3147" s="27">
        <v>53.191489359999998</v>
      </c>
      <c r="F3147">
        <v>6.35</v>
      </c>
      <c r="G3147">
        <v>1.64</v>
      </c>
      <c r="H3147">
        <v>7.99</v>
      </c>
      <c r="I3147">
        <v>79.47</v>
      </c>
      <c r="J3147">
        <v>6.26</v>
      </c>
      <c r="K3147" s="9">
        <v>45371</v>
      </c>
      <c r="L3147">
        <f xml:space="preserve"> (交易處理資料__3[[#This Row],[售出工時]] * 60) / 5</f>
        <v>6</v>
      </c>
      <c r="M3147" t="str">
        <f>VLOOKUP(交易處理資料__3[[#This Row],[人員代號]],團隊分組!$B$1:$C$52,2,FALSE)</f>
        <v>查修團隊B</v>
      </c>
      <c r="N3147">
        <f>IF(交易處理資料__3[[#This Row],[上班時間]]=0,0,交易處理資料__3[[#This Row],[售出工時]]/交易處理資料__3[[#This Row],[上班時間]])</f>
        <v>6.2578222778473094E-2</v>
      </c>
      <c r="O3147" s="31" t="str">
        <f>IF(交易處理資料__3[[#This Row],[上班時間]]=0,"否","是")</f>
        <v>是</v>
      </c>
    </row>
    <row r="3148" spans="1:15" hidden="1">
      <c r="A3148" t="s">
        <v>75</v>
      </c>
      <c r="B3148" t="s">
        <v>48</v>
      </c>
      <c r="C3148">
        <v>1.0833333329999999</v>
      </c>
      <c r="D3148">
        <v>0.56999999999999995</v>
      </c>
      <c r="E3148" s="27">
        <v>190.0584795</v>
      </c>
      <c r="F3148">
        <v>5.8</v>
      </c>
      <c r="G3148">
        <v>2.0699999999999998</v>
      </c>
      <c r="H3148">
        <v>7.87</v>
      </c>
      <c r="I3148">
        <v>73.7</v>
      </c>
      <c r="J3148">
        <v>13.77</v>
      </c>
      <c r="K3148" s="9">
        <v>45371</v>
      </c>
      <c r="L3148">
        <f xml:space="preserve"> (交易處理資料__3[[#This Row],[售出工時]] * 60) / 5</f>
        <v>12.999999996</v>
      </c>
      <c r="M3148" t="str">
        <f>VLOOKUP(交易處理資料__3[[#This Row],[人員代號]],團隊分組!$B$1:$C$52,2,FALSE)</f>
        <v>查修團隊A</v>
      </c>
      <c r="N3148">
        <f>IF(交易處理資料__3[[#This Row],[上班時間]]=0,0,交易處理資料__3[[#This Row],[售出工時]]/交易處理資料__3[[#This Row],[上班時間]])</f>
        <v>0.13765353659466326</v>
      </c>
      <c r="O3148" s="31" t="str">
        <f>IF(交易處理資料__3[[#This Row],[上班時間]]=0,"否","是")</f>
        <v>是</v>
      </c>
    </row>
    <row r="3149" spans="1:15" hidden="1">
      <c r="A3149" t="s">
        <v>75</v>
      </c>
      <c r="B3149" t="s">
        <v>49</v>
      </c>
      <c r="C3149">
        <v>1.5</v>
      </c>
      <c r="D3149">
        <v>3.38</v>
      </c>
      <c r="E3149" s="27">
        <v>44.378698219999997</v>
      </c>
      <c r="F3149">
        <v>6.46</v>
      </c>
      <c r="G3149">
        <v>1.27</v>
      </c>
      <c r="H3149">
        <v>7.73</v>
      </c>
      <c r="I3149">
        <v>83.57</v>
      </c>
      <c r="J3149">
        <v>19.399999999999999</v>
      </c>
      <c r="K3149" s="9">
        <v>45371</v>
      </c>
      <c r="L3149">
        <f xml:space="preserve"> (交易處理資料__3[[#This Row],[售出工時]] * 60) / 5</f>
        <v>18</v>
      </c>
      <c r="M3149" t="str">
        <f>VLOOKUP(交易處理資料__3[[#This Row],[人員代號]],團隊分組!$B$1:$C$52,2,FALSE)</f>
        <v>查修團隊A</v>
      </c>
      <c r="N3149">
        <f>IF(交易處理資料__3[[#This Row],[上班時間]]=0,0,交易處理資料__3[[#This Row],[售出工時]]/交易處理資料__3[[#This Row],[上班時間]])</f>
        <v>0.19404915912031045</v>
      </c>
      <c r="O3149" s="31" t="str">
        <f>IF(交易處理資料__3[[#This Row],[上班時間]]=0,"否","是")</f>
        <v>是</v>
      </c>
    </row>
    <row r="3150" spans="1:15" hidden="1">
      <c r="A3150" t="s">
        <v>75</v>
      </c>
      <c r="B3150" t="s">
        <v>50</v>
      </c>
      <c r="C3150">
        <v>6.3733333329999997</v>
      </c>
      <c r="D3150">
        <v>3.21</v>
      </c>
      <c r="E3150" s="27">
        <v>198.54620980000001</v>
      </c>
      <c r="F3150">
        <v>7.89</v>
      </c>
      <c r="G3150">
        <v>0.17</v>
      </c>
      <c r="H3150">
        <v>8.06</v>
      </c>
      <c r="I3150">
        <v>97.89</v>
      </c>
      <c r="J3150">
        <v>79.069999999999993</v>
      </c>
      <c r="K3150" s="9">
        <v>45371</v>
      </c>
      <c r="L3150">
        <f xml:space="preserve"> (交易處理資料__3[[#This Row],[售出工時]] * 60) / 5</f>
        <v>76.479999995999989</v>
      </c>
      <c r="M3150" t="str">
        <f>VLOOKUP(交易處理資料__3[[#This Row],[人員代號]],團隊分組!$B$1:$C$52,2,FALSE)</f>
        <v>快速保養團隊B</v>
      </c>
      <c r="N3150">
        <f>IF(交易處理資料__3[[#This Row],[上班時間]]=0,0,交易處理資料__3[[#This Row],[售出工時]]/交易處理資料__3[[#This Row],[上班時間]])</f>
        <v>0.79073614553349869</v>
      </c>
      <c r="O3150" s="31" t="str">
        <f>IF(交易處理資料__3[[#This Row],[上班時間]]=0,"否","是")</f>
        <v>是</v>
      </c>
    </row>
    <row r="3151" spans="1:15" hidden="1">
      <c r="A3151" t="s">
        <v>75</v>
      </c>
      <c r="B3151" t="s">
        <v>51</v>
      </c>
      <c r="C3151">
        <v>0</v>
      </c>
      <c r="D3151">
        <v>0</v>
      </c>
      <c r="E3151" s="27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 s="9">
        <v>45371</v>
      </c>
      <c r="L3151">
        <f xml:space="preserve"> (交易處理資料__3[[#This Row],[售出工時]] * 60) / 5</f>
        <v>0</v>
      </c>
      <c r="M3151" t="str">
        <f>VLOOKUP(交易處理資料__3[[#This Row],[人員代號]],團隊分組!$B$1:$C$52,2,FALSE)</f>
        <v>無效數據</v>
      </c>
      <c r="N3151">
        <f>IF(交易處理資料__3[[#This Row],[上班時間]]=0,0,交易處理資料__3[[#This Row],[售出工時]]/交易處理資料__3[[#This Row],[上班時間]])</f>
        <v>0</v>
      </c>
      <c r="O3151" s="31" t="str">
        <f>IF(交易處理資料__3[[#This Row],[上班時間]]=0,"否","是")</f>
        <v>否</v>
      </c>
    </row>
    <row r="3152" spans="1:15" hidden="1">
      <c r="A3152" t="s">
        <v>75</v>
      </c>
      <c r="B3152" t="s">
        <v>53</v>
      </c>
      <c r="C3152">
        <v>3.1666666669999999</v>
      </c>
      <c r="D3152">
        <v>2.57</v>
      </c>
      <c r="E3152" s="27">
        <v>123.21660180000001</v>
      </c>
      <c r="F3152">
        <v>7.15</v>
      </c>
      <c r="G3152">
        <v>0.59</v>
      </c>
      <c r="H3152">
        <v>7.74</v>
      </c>
      <c r="I3152">
        <v>92.38</v>
      </c>
      <c r="J3152">
        <v>40.909999999999997</v>
      </c>
      <c r="K3152" s="9">
        <v>45371</v>
      </c>
      <c r="L3152">
        <f xml:space="preserve"> (交易處理資料__3[[#This Row],[售出工時]] * 60) / 5</f>
        <v>38.000000004</v>
      </c>
      <c r="M3152" t="str">
        <f>VLOOKUP(交易處理資料__3[[#This Row],[人員代號]],團隊分組!$B$1:$C$52,2,FALSE)</f>
        <v>查修團隊A</v>
      </c>
      <c r="N3152">
        <f>IF(交易處理資料__3[[#This Row],[上班時間]]=0,0,交易處理資料__3[[#This Row],[售出工時]]/交易處理資料__3[[#This Row],[上班時間]])</f>
        <v>0.40913006033591731</v>
      </c>
      <c r="O3152" s="31" t="str">
        <f>IF(交易處理資料__3[[#This Row],[上班時間]]=0,"否","是")</f>
        <v>是</v>
      </c>
    </row>
    <row r="3153" spans="1:15" hidden="1">
      <c r="A3153" s="10" t="s">
        <v>73</v>
      </c>
      <c r="B3153" t="s">
        <v>1</v>
      </c>
      <c r="C3153">
        <v>4.3266666669999996</v>
      </c>
      <c r="D3153">
        <v>7.26</v>
      </c>
      <c r="E3153" s="27">
        <v>59.5959596</v>
      </c>
      <c r="F3153">
        <v>7.19</v>
      </c>
      <c r="G3153">
        <v>0.83</v>
      </c>
      <c r="H3153">
        <v>8.02</v>
      </c>
      <c r="I3153">
        <v>89.65</v>
      </c>
      <c r="J3153">
        <v>53.95</v>
      </c>
      <c r="K3153" s="9">
        <v>45372</v>
      </c>
      <c r="L3153">
        <f xml:space="preserve"> (交易處理資料__3[[#This Row],[售出工時]] * 60) / 5</f>
        <v>51.920000003999995</v>
      </c>
      <c r="M3153" t="str">
        <f>VLOOKUP(交易處理資料__3[[#This Row],[人員代號]],團隊分組!$B$1:$C$52,2,FALSE)</f>
        <v>噴漆維修組</v>
      </c>
      <c r="N3153">
        <f>IF(交易處理資料__3[[#This Row],[上班時間]]=0,0,交易處理資料__3[[#This Row],[售出工時]]/交易處理資料__3[[#This Row],[上班時間]])</f>
        <v>0.53948462182044887</v>
      </c>
      <c r="O3153" s="31" t="str">
        <f>IF(交易處理資料__3[[#This Row],[上班時間]]=0,"否","是")</f>
        <v>是</v>
      </c>
    </row>
    <row r="3154" spans="1:15" hidden="1">
      <c r="A3154" s="10" t="s">
        <v>73</v>
      </c>
      <c r="B3154" t="s">
        <v>5</v>
      </c>
      <c r="C3154">
        <v>0</v>
      </c>
      <c r="D3154">
        <v>0</v>
      </c>
      <c r="E3154" s="27">
        <v>0</v>
      </c>
      <c r="F3154">
        <v>10.37</v>
      </c>
      <c r="G3154">
        <v>0.2</v>
      </c>
      <c r="H3154">
        <v>10.57</v>
      </c>
      <c r="I3154">
        <v>98.11</v>
      </c>
      <c r="J3154">
        <v>0</v>
      </c>
      <c r="K3154" s="9">
        <v>45372</v>
      </c>
      <c r="L3154">
        <f xml:space="preserve"> (交易處理資料__3[[#This Row],[售出工時]] * 60) / 5</f>
        <v>0</v>
      </c>
      <c r="M3154" t="str">
        <f>VLOOKUP(交易處理資料__3[[#This Row],[人員代號]],團隊分組!$B$1:$C$52,2,FALSE)</f>
        <v>噴漆維修組</v>
      </c>
      <c r="N3154">
        <f>IF(交易處理資料__3[[#This Row],[上班時間]]=0,0,交易處理資料__3[[#This Row],[售出工時]]/交易處理資料__3[[#This Row],[上班時間]])</f>
        <v>0</v>
      </c>
      <c r="O3154" s="31" t="str">
        <f>IF(交易處理資料__3[[#This Row],[上班時間]]=0,"否","是")</f>
        <v>是</v>
      </c>
    </row>
    <row r="3155" spans="1:15" hidden="1">
      <c r="A3155" s="10" t="s">
        <v>73</v>
      </c>
      <c r="B3155" t="s">
        <v>7</v>
      </c>
      <c r="C3155">
        <v>3.5833333330000001</v>
      </c>
      <c r="D3155">
        <v>2</v>
      </c>
      <c r="E3155" s="27">
        <v>179.16666670000001</v>
      </c>
      <c r="F3155">
        <v>10.39</v>
      </c>
      <c r="G3155">
        <v>0.2</v>
      </c>
      <c r="H3155">
        <v>10.59</v>
      </c>
      <c r="I3155">
        <v>98.11</v>
      </c>
      <c r="J3155">
        <v>33.840000000000003</v>
      </c>
      <c r="K3155" s="9">
        <v>45372</v>
      </c>
      <c r="L3155">
        <f xml:space="preserve"> (交易處理資料__3[[#This Row],[售出工時]] * 60) / 5</f>
        <v>42.999999996</v>
      </c>
      <c r="M3155" t="str">
        <f>VLOOKUP(交易處理資料__3[[#This Row],[人員代號]],團隊分組!$B$1:$C$52,2,FALSE)</f>
        <v>噴漆維修組</v>
      </c>
      <c r="N3155">
        <f>IF(交易處理資料__3[[#This Row],[上班時間]]=0,0,交易處理資料__3[[#This Row],[售出工時]]/交易處理資料__3[[#This Row],[上班時間]])</f>
        <v>0.33836953097261568</v>
      </c>
      <c r="O3155" s="31" t="str">
        <f>IF(交易處理資料__3[[#This Row],[上班時間]]=0,"否","是")</f>
        <v>是</v>
      </c>
    </row>
    <row r="3156" spans="1:15" hidden="1">
      <c r="A3156" s="10" t="s">
        <v>73</v>
      </c>
      <c r="B3156" t="s">
        <v>8</v>
      </c>
      <c r="C3156">
        <v>0.2</v>
      </c>
      <c r="D3156">
        <v>0.53</v>
      </c>
      <c r="E3156" s="27">
        <v>37.73584906</v>
      </c>
      <c r="F3156">
        <v>7.16</v>
      </c>
      <c r="G3156">
        <v>0.89</v>
      </c>
      <c r="H3156">
        <v>8.0500000000000007</v>
      </c>
      <c r="I3156">
        <v>88.94</v>
      </c>
      <c r="J3156">
        <v>2.48</v>
      </c>
      <c r="K3156" s="9">
        <v>45372</v>
      </c>
      <c r="L3156">
        <f xml:space="preserve"> (交易處理資料__3[[#This Row],[售出工時]] * 60) / 5</f>
        <v>2.4</v>
      </c>
      <c r="M3156" t="str">
        <f>VLOOKUP(交易處理資料__3[[#This Row],[人員代號]],團隊分組!$B$1:$C$52,2,FALSE)</f>
        <v>噴漆維修組</v>
      </c>
      <c r="N3156">
        <f>IF(交易處理資料__3[[#This Row],[上班時間]]=0,0,交易處理資料__3[[#This Row],[售出工時]]/交易處理資料__3[[#This Row],[上班時間]])</f>
        <v>2.4844720496894408E-2</v>
      </c>
      <c r="O3156" s="31" t="str">
        <f>IF(交易處理資料__3[[#This Row],[上班時間]]=0,"否","是")</f>
        <v>是</v>
      </c>
    </row>
    <row r="3157" spans="1:15" hidden="1">
      <c r="A3157" s="10" t="s">
        <v>73</v>
      </c>
      <c r="B3157" t="s">
        <v>9</v>
      </c>
      <c r="C3157">
        <v>1.67</v>
      </c>
      <c r="D3157">
        <v>3.09</v>
      </c>
      <c r="E3157" s="27">
        <v>54.045307440000002</v>
      </c>
      <c r="F3157">
        <v>10.84</v>
      </c>
      <c r="G3157">
        <v>0.38</v>
      </c>
      <c r="H3157">
        <v>11.22</v>
      </c>
      <c r="I3157">
        <v>96.61</v>
      </c>
      <c r="J3157">
        <v>14.88</v>
      </c>
      <c r="K3157" s="9">
        <v>45372</v>
      </c>
      <c r="L3157">
        <f xml:space="preserve"> (交易處理資料__3[[#This Row],[售出工時]] * 60) / 5</f>
        <v>20.04</v>
      </c>
      <c r="M3157" t="str">
        <f>VLOOKUP(交易處理資料__3[[#This Row],[人員代號]],團隊分組!$B$1:$C$52,2,FALSE)</f>
        <v>噴漆維修組</v>
      </c>
      <c r="N3157">
        <f>IF(交易處理資料__3[[#This Row],[上班時間]]=0,0,交易處理資料__3[[#This Row],[售出工時]]/交易處理資料__3[[#This Row],[上班時間]])</f>
        <v>0.14884135472370766</v>
      </c>
      <c r="O3157" s="31" t="str">
        <f>IF(交易處理資料__3[[#This Row],[上班時間]]=0,"否","是")</f>
        <v>是</v>
      </c>
    </row>
    <row r="3158" spans="1:15" hidden="1">
      <c r="A3158" t="s">
        <v>74</v>
      </c>
      <c r="B3158" t="s">
        <v>11</v>
      </c>
      <c r="C3158">
        <v>7.1666666670000003</v>
      </c>
      <c r="D3158">
        <v>4.53</v>
      </c>
      <c r="E3158" s="27">
        <v>158.2045622</v>
      </c>
      <c r="F3158">
        <v>6.66</v>
      </c>
      <c r="G3158">
        <v>1.46</v>
      </c>
      <c r="H3158">
        <v>8.1199999999999992</v>
      </c>
      <c r="I3158">
        <v>82.02</v>
      </c>
      <c r="J3158">
        <v>88.26</v>
      </c>
      <c r="K3158" s="9">
        <v>45372</v>
      </c>
      <c r="L3158">
        <f xml:space="preserve"> (交易處理資料__3[[#This Row],[售出工時]] * 60) / 5</f>
        <v>86.000000004</v>
      </c>
      <c r="M3158" t="str">
        <f>VLOOKUP(交易處理資料__3[[#This Row],[人員代號]],團隊分組!$B$1:$C$52,2,FALSE)</f>
        <v>鈑金維修組</v>
      </c>
      <c r="N3158">
        <f>IF(交易處理資料__3[[#This Row],[上班時間]]=0,0,交易處理資料__3[[#This Row],[售出工時]]/交易處理資料__3[[#This Row],[上班時間]])</f>
        <v>0.88259441711822673</v>
      </c>
      <c r="O3158" s="31" t="str">
        <f>IF(交易處理資料__3[[#This Row],[上班時間]]=0,"否","是")</f>
        <v>是</v>
      </c>
    </row>
    <row r="3159" spans="1:15" hidden="1">
      <c r="A3159" t="s">
        <v>74</v>
      </c>
      <c r="B3159" t="s">
        <v>12</v>
      </c>
      <c r="C3159">
        <v>8</v>
      </c>
      <c r="D3159">
        <v>7.72</v>
      </c>
      <c r="E3159" s="27">
        <v>103.626943</v>
      </c>
      <c r="F3159">
        <v>4.55</v>
      </c>
      <c r="G3159">
        <v>3.55</v>
      </c>
      <c r="H3159">
        <v>8.1</v>
      </c>
      <c r="I3159">
        <v>56.17</v>
      </c>
      <c r="J3159">
        <v>98.77</v>
      </c>
      <c r="K3159" s="9">
        <v>45372</v>
      </c>
      <c r="L3159">
        <f xml:space="preserve"> (交易處理資料__3[[#This Row],[售出工時]] * 60) / 5</f>
        <v>96</v>
      </c>
      <c r="M3159" t="str">
        <f>VLOOKUP(交易處理資料__3[[#This Row],[人員代號]],團隊分組!$B$1:$C$52,2,FALSE)</f>
        <v>鈑金維修組</v>
      </c>
      <c r="N3159">
        <f>IF(交易處理資料__3[[#This Row],[上班時間]]=0,0,交易處理資料__3[[#This Row],[售出工時]]/交易處理資料__3[[#This Row],[上班時間]])</f>
        <v>0.98765432098765438</v>
      </c>
      <c r="O3159" s="31" t="str">
        <f>IF(交易處理資料__3[[#This Row],[上班時間]]=0,"否","是")</f>
        <v>是</v>
      </c>
    </row>
    <row r="3160" spans="1:15" hidden="1">
      <c r="A3160" t="s">
        <v>74</v>
      </c>
      <c r="B3160" t="s">
        <v>13</v>
      </c>
      <c r="C3160">
        <v>0.64</v>
      </c>
      <c r="D3160">
        <v>0.42</v>
      </c>
      <c r="E3160" s="27">
        <v>152.38095240000001</v>
      </c>
      <c r="F3160">
        <v>7.47</v>
      </c>
      <c r="G3160">
        <v>0.64</v>
      </c>
      <c r="H3160">
        <v>8.11</v>
      </c>
      <c r="I3160">
        <v>92.11</v>
      </c>
      <c r="J3160">
        <v>7.89</v>
      </c>
      <c r="K3160" s="9">
        <v>45372</v>
      </c>
      <c r="L3160">
        <f xml:space="preserve"> (交易處理資料__3[[#This Row],[售出工時]] * 60) / 5</f>
        <v>7.68</v>
      </c>
      <c r="M3160" t="str">
        <f>VLOOKUP(交易處理資料__3[[#This Row],[人員代號]],團隊分組!$B$1:$C$52,2,FALSE)</f>
        <v>鈑金維修組</v>
      </c>
      <c r="N3160">
        <f>IF(交易處理資料__3[[#This Row],[上班時間]]=0,0,交易處理資料__3[[#This Row],[售出工時]]/交易處理資料__3[[#This Row],[上班時間]])</f>
        <v>7.8914919852034526E-2</v>
      </c>
      <c r="O3160" s="31" t="str">
        <f>IF(交易處理資料__3[[#This Row],[上班時間]]=0,"否","是")</f>
        <v>是</v>
      </c>
    </row>
    <row r="3161" spans="1:15" hidden="1">
      <c r="A3161" t="s">
        <v>74</v>
      </c>
      <c r="B3161" t="s">
        <v>14</v>
      </c>
      <c r="C3161">
        <v>7.1</v>
      </c>
      <c r="D3161">
        <v>7.94</v>
      </c>
      <c r="E3161" s="27">
        <v>89.420654909999996</v>
      </c>
      <c r="F3161">
        <v>7.48</v>
      </c>
      <c r="G3161">
        <v>0.63</v>
      </c>
      <c r="H3161">
        <v>8.11</v>
      </c>
      <c r="I3161">
        <v>92.23</v>
      </c>
      <c r="J3161">
        <v>87.55</v>
      </c>
      <c r="K3161" s="9">
        <v>45372</v>
      </c>
      <c r="L3161">
        <f xml:space="preserve"> (交易處理資料__3[[#This Row],[售出工時]] * 60) / 5</f>
        <v>85.2</v>
      </c>
      <c r="M3161" t="str">
        <f>VLOOKUP(交易處理資料__3[[#This Row],[人員代號]],團隊分組!$B$1:$C$52,2,FALSE)</f>
        <v>鈑金維修組</v>
      </c>
      <c r="N3161">
        <f>IF(交易處理資料__3[[#This Row],[上班時間]]=0,0,交易處理資料__3[[#This Row],[售出工時]]/交易處理資料__3[[#This Row],[上班時間]])</f>
        <v>0.87546239210850807</v>
      </c>
      <c r="O3161" s="31" t="str">
        <f>IF(交易處理資料__3[[#This Row],[上班時間]]=0,"否","是")</f>
        <v>是</v>
      </c>
    </row>
    <row r="3162" spans="1:15" hidden="1">
      <c r="A3162" t="s">
        <v>74</v>
      </c>
      <c r="B3162" t="s">
        <v>15</v>
      </c>
      <c r="C3162">
        <v>8.5333333329999999</v>
      </c>
      <c r="D3162">
        <v>4.59</v>
      </c>
      <c r="E3162" s="27">
        <v>185.9114016</v>
      </c>
      <c r="F3162">
        <v>7.47</v>
      </c>
      <c r="G3162">
        <v>0.66</v>
      </c>
      <c r="H3162">
        <v>8.1300000000000008</v>
      </c>
      <c r="I3162">
        <v>91.88</v>
      </c>
      <c r="J3162">
        <v>104.96</v>
      </c>
      <c r="K3162" s="9">
        <v>45372</v>
      </c>
      <c r="L3162">
        <f xml:space="preserve"> (交易處理資料__3[[#This Row],[售出工時]] * 60) / 5</f>
        <v>102.39999999599999</v>
      </c>
      <c r="M3162" t="str">
        <f>VLOOKUP(交易處理資料__3[[#This Row],[人員代號]],團隊分組!$B$1:$C$52,2,FALSE)</f>
        <v>鈑金維修組</v>
      </c>
      <c r="N3162">
        <f>IF(交易處理資料__3[[#This Row],[上班時間]]=0,0,交易處理資料__3[[#This Row],[售出工時]]/交易處理資料__3[[#This Row],[上班時間]])</f>
        <v>1.0496104960639605</v>
      </c>
      <c r="O3162" s="31" t="str">
        <f>IF(交易處理資料__3[[#This Row],[上班時間]]=0,"否","是")</f>
        <v>是</v>
      </c>
    </row>
    <row r="3163" spans="1:15" hidden="1">
      <c r="A3163" t="s">
        <v>75</v>
      </c>
      <c r="B3163" t="s">
        <v>18</v>
      </c>
      <c r="C3163">
        <v>2.75</v>
      </c>
      <c r="D3163">
        <v>4.8</v>
      </c>
      <c r="E3163" s="27">
        <v>57.291666669999998</v>
      </c>
      <c r="F3163">
        <v>9.4499999999999993</v>
      </c>
      <c r="G3163">
        <v>0.56999999999999995</v>
      </c>
      <c r="H3163">
        <v>10.02</v>
      </c>
      <c r="I3163">
        <v>94.31</v>
      </c>
      <c r="J3163">
        <v>27.45</v>
      </c>
      <c r="K3163" s="9">
        <v>45372</v>
      </c>
      <c r="L3163">
        <f xml:space="preserve"> (交易處理資料__3[[#This Row],[售出工時]] * 60) / 5</f>
        <v>33</v>
      </c>
      <c r="M3163" t="str">
        <f>VLOOKUP(交易處理資料__3[[#This Row],[人員代號]],團隊分組!$B$1:$C$52,2,FALSE)</f>
        <v>查修團隊B</v>
      </c>
      <c r="N3163">
        <f>IF(交易處理資料__3[[#This Row],[上班時間]]=0,0,交易處理資料__3[[#This Row],[售出工時]]/交易處理資料__3[[#This Row],[上班時間]])</f>
        <v>0.27445109780439125</v>
      </c>
      <c r="O3163" s="31" t="str">
        <f>IF(交易處理資料__3[[#This Row],[上班時間]]=0,"否","是")</f>
        <v>是</v>
      </c>
    </row>
    <row r="3164" spans="1:15" hidden="1">
      <c r="A3164" t="s">
        <v>75</v>
      </c>
      <c r="B3164" t="s">
        <v>19</v>
      </c>
      <c r="C3164">
        <v>0</v>
      </c>
      <c r="D3164">
        <v>0</v>
      </c>
      <c r="E3164" s="27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 s="9">
        <v>45372</v>
      </c>
      <c r="L3164">
        <f xml:space="preserve"> (交易處理資料__3[[#This Row],[售出工時]] * 60) / 5</f>
        <v>0</v>
      </c>
      <c r="M3164" t="str">
        <f>VLOOKUP(交易處理資料__3[[#This Row],[人員代號]],團隊分組!$B$1:$C$52,2,FALSE)</f>
        <v>查修團隊A</v>
      </c>
      <c r="N3164">
        <f>IF(交易處理資料__3[[#This Row],[上班時間]]=0,0,交易處理資料__3[[#This Row],[售出工時]]/交易處理資料__3[[#This Row],[上班時間]])</f>
        <v>0</v>
      </c>
      <c r="O3164" s="31" t="str">
        <f>IF(交易處理資料__3[[#This Row],[上班時間]]=0,"否","是")</f>
        <v>否</v>
      </c>
    </row>
    <row r="3165" spans="1:15" hidden="1">
      <c r="A3165" t="s">
        <v>75</v>
      </c>
      <c r="B3165" t="s">
        <v>20</v>
      </c>
      <c r="C3165">
        <v>0.75</v>
      </c>
      <c r="D3165">
        <v>0.93</v>
      </c>
      <c r="E3165" s="27">
        <v>80.645161290000004</v>
      </c>
      <c r="F3165">
        <v>6.67</v>
      </c>
      <c r="G3165">
        <v>2.85</v>
      </c>
      <c r="H3165">
        <v>9.52</v>
      </c>
      <c r="I3165">
        <v>70.06</v>
      </c>
      <c r="J3165">
        <v>7.88</v>
      </c>
      <c r="K3165" s="9">
        <v>45372</v>
      </c>
      <c r="L3165">
        <f xml:space="preserve"> (交易處理資料__3[[#This Row],[售出工時]] * 60) / 5</f>
        <v>9</v>
      </c>
      <c r="M3165" t="str">
        <f>VLOOKUP(交易處理資料__3[[#This Row],[人員代號]],團隊分組!$B$1:$C$52,2,FALSE)</f>
        <v>查修團隊B</v>
      </c>
      <c r="N3165">
        <f>IF(交易處理資料__3[[#This Row],[上班時間]]=0,0,交易處理資料__3[[#This Row],[售出工時]]/交易處理資料__3[[#This Row],[上班時間]])</f>
        <v>7.8781512605042014E-2</v>
      </c>
      <c r="O3165" s="31" t="str">
        <f>IF(交易處理資料__3[[#This Row],[上班時間]]=0,"否","是")</f>
        <v>是</v>
      </c>
    </row>
    <row r="3166" spans="1:15" hidden="1">
      <c r="A3166" t="s">
        <v>75</v>
      </c>
      <c r="B3166" t="s">
        <v>21</v>
      </c>
      <c r="C3166">
        <v>1</v>
      </c>
      <c r="D3166">
        <v>0.77</v>
      </c>
      <c r="E3166" s="27">
        <v>129.87012989999999</v>
      </c>
      <c r="F3166">
        <v>7.13</v>
      </c>
      <c r="G3166">
        <v>1.82</v>
      </c>
      <c r="H3166">
        <v>8.9499999999999993</v>
      </c>
      <c r="I3166">
        <v>79.66</v>
      </c>
      <c r="J3166">
        <v>11.17</v>
      </c>
      <c r="K3166" s="9">
        <v>45372</v>
      </c>
      <c r="L3166">
        <f xml:space="preserve"> (交易處理資料__3[[#This Row],[售出工時]] * 60) / 5</f>
        <v>12</v>
      </c>
      <c r="M3166" t="str">
        <f>VLOOKUP(交易處理資料__3[[#This Row],[人員代號]],團隊分組!$B$1:$C$52,2,FALSE)</f>
        <v>查修團隊B</v>
      </c>
      <c r="N3166">
        <f>IF(交易處理資料__3[[#This Row],[上班時間]]=0,0,交易處理資料__3[[#This Row],[售出工時]]/交易處理資料__3[[#This Row],[上班時間]])</f>
        <v>0.111731843575419</v>
      </c>
      <c r="O3166" s="31" t="str">
        <f>IF(交易處理資料__3[[#This Row],[上班時間]]=0,"否","是")</f>
        <v>是</v>
      </c>
    </row>
    <row r="3167" spans="1:15" hidden="1">
      <c r="A3167" t="s">
        <v>75</v>
      </c>
      <c r="B3167" t="s">
        <v>22</v>
      </c>
      <c r="C3167">
        <v>17.25</v>
      </c>
      <c r="D3167">
        <v>9.1199999999999992</v>
      </c>
      <c r="E3167" s="27">
        <v>189.1447368</v>
      </c>
      <c r="F3167">
        <v>10.220000000000001</v>
      </c>
      <c r="G3167">
        <v>0.3</v>
      </c>
      <c r="H3167">
        <v>10.52</v>
      </c>
      <c r="I3167">
        <v>97.15</v>
      </c>
      <c r="J3167">
        <v>163.97</v>
      </c>
      <c r="K3167" s="9">
        <v>45372</v>
      </c>
      <c r="L3167">
        <f xml:space="preserve"> (交易處理資料__3[[#This Row],[售出工時]] * 60) / 5</f>
        <v>207</v>
      </c>
      <c r="M3167" t="str">
        <f>VLOOKUP(交易處理資料__3[[#This Row],[人員代號]],團隊分組!$B$1:$C$52,2,FALSE)</f>
        <v>快速保養團隊A</v>
      </c>
      <c r="N3167">
        <f>IF(交易處理資料__3[[#This Row],[上班時間]]=0,0,交易處理資料__3[[#This Row],[售出工時]]/交易處理資料__3[[#This Row],[上班時間]])</f>
        <v>1.6397338403041826</v>
      </c>
      <c r="O3167" s="31" t="str">
        <f>IF(交易處理資料__3[[#This Row],[上班時間]]=0,"否","是")</f>
        <v>是</v>
      </c>
    </row>
    <row r="3168" spans="1:15" hidden="1">
      <c r="A3168" t="s">
        <v>75</v>
      </c>
      <c r="B3168" t="s">
        <v>24</v>
      </c>
      <c r="C3168">
        <v>8.6066666670000007</v>
      </c>
      <c r="D3168">
        <v>6.47</v>
      </c>
      <c r="E3168" s="27">
        <v>133.02421430000001</v>
      </c>
      <c r="F3168">
        <v>7.52</v>
      </c>
      <c r="G3168">
        <v>0.76</v>
      </c>
      <c r="H3168">
        <v>8.2799999999999994</v>
      </c>
      <c r="I3168">
        <v>90.82</v>
      </c>
      <c r="J3168">
        <v>103.95</v>
      </c>
      <c r="K3168" s="9">
        <v>45372</v>
      </c>
      <c r="L3168">
        <f xml:space="preserve"> (交易處理資料__3[[#This Row],[售出工時]] * 60) / 5</f>
        <v>103.280000004</v>
      </c>
      <c r="M3168" t="str">
        <f>VLOOKUP(交易處理資料__3[[#This Row],[人員代號]],團隊分組!$B$1:$C$52,2,FALSE)</f>
        <v>快速保養團隊A</v>
      </c>
      <c r="N3168">
        <f>IF(交易處理資料__3[[#This Row],[上班時間]]=0,0,交易處理資料__3[[#This Row],[售出工時]]/交易處理資料__3[[#This Row],[上班時間]])</f>
        <v>1.0394524960144929</v>
      </c>
      <c r="O3168" s="31" t="str">
        <f>IF(交易處理資料__3[[#This Row],[上班時間]]=0,"否","是")</f>
        <v>是</v>
      </c>
    </row>
    <row r="3169" spans="1:15" hidden="1">
      <c r="A3169" t="s">
        <v>75</v>
      </c>
      <c r="B3169" t="s">
        <v>25</v>
      </c>
      <c r="C3169">
        <v>2.9166666669999999</v>
      </c>
      <c r="D3169">
        <v>4.34</v>
      </c>
      <c r="E3169" s="27">
        <v>67.204301079999993</v>
      </c>
      <c r="F3169">
        <v>8.75</v>
      </c>
      <c r="G3169">
        <v>0.84</v>
      </c>
      <c r="H3169">
        <v>9.59</v>
      </c>
      <c r="I3169">
        <v>91.24</v>
      </c>
      <c r="J3169">
        <v>30.41</v>
      </c>
      <c r="K3169" s="9">
        <v>45372</v>
      </c>
      <c r="L3169">
        <f xml:space="preserve"> (交易處理資料__3[[#This Row],[售出工時]] * 60) / 5</f>
        <v>35.000000004</v>
      </c>
      <c r="M3169" t="str">
        <f>VLOOKUP(交易處理資料__3[[#This Row],[人員代號]],團隊分組!$B$1:$C$52,2,FALSE)</f>
        <v>查修團隊A</v>
      </c>
      <c r="N3169">
        <f>IF(交易處理資料__3[[#This Row],[上班時間]]=0,0,交易處理資料__3[[#This Row],[售出工時]]/交易處理資料__3[[#This Row],[上班時間]])</f>
        <v>0.30413625307612097</v>
      </c>
      <c r="O3169" s="31" t="str">
        <f>IF(交易處理資料__3[[#This Row],[上班時間]]=0,"否","是")</f>
        <v>是</v>
      </c>
    </row>
    <row r="3170" spans="1:15" hidden="1">
      <c r="A3170" t="s">
        <v>75</v>
      </c>
      <c r="B3170" t="s">
        <v>27</v>
      </c>
      <c r="C3170">
        <v>2.5833333330000001</v>
      </c>
      <c r="D3170">
        <v>1.1200000000000001</v>
      </c>
      <c r="E3170" s="27">
        <v>230.65476190000001</v>
      </c>
      <c r="F3170">
        <v>9.42</v>
      </c>
      <c r="G3170">
        <v>0.12</v>
      </c>
      <c r="H3170">
        <v>9.5399999999999991</v>
      </c>
      <c r="I3170">
        <v>98.74</v>
      </c>
      <c r="J3170">
        <v>27.08</v>
      </c>
      <c r="K3170" s="9">
        <v>45372</v>
      </c>
      <c r="L3170">
        <f xml:space="preserve"> (交易處理資料__3[[#This Row],[售出工時]] * 60) / 5</f>
        <v>30.999999996000003</v>
      </c>
      <c r="M3170" t="str">
        <f>VLOOKUP(交易處理資料__3[[#This Row],[人員代號]],團隊分組!$B$1:$C$52,2,FALSE)</f>
        <v>快速保養團隊B</v>
      </c>
      <c r="N3170">
        <f>IF(交易處理資料__3[[#This Row],[上班時間]]=0,0,交易處理資料__3[[#This Row],[售出工時]]/交易處理資料__3[[#This Row],[上班時間]])</f>
        <v>0.27078965754716983</v>
      </c>
      <c r="O3170" s="31" t="str">
        <f>IF(交易處理資料__3[[#This Row],[上班時間]]=0,"否","是")</f>
        <v>是</v>
      </c>
    </row>
    <row r="3171" spans="1:15" hidden="1">
      <c r="A3171" t="s">
        <v>75</v>
      </c>
      <c r="B3171" t="s">
        <v>28</v>
      </c>
      <c r="C3171">
        <v>6.8333333329999997</v>
      </c>
      <c r="D3171">
        <v>8.23</v>
      </c>
      <c r="E3171" s="27">
        <v>83.029566630000005</v>
      </c>
      <c r="F3171">
        <v>9.58</v>
      </c>
      <c r="G3171">
        <v>0.36</v>
      </c>
      <c r="H3171">
        <v>9.94</v>
      </c>
      <c r="I3171">
        <v>96.38</v>
      </c>
      <c r="J3171">
        <v>68.75</v>
      </c>
      <c r="K3171" s="9">
        <v>45372</v>
      </c>
      <c r="L3171">
        <f xml:space="preserve"> (交易處理資料__3[[#This Row],[售出工時]] * 60) / 5</f>
        <v>81.999999996</v>
      </c>
      <c r="M3171" t="str">
        <f>VLOOKUP(交易處理資料__3[[#This Row],[人員代號]],團隊分組!$B$1:$C$52,2,FALSE)</f>
        <v>快速保養團隊A</v>
      </c>
      <c r="N3171">
        <f>IF(交易處理資料__3[[#This Row],[上班時間]]=0,0,交易處理資料__3[[#This Row],[售出工時]]/交易處理資料__3[[#This Row],[上班時間]])</f>
        <v>0.68745808179074452</v>
      </c>
      <c r="O3171" s="31" t="str">
        <f>IF(交易處理資料__3[[#This Row],[上班時間]]=0,"否","是")</f>
        <v>是</v>
      </c>
    </row>
    <row r="3172" spans="1:15" hidden="1">
      <c r="A3172" t="s">
        <v>75</v>
      </c>
      <c r="B3172" t="s">
        <v>29</v>
      </c>
      <c r="C3172">
        <v>5.1666666670000003</v>
      </c>
      <c r="D3172">
        <v>6.27</v>
      </c>
      <c r="E3172" s="27">
        <v>82.402977140000004</v>
      </c>
      <c r="F3172">
        <v>7.08</v>
      </c>
      <c r="G3172">
        <v>0.95</v>
      </c>
      <c r="H3172">
        <v>8.0299999999999994</v>
      </c>
      <c r="I3172">
        <v>88.17</v>
      </c>
      <c r="J3172">
        <v>64.34</v>
      </c>
      <c r="K3172" s="9">
        <v>45372</v>
      </c>
      <c r="L3172">
        <f xml:space="preserve"> (交易處理資料__3[[#This Row],[售出工時]] * 60) / 5</f>
        <v>62.000000004</v>
      </c>
      <c r="M3172" t="str">
        <f>VLOOKUP(交易處理資料__3[[#This Row],[人員代號]],團隊分組!$B$1:$C$52,2,FALSE)</f>
        <v>查修團隊B</v>
      </c>
      <c r="N3172">
        <f>IF(交易處理資料__3[[#This Row],[上班時間]]=0,0,交易處理資料__3[[#This Row],[售出工時]]/交易處理資料__3[[#This Row],[上班時間]])</f>
        <v>0.64342050647571614</v>
      </c>
      <c r="O3172" s="31" t="str">
        <f>IF(交易處理資料__3[[#This Row],[上班時間]]=0,"否","是")</f>
        <v>是</v>
      </c>
    </row>
    <row r="3173" spans="1:15" hidden="1">
      <c r="A3173" t="s">
        <v>75</v>
      </c>
      <c r="B3173" t="s">
        <v>32</v>
      </c>
      <c r="C3173">
        <v>9.1666666669999994</v>
      </c>
      <c r="D3173">
        <v>3.12</v>
      </c>
      <c r="E3173" s="27">
        <v>293.80341879999997</v>
      </c>
      <c r="F3173">
        <v>7.17</v>
      </c>
      <c r="G3173">
        <v>0.87</v>
      </c>
      <c r="H3173">
        <v>8.0399999999999991</v>
      </c>
      <c r="I3173">
        <v>89.18</v>
      </c>
      <c r="J3173">
        <v>114.01</v>
      </c>
      <c r="K3173" s="9">
        <v>45372</v>
      </c>
      <c r="L3173">
        <f xml:space="preserve"> (交易處理資料__3[[#This Row],[售出工時]] * 60) / 5</f>
        <v>110.000000004</v>
      </c>
      <c r="M3173" t="str">
        <f>VLOOKUP(交易處理資料__3[[#This Row],[人員代號]],團隊分組!$B$1:$C$52,2,FALSE)</f>
        <v>快速保養團隊B</v>
      </c>
      <c r="N3173">
        <f>IF(交易處理資料__3[[#This Row],[上班時間]]=0,0,交易處理資料__3[[#This Row],[售出工時]]/交易處理資料__3[[#This Row],[上班時間]])</f>
        <v>1.1401326700248757</v>
      </c>
      <c r="O3173" s="31" t="str">
        <f>IF(交易處理資料__3[[#This Row],[上班時間]]=0,"否","是")</f>
        <v>是</v>
      </c>
    </row>
    <row r="3174" spans="1:15">
      <c r="A3174" t="s">
        <v>75</v>
      </c>
      <c r="B3174" t="s">
        <v>33</v>
      </c>
      <c r="C3174">
        <v>10.81666667</v>
      </c>
      <c r="D3174">
        <v>7.9</v>
      </c>
      <c r="E3174" s="27">
        <v>136.9198312</v>
      </c>
      <c r="F3174">
        <v>5.91</v>
      </c>
      <c r="G3174">
        <v>2.09</v>
      </c>
      <c r="H3174">
        <v>8</v>
      </c>
      <c r="I3174">
        <v>73.88</v>
      </c>
      <c r="J3174">
        <v>135.21</v>
      </c>
      <c r="K3174" s="9">
        <v>45372</v>
      </c>
      <c r="L3174">
        <f xml:space="preserve"> (交易處理資料__3[[#This Row],[售出工時]] * 60) / 5</f>
        <v>129.80000004000001</v>
      </c>
      <c r="M3174" t="str">
        <f>VLOOKUP(交易處理資料__3[[#This Row],[人員代號]],團隊分組!$B$1:$C$52,2,FALSE)</f>
        <v>快速保養團隊B</v>
      </c>
      <c r="N3174">
        <f>IF(交易處理資料__3[[#This Row],[上班時間]]=0,0,交易處理資料__3[[#This Row],[售出工時]]/交易處理資料__3[[#This Row],[上班時間]])</f>
        <v>1.35208333375</v>
      </c>
      <c r="O3174" s="31" t="str">
        <f>IF(交易處理資料__3[[#This Row],[上班時間]]=0,"否","是")</f>
        <v>是</v>
      </c>
    </row>
    <row r="3175" spans="1:15" hidden="1">
      <c r="A3175" t="s">
        <v>75</v>
      </c>
      <c r="B3175" t="s">
        <v>34</v>
      </c>
      <c r="C3175">
        <v>7.9166666670000003</v>
      </c>
      <c r="D3175">
        <v>6.55</v>
      </c>
      <c r="E3175" s="27">
        <v>120.8651399</v>
      </c>
      <c r="F3175">
        <v>9.5500000000000007</v>
      </c>
      <c r="G3175">
        <v>1.0900000000000001</v>
      </c>
      <c r="H3175">
        <v>10.64</v>
      </c>
      <c r="I3175">
        <v>89.76</v>
      </c>
      <c r="J3175">
        <v>74.400000000000006</v>
      </c>
      <c r="K3175" s="9">
        <v>45372</v>
      </c>
      <c r="L3175">
        <f xml:space="preserve"> (交易處理資料__3[[#This Row],[售出工時]] * 60) / 5</f>
        <v>95.000000004</v>
      </c>
      <c r="M3175" t="str">
        <f>VLOOKUP(交易處理資料__3[[#This Row],[人員代號]],團隊分組!$B$1:$C$52,2,FALSE)</f>
        <v>快速保養團隊A</v>
      </c>
      <c r="N3175">
        <f>IF(交易處理資料__3[[#This Row],[上班時間]]=0,0,交易處理資料__3[[#This Row],[售出工時]]/交易處理資料__3[[#This Row],[上班時間]])</f>
        <v>0.74404761907894734</v>
      </c>
      <c r="O3175" s="31" t="str">
        <f>IF(交易處理資料__3[[#This Row],[上班時間]]=0,"否","是")</f>
        <v>是</v>
      </c>
    </row>
    <row r="3176" spans="1:15" hidden="1">
      <c r="A3176" t="s">
        <v>75</v>
      </c>
      <c r="B3176" t="s">
        <v>35</v>
      </c>
      <c r="C3176">
        <v>1.6666666670000001</v>
      </c>
      <c r="D3176">
        <v>2.8</v>
      </c>
      <c r="E3176" s="27">
        <v>59.52380952</v>
      </c>
      <c r="F3176">
        <v>6.67</v>
      </c>
      <c r="G3176">
        <v>2.84</v>
      </c>
      <c r="H3176">
        <v>9.51</v>
      </c>
      <c r="I3176">
        <v>70.14</v>
      </c>
      <c r="J3176">
        <v>17.53</v>
      </c>
      <c r="K3176" s="9">
        <v>45372</v>
      </c>
      <c r="L3176">
        <f xml:space="preserve"> (交易處理資料__3[[#This Row],[售出工時]] * 60) / 5</f>
        <v>20.000000004</v>
      </c>
      <c r="M3176" t="str">
        <f>VLOOKUP(交易處理資料__3[[#This Row],[人員代號]],團隊分組!$B$1:$C$52,2,FALSE)</f>
        <v>查修團隊B</v>
      </c>
      <c r="N3176">
        <f>IF(交易處理資料__3[[#This Row],[上班時間]]=0,0,交易處理資料__3[[#This Row],[售出工時]]/交易處理資料__3[[#This Row],[上班時間]])</f>
        <v>0.17525411850683492</v>
      </c>
      <c r="O3176" s="31" t="str">
        <f>IF(交易處理資料__3[[#This Row],[上班時間]]=0,"否","是")</f>
        <v>是</v>
      </c>
    </row>
    <row r="3177" spans="1:15" hidden="1">
      <c r="A3177" t="s">
        <v>75</v>
      </c>
      <c r="B3177" t="s">
        <v>36</v>
      </c>
      <c r="C3177">
        <v>3.24</v>
      </c>
      <c r="D3177">
        <v>6.02</v>
      </c>
      <c r="E3177" s="27">
        <v>53.820598009999998</v>
      </c>
      <c r="F3177">
        <v>7.11</v>
      </c>
      <c r="G3177">
        <v>0.99</v>
      </c>
      <c r="H3177">
        <v>8.1</v>
      </c>
      <c r="I3177">
        <v>87.78</v>
      </c>
      <c r="J3177">
        <v>40</v>
      </c>
      <c r="K3177" s="9">
        <v>45372</v>
      </c>
      <c r="L3177">
        <f xml:space="preserve"> (交易處理資料__3[[#This Row],[售出工時]] * 60) / 5</f>
        <v>38.880000000000003</v>
      </c>
      <c r="M3177" t="str">
        <f>VLOOKUP(交易處理資料__3[[#This Row],[人員代號]],團隊分組!$B$1:$C$52,2,FALSE)</f>
        <v>查修團隊B</v>
      </c>
      <c r="N3177">
        <f>IF(交易處理資料__3[[#This Row],[上班時間]]=0,0,交易處理資料__3[[#This Row],[售出工時]]/交易處理資料__3[[#This Row],[上班時間]])</f>
        <v>0.4</v>
      </c>
      <c r="O3177" s="31" t="str">
        <f>IF(交易處理資料__3[[#This Row],[上班時間]]=0,"否","是")</f>
        <v>是</v>
      </c>
    </row>
    <row r="3178" spans="1:15" hidden="1">
      <c r="A3178" t="s">
        <v>75</v>
      </c>
      <c r="B3178" t="s">
        <v>37</v>
      </c>
      <c r="C3178">
        <v>1.596666667</v>
      </c>
      <c r="D3178">
        <v>2.38</v>
      </c>
      <c r="E3178" s="27">
        <v>67.086834730000007</v>
      </c>
      <c r="F3178">
        <v>7.16</v>
      </c>
      <c r="G3178">
        <v>0.78</v>
      </c>
      <c r="H3178">
        <v>7.94</v>
      </c>
      <c r="I3178">
        <v>90.18</v>
      </c>
      <c r="J3178">
        <v>20.11</v>
      </c>
      <c r="K3178" s="9">
        <v>45372</v>
      </c>
      <c r="L3178">
        <f xml:space="preserve"> (交易處理資料__3[[#This Row],[售出工時]] * 60) / 5</f>
        <v>19.160000004</v>
      </c>
      <c r="M3178" t="str">
        <f>VLOOKUP(交易處理資料__3[[#This Row],[人員代號]],團隊分組!$B$1:$C$52,2,FALSE)</f>
        <v>查修團隊A</v>
      </c>
      <c r="N3178">
        <f>IF(交易處理資料__3[[#This Row],[上班時間]]=0,0,交易處理資料__3[[#This Row],[售出工時]]/交易處理資料__3[[#This Row],[上班時間]])</f>
        <v>0.20109151977329975</v>
      </c>
      <c r="O3178" s="31" t="str">
        <f>IF(交易處理資料__3[[#This Row],[上班時間]]=0,"否","是")</f>
        <v>是</v>
      </c>
    </row>
    <row r="3179" spans="1:15" hidden="1">
      <c r="A3179" t="s">
        <v>75</v>
      </c>
      <c r="B3179" t="s">
        <v>39</v>
      </c>
      <c r="C3179">
        <v>3.4866666670000002</v>
      </c>
      <c r="D3179">
        <v>3.65</v>
      </c>
      <c r="E3179" s="27">
        <v>95.525114160000001</v>
      </c>
      <c r="F3179">
        <v>7.15</v>
      </c>
      <c r="G3179">
        <v>0.77</v>
      </c>
      <c r="H3179">
        <v>7.92</v>
      </c>
      <c r="I3179">
        <v>90.28</v>
      </c>
      <c r="J3179">
        <v>44.02</v>
      </c>
      <c r="K3179" s="9">
        <v>45372</v>
      </c>
      <c r="L3179">
        <f xml:space="preserve"> (交易處理資料__3[[#This Row],[售出工時]] * 60) / 5</f>
        <v>41.840000004000004</v>
      </c>
      <c r="M3179" t="str">
        <f>VLOOKUP(交易處理資料__3[[#This Row],[人員代號]],團隊分組!$B$1:$C$52,2,FALSE)</f>
        <v>查修團隊A</v>
      </c>
      <c r="N3179">
        <f>IF(交易處理資料__3[[#This Row],[上班時間]]=0,0,交易處理資料__3[[#This Row],[售出工時]]/交易處理資料__3[[#This Row],[上班時間]])</f>
        <v>0.44023569027777781</v>
      </c>
      <c r="O3179" s="31" t="str">
        <f>IF(交易處理資料__3[[#This Row],[上班時間]]=0,"否","是")</f>
        <v>是</v>
      </c>
    </row>
    <row r="3180" spans="1:15" hidden="1">
      <c r="A3180" t="s">
        <v>75</v>
      </c>
      <c r="B3180" t="s">
        <v>40</v>
      </c>
      <c r="C3180">
        <v>2.75</v>
      </c>
      <c r="D3180">
        <v>3.97</v>
      </c>
      <c r="E3180" s="27">
        <v>69.269521409999996</v>
      </c>
      <c r="F3180">
        <v>5.13</v>
      </c>
      <c r="G3180">
        <v>2.76</v>
      </c>
      <c r="H3180">
        <v>7.89</v>
      </c>
      <c r="I3180">
        <v>65.02</v>
      </c>
      <c r="J3180">
        <v>34.85</v>
      </c>
      <c r="K3180" s="9">
        <v>45372</v>
      </c>
      <c r="L3180">
        <f xml:space="preserve"> (交易處理資料__3[[#This Row],[售出工時]] * 60) / 5</f>
        <v>33</v>
      </c>
      <c r="M3180" t="str">
        <f>VLOOKUP(交易處理資料__3[[#This Row],[人員代號]],團隊分組!$B$1:$C$52,2,FALSE)</f>
        <v>查修團隊A</v>
      </c>
      <c r="N3180">
        <f>IF(交易處理資料__3[[#This Row],[上班時間]]=0,0,交易處理資料__3[[#This Row],[售出工時]]/交易處理資料__3[[#This Row],[上班時間]])</f>
        <v>0.3485424588086185</v>
      </c>
      <c r="O3180" s="31" t="str">
        <f>IF(交易處理資料__3[[#This Row],[上班時間]]=0,"否","是")</f>
        <v>是</v>
      </c>
    </row>
    <row r="3181" spans="1:15" hidden="1">
      <c r="A3181" t="s">
        <v>75</v>
      </c>
      <c r="B3181" t="s">
        <v>42</v>
      </c>
      <c r="C3181">
        <v>6.3333333329999997</v>
      </c>
      <c r="D3181">
        <v>4.96</v>
      </c>
      <c r="E3181" s="27">
        <v>127.68817199999999</v>
      </c>
      <c r="F3181">
        <v>7.28</v>
      </c>
      <c r="G3181">
        <v>1.87</v>
      </c>
      <c r="H3181">
        <v>9.15</v>
      </c>
      <c r="I3181">
        <v>79.56</v>
      </c>
      <c r="J3181">
        <v>69.22</v>
      </c>
      <c r="K3181" s="9">
        <v>45372</v>
      </c>
      <c r="L3181">
        <f xml:space="preserve"> (交易處理資料__3[[#This Row],[售出工時]] * 60) / 5</f>
        <v>75.999999996</v>
      </c>
      <c r="M3181" t="str">
        <f>VLOOKUP(交易處理資料__3[[#This Row],[人員代號]],團隊分組!$B$1:$C$52,2,FALSE)</f>
        <v>快速保養團隊A</v>
      </c>
      <c r="N3181">
        <f>IF(交易處理資料__3[[#This Row],[上班時間]]=0,0,交易處理資料__3[[#This Row],[售出工時]]/交易處理資料__3[[#This Row],[上班時間]])</f>
        <v>0.69216757737704915</v>
      </c>
      <c r="O3181" s="31" t="str">
        <f>IF(交易處理資料__3[[#This Row],[上班時間]]=0,"否","是")</f>
        <v>是</v>
      </c>
    </row>
    <row r="3182" spans="1:15" hidden="1">
      <c r="A3182" t="s">
        <v>75</v>
      </c>
      <c r="B3182" t="s">
        <v>43</v>
      </c>
      <c r="C3182">
        <v>1.72</v>
      </c>
      <c r="D3182">
        <v>4.7300000000000004</v>
      </c>
      <c r="E3182" s="27">
        <v>36.363636360000001</v>
      </c>
      <c r="F3182">
        <v>7.11</v>
      </c>
      <c r="G3182">
        <v>0.98</v>
      </c>
      <c r="H3182">
        <v>8.09</v>
      </c>
      <c r="I3182">
        <v>87.89</v>
      </c>
      <c r="J3182">
        <v>21.26</v>
      </c>
      <c r="K3182" s="9">
        <v>45372</v>
      </c>
      <c r="L3182">
        <f xml:space="preserve"> (交易處理資料__3[[#This Row],[售出工時]] * 60) / 5</f>
        <v>20.64</v>
      </c>
      <c r="M3182" t="str">
        <f>VLOOKUP(交易處理資料__3[[#This Row],[人員代號]],團隊分組!$B$1:$C$52,2,FALSE)</f>
        <v>查修團隊B</v>
      </c>
      <c r="N3182">
        <f>IF(交易處理資料__3[[#This Row],[上班時間]]=0,0,交易處理資料__3[[#This Row],[售出工時]]/交易處理資料__3[[#This Row],[上班時間]])</f>
        <v>0.21260815822002471</v>
      </c>
      <c r="O3182" s="31" t="str">
        <f>IF(交易處理資料__3[[#This Row],[上班時間]]=0,"否","是")</f>
        <v>是</v>
      </c>
    </row>
    <row r="3183" spans="1:15" hidden="1">
      <c r="A3183" t="s">
        <v>75</v>
      </c>
      <c r="B3183" t="s">
        <v>45</v>
      </c>
      <c r="C3183">
        <v>24</v>
      </c>
      <c r="D3183">
        <v>7.45</v>
      </c>
      <c r="E3183" s="27">
        <v>322.147651</v>
      </c>
      <c r="F3183">
        <v>6.38</v>
      </c>
      <c r="G3183">
        <v>4.24</v>
      </c>
      <c r="H3183">
        <v>10.62</v>
      </c>
      <c r="I3183">
        <v>60.08</v>
      </c>
      <c r="J3183">
        <v>225.99</v>
      </c>
      <c r="K3183" s="9">
        <v>45372</v>
      </c>
      <c r="L3183">
        <f xml:space="preserve"> (交易處理資料__3[[#This Row],[售出工時]] * 60) / 5</f>
        <v>288</v>
      </c>
      <c r="M3183" t="str">
        <f>VLOOKUP(交易處理資料__3[[#This Row],[人員代號]],團隊分組!$B$1:$C$52,2,FALSE)</f>
        <v>快速保養團隊A</v>
      </c>
      <c r="N3183">
        <f>IF(交易處理資料__3[[#This Row],[上班時間]]=0,0,交易處理資料__3[[#This Row],[售出工時]]/交易處理資料__3[[#This Row],[上班時間]])</f>
        <v>2.2598870056497176</v>
      </c>
      <c r="O3183" s="31" t="str">
        <f>IF(交易處理資料__3[[#This Row],[上班時間]]=0,"否","是")</f>
        <v>是</v>
      </c>
    </row>
    <row r="3184" spans="1:15" hidden="1">
      <c r="A3184" t="s">
        <v>75</v>
      </c>
      <c r="B3184" t="s">
        <v>46</v>
      </c>
      <c r="C3184">
        <v>3.75</v>
      </c>
      <c r="D3184">
        <v>4.22</v>
      </c>
      <c r="E3184" s="27">
        <v>88.862559239999996</v>
      </c>
      <c r="F3184">
        <v>7.72</v>
      </c>
      <c r="G3184">
        <v>0.45</v>
      </c>
      <c r="H3184">
        <v>8.17</v>
      </c>
      <c r="I3184">
        <v>94.49</v>
      </c>
      <c r="J3184">
        <v>45.9</v>
      </c>
      <c r="K3184" s="9">
        <v>45372</v>
      </c>
      <c r="L3184">
        <f xml:space="preserve"> (交易處理資料__3[[#This Row],[售出工時]] * 60) / 5</f>
        <v>45</v>
      </c>
      <c r="M3184" t="str">
        <f>VLOOKUP(交易處理資料__3[[#This Row],[人員代號]],團隊分組!$B$1:$C$52,2,FALSE)</f>
        <v>查修團隊B</v>
      </c>
      <c r="N3184">
        <f>IF(交易處理資料__3[[#This Row],[上班時間]]=0,0,交易處理資料__3[[#This Row],[售出工時]]/交易處理資料__3[[#This Row],[上班時間]])</f>
        <v>0.45899632802937579</v>
      </c>
      <c r="O3184" s="31" t="str">
        <f>IF(交易處理資料__3[[#This Row],[上班時間]]=0,"否","是")</f>
        <v>是</v>
      </c>
    </row>
    <row r="3185" spans="1:15" hidden="1">
      <c r="A3185" t="s">
        <v>75</v>
      </c>
      <c r="B3185" t="s">
        <v>47</v>
      </c>
      <c r="C3185">
        <v>4.6666666670000003</v>
      </c>
      <c r="D3185">
        <v>7.41</v>
      </c>
      <c r="E3185" s="27">
        <v>62.977957709999998</v>
      </c>
      <c r="F3185">
        <v>4.54</v>
      </c>
      <c r="G3185">
        <v>3.49</v>
      </c>
      <c r="H3185">
        <v>8.0299999999999994</v>
      </c>
      <c r="I3185">
        <v>56.54</v>
      </c>
      <c r="J3185">
        <v>58.12</v>
      </c>
      <c r="K3185" s="9">
        <v>45372</v>
      </c>
      <c r="L3185">
        <f xml:space="preserve"> (交易處理資料__3[[#This Row],[售出工時]] * 60) / 5</f>
        <v>56.000000004</v>
      </c>
      <c r="M3185" t="str">
        <f>VLOOKUP(交易處理資料__3[[#This Row],[人員代號]],團隊分組!$B$1:$C$52,2,FALSE)</f>
        <v>查修團隊B</v>
      </c>
      <c r="N3185">
        <f>IF(交易處理資料__3[[#This Row],[上班時間]]=0,0,交易處理資料__3[[#This Row],[售出工時]]/交易處理資料__3[[#This Row],[上班時間]])</f>
        <v>0.5811540058530511</v>
      </c>
      <c r="O3185" s="31" t="str">
        <f>IF(交易處理資料__3[[#This Row],[上班時間]]=0,"否","是")</f>
        <v>是</v>
      </c>
    </row>
    <row r="3186" spans="1:15" hidden="1">
      <c r="A3186" t="s">
        <v>75</v>
      </c>
      <c r="B3186" t="s">
        <v>51</v>
      </c>
      <c r="C3186">
        <v>0</v>
      </c>
      <c r="D3186">
        <v>0</v>
      </c>
      <c r="E3186" s="27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 s="9">
        <v>45372</v>
      </c>
      <c r="L3186">
        <f xml:space="preserve"> (交易處理資料__3[[#This Row],[售出工時]] * 60) / 5</f>
        <v>0</v>
      </c>
      <c r="M3186" t="str">
        <f>VLOOKUP(交易處理資料__3[[#This Row],[人員代號]],團隊分組!$B$1:$C$52,2,FALSE)</f>
        <v>無效數據</v>
      </c>
      <c r="N3186">
        <f>IF(交易處理資料__3[[#This Row],[上班時間]]=0,0,交易處理資料__3[[#This Row],[售出工時]]/交易處理資料__3[[#This Row],[上班時間]])</f>
        <v>0</v>
      </c>
      <c r="O3186" s="31" t="str">
        <f>IF(交易處理資料__3[[#This Row],[上班時間]]=0,"否","是")</f>
        <v>否</v>
      </c>
    </row>
    <row r="3187" spans="1:15" hidden="1">
      <c r="A3187" t="s">
        <v>75</v>
      </c>
      <c r="B3187" t="s">
        <v>52</v>
      </c>
      <c r="C3187">
        <v>0</v>
      </c>
      <c r="D3187">
        <v>0</v>
      </c>
      <c r="E3187" s="2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 s="9">
        <v>45372</v>
      </c>
      <c r="L3187">
        <f xml:space="preserve"> (交易處理資料__3[[#This Row],[售出工時]] * 60) / 5</f>
        <v>0</v>
      </c>
      <c r="M3187" t="str">
        <f>VLOOKUP(交易處理資料__3[[#This Row],[人員代號]],團隊分組!$B$1:$C$52,2,FALSE)</f>
        <v>查修團隊B</v>
      </c>
      <c r="N3187">
        <f>IF(交易處理資料__3[[#This Row],[上班時間]]=0,0,交易處理資料__3[[#This Row],[售出工時]]/交易處理資料__3[[#This Row],[上班時間]])</f>
        <v>0</v>
      </c>
      <c r="O3187" s="31" t="str">
        <f>IF(交易處理資料__3[[#This Row],[上班時間]]=0,"否","是")</f>
        <v>否</v>
      </c>
    </row>
    <row r="3188" spans="1:15" hidden="1">
      <c r="A3188" s="10" t="s">
        <v>73</v>
      </c>
      <c r="B3188" t="s">
        <v>1</v>
      </c>
      <c r="C3188">
        <v>3.16</v>
      </c>
      <c r="D3188">
        <v>6.86</v>
      </c>
      <c r="E3188" s="27">
        <v>46.064139939999997</v>
      </c>
      <c r="F3188">
        <v>3.75</v>
      </c>
      <c r="G3188">
        <v>4.3</v>
      </c>
      <c r="H3188">
        <v>8.0500000000000007</v>
      </c>
      <c r="I3188">
        <v>46.58</v>
      </c>
      <c r="J3188">
        <v>39.25</v>
      </c>
      <c r="K3188" s="9">
        <v>45373</v>
      </c>
      <c r="L3188">
        <f xml:space="preserve"> (交易處理資料__3[[#This Row],[售出工時]] * 60) / 5</f>
        <v>37.92</v>
      </c>
      <c r="M3188" t="str">
        <f>VLOOKUP(交易處理資料__3[[#This Row],[人員代號]],團隊分組!$B$1:$C$52,2,FALSE)</f>
        <v>噴漆維修組</v>
      </c>
      <c r="N3188">
        <f>IF(交易處理資料__3[[#This Row],[上班時間]]=0,0,交易處理資料__3[[#This Row],[售出工時]]/交易處理資料__3[[#This Row],[上班時間]])</f>
        <v>0.39254658385093166</v>
      </c>
      <c r="O3188" s="31" t="str">
        <f>IF(交易處理資料__3[[#This Row],[上班時間]]=0,"否","是")</f>
        <v>是</v>
      </c>
    </row>
    <row r="3189" spans="1:15" hidden="1">
      <c r="A3189" s="10" t="s">
        <v>73</v>
      </c>
      <c r="B3189" t="s">
        <v>5</v>
      </c>
      <c r="C3189">
        <v>0</v>
      </c>
      <c r="D3189">
        <v>0</v>
      </c>
      <c r="E3189" s="27">
        <v>0</v>
      </c>
      <c r="F3189">
        <v>6.72</v>
      </c>
      <c r="G3189">
        <v>1.29</v>
      </c>
      <c r="H3189">
        <v>8.01</v>
      </c>
      <c r="I3189">
        <v>83.9</v>
      </c>
      <c r="J3189">
        <v>0</v>
      </c>
      <c r="K3189" s="9">
        <v>45373</v>
      </c>
      <c r="L3189">
        <f xml:space="preserve"> (交易處理資料__3[[#This Row],[售出工時]] * 60) / 5</f>
        <v>0</v>
      </c>
      <c r="M3189" t="str">
        <f>VLOOKUP(交易處理資料__3[[#This Row],[人員代號]],團隊分組!$B$1:$C$52,2,FALSE)</f>
        <v>噴漆維修組</v>
      </c>
      <c r="N3189">
        <f>IF(交易處理資料__3[[#This Row],[上班時間]]=0,0,交易處理資料__3[[#This Row],[售出工時]]/交易處理資料__3[[#This Row],[上班時間]])</f>
        <v>0</v>
      </c>
      <c r="O3189" s="31" t="str">
        <f>IF(交易處理資料__3[[#This Row],[上班時間]]=0,"否","是")</f>
        <v>是</v>
      </c>
    </row>
    <row r="3190" spans="1:15" hidden="1">
      <c r="A3190" s="10" t="s">
        <v>73</v>
      </c>
      <c r="B3190" t="s">
        <v>7</v>
      </c>
      <c r="C3190">
        <v>1.56</v>
      </c>
      <c r="D3190">
        <v>3.92</v>
      </c>
      <c r="E3190" s="27">
        <v>39.795918370000003</v>
      </c>
      <c r="F3190">
        <v>6.69</v>
      </c>
      <c r="G3190">
        <v>1.32</v>
      </c>
      <c r="H3190">
        <v>8.01</v>
      </c>
      <c r="I3190">
        <v>83.52</v>
      </c>
      <c r="J3190">
        <v>19.48</v>
      </c>
      <c r="K3190" s="9">
        <v>45373</v>
      </c>
      <c r="L3190">
        <f xml:space="preserve"> (交易處理資料__3[[#This Row],[售出工時]] * 60) / 5</f>
        <v>18.720000000000002</v>
      </c>
      <c r="M3190" t="str">
        <f>VLOOKUP(交易處理資料__3[[#This Row],[人員代號]],團隊分組!$B$1:$C$52,2,FALSE)</f>
        <v>噴漆維修組</v>
      </c>
      <c r="N3190">
        <f>IF(交易處理資料__3[[#This Row],[上班時間]]=0,0,交易處理資料__3[[#This Row],[售出工時]]/交易處理資料__3[[#This Row],[上班時間]])</f>
        <v>0.19475655430711611</v>
      </c>
      <c r="O3190" s="31" t="str">
        <f>IF(交易處理資料__3[[#This Row],[上班時間]]=0,"否","是")</f>
        <v>是</v>
      </c>
    </row>
    <row r="3191" spans="1:15" hidden="1">
      <c r="A3191" t="s">
        <v>74</v>
      </c>
      <c r="B3191" t="s">
        <v>11</v>
      </c>
      <c r="C3191">
        <v>13.33333333</v>
      </c>
      <c r="D3191">
        <v>3.49</v>
      </c>
      <c r="E3191" s="27">
        <v>382.0439351</v>
      </c>
      <c r="F3191">
        <v>3.75</v>
      </c>
      <c r="G3191">
        <v>4.29</v>
      </c>
      <c r="H3191">
        <v>8.0399999999999991</v>
      </c>
      <c r="I3191">
        <v>46.64</v>
      </c>
      <c r="J3191">
        <v>165.84</v>
      </c>
      <c r="K3191" s="9">
        <v>45373</v>
      </c>
      <c r="L3191">
        <f xml:space="preserve"> (交易處理資料__3[[#This Row],[售出工時]] * 60) / 5</f>
        <v>159.99999996000003</v>
      </c>
      <c r="M3191" t="str">
        <f>VLOOKUP(交易處理資料__3[[#This Row],[人員代號]],團隊分組!$B$1:$C$52,2,FALSE)</f>
        <v>鈑金維修組</v>
      </c>
      <c r="N3191">
        <f>IF(交易處理資料__3[[#This Row],[上班時間]]=0,0,交易處理資料__3[[#This Row],[售出工時]]/交易處理資料__3[[#This Row],[上班時間]])</f>
        <v>1.6583747922885574</v>
      </c>
      <c r="O3191" s="31" t="str">
        <f>IF(交易處理資料__3[[#This Row],[上班時間]]=0,"否","是")</f>
        <v>是</v>
      </c>
    </row>
    <row r="3192" spans="1:15" hidden="1">
      <c r="A3192" t="s">
        <v>74</v>
      </c>
      <c r="B3192" t="s">
        <v>14</v>
      </c>
      <c r="C3192">
        <v>3.253333333</v>
      </c>
      <c r="D3192">
        <v>3.36</v>
      </c>
      <c r="E3192" s="27">
        <v>96.825396830000003</v>
      </c>
      <c r="F3192">
        <v>7.35</v>
      </c>
      <c r="G3192">
        <v>0.68</v>
      </c>
      <c r="H3192">
        <v>8.0299999999999994</v>
      </c>
      <c r="I3192">
        <v>91.53</v>
      </c>
      <c r="J3192">
        <v>40.51</v>
      </c>
      <c r="K3192" s="9">
        <v>45373</v>
      </c>
      <c r="L3192">
        <f xml:space="preserve"> (交易處理資料__3[[#This Row],[售出工時]] * 60) / 5</f>
        <v>39.039999995999999</v>
      </c>
      <c r="M3192" t="str">
        <f>VLOOKUP(交易處理資料__3[[#This Row],[人員代號]],團隊分組!$B$1:$C$52,2,FALSE)</f>
        <v>鈑金維修組</v>
      </c>
      <c r="N3192">
        <f>IF(交易處理資料__3[[#This Row],[上班時間]]=0,0,交易處理資料__3[[#This Row],[售出工時]]/交易處理資料__3[[#This Row],[上班時間]])</f>
        <v>0.40514736400996265</v>
      </c>
      <c r="O3192" s="31" t="str">
        <f>IF(交易處理資料__3[[#This Row],[上班時間]]=0,"否","是")</f>
        <v>是</v>
      </c>
    </row>
    <row r="3193" spans="1:15" hidden="1">
      <c r="A3193" t="s">
        <v>75</v>
      </c>
      <c r="B3193" t="s">
        <v>20</v>
      </c>
      <c r="C3193">
        <v>0.93</v>
      </c>
      <c r="D3193">
        <v>2.2200000000000002</v>
      </c>
      <c r="E3193" s="27">
        <v>41.891891889999997</v>
      </c>
      <c r="F3193">
        <v>8.1300000000000008</v>
      </c>
      <c r="G3193">
        <v>1.96</v>
      </c>
      <c r="H3193">
        <v>10.09</v>
      </c>
      <c r="I3193">
        <v>80.569999999999993</v>
      </c>
      <c r="J3193">
        <v>9.2200000000000006</v>
      </c>
      <c r="K3193" s="9">
        <v>45373</v>
      </c>
      <c r="L3193">
        <f xml:space="preserve"> (交易處理資料__3[[#This Row],[售出工時]] * 60) / 5</f>
        <v>11.16</v>
      </c>
      <c r="M3193" t="str">
        <f>VLOOKUP(交易處理資料__3[[#This Row],[人員代號]],團隊分組!$B$1:$C$52,2,FALSE)</f>
        <v>查修團隊B</v>
      </c>
      <c r="N3193">
        <f>IF(交易處理資料__3[[#This Row],[上班時間]]=0,0,交易處理資料__3[[#This Row],[售出工時]]/交易處理資料__3[[#This Row],[上班時間]])</f>
        <v>9.2170465807730431E-2</v>
      </c>
      <c r="O3193" s="31" t="str">
        <f>IF(交易處理資料__3[[#This Row],[上班時間]]=0,"否","是")</f>
        <v>是</v>
      </c>
    </row>
    <row r="3194" spans="1:15" hidden="1">
      <c r="A3194" t="s">
        <v>75</v>
      </c>
      <c r="B3194" t="s">
        <v>22</v>
      </c>
      <c r="C3194">
        <v>12.91666667</v>
      </c>
      <c r="D3194">
        <v>6.6</v>
      </c>
      <c r="E3194" s="27">
        <v>195.7070707</v>
      </c>
      <c r="F3194">
        <v>7.28</v>
      </c>
      <c r="G3194">
        <v>0.72</v>
      </c>
      <c r="H3194">
        <v>8</v>
      </c>
      <c r="I3194">
        <v>91</v>
      </c>
      <c r="J3194">
        <v>161.46</v>
      </c>
      <c r="K3194" s="9">
        <v>45373</v>
      </c>
      <c r="L3194">
        <f xml:space="preserve"> (交易處理資料__3[[#This Row],[售出工時]] * 60) / 5</f>
        <v>155.00000003999997</v>
      </c>
      <c r="M3194" t="str">
        <f>VLOOKUP(交易處理資料__3[[#This Row],[人員代號]],團隊分組!$B$1:$C$52,2,FALSE)</f>
        <v>快速保養團隊A</v>
      </c>
      <c r="N3194">
        <f>IF(交易處理資料__3[[#This Row],[上班時間]]=0,0,交易處理資料__3[[#This Row],[售出工時]]/交易處理資料__3[[#This Row],[上班時間]])</f>
        <v>1.61458333375</v>
      </c>
      <c r="O3194" s="31" t="str">
        <f>IF(交易處理資料__3[[#This Row],[上班時間]]=0,"否","是")</f>
        <v>是</v>
      </c>
    </row>
    <row r="3195" spans="1:15" hidden="1">
      <c r="A3195" t="s">
        <v>75</v>
      </c>
      <c r="B3195" t="s">
        <v>42</v>
      </c>
      <c r="C3195">
        <v>10.66666667</v>
      </c>
      <c r="D3195">
        <v>6.82</v>
      </c>
      <c r="E3195" s="27">
        <v>156.402737</v>
      </c>
      <c r="F3195">
        <v>7.32</v>
      </c>
      <c r="G3195">
        <v>0.67</v>
      </c>
      <c r="H3195">
        <v>7.99</v>
      </c>
      <c r="I3195">
        <v>91.61</v>
      </c>
      <c r="J3195">
        <v>133.5</v>
      </c>
      <c r="K3195" s="9">
        <v>45373</v>
      </c>
      <c r="L3195">
        <f xml:space="preserve"> (交易處理資料__3[[#This Row],[售出工時]] * 60) / 5</f>
        <v>128.00000003999997</v>
      </c>
      <c r="M3195" t="str">
        <f>VLOOKUP(交易處理資料__3[[#This Row],[人員代號]],團隊分組!$B$1:$C$52,2,FALSE)</f>
        <v>快速保養團隊A</v>
      </c>
      <c r="N3195">
        <f>IF(交易處理資料__3[[#This Row],[上班時間]]=0,0,交易處理資料__3[[#This Row],[售出工時]]/交易處理資料__3[[#This Row],[上班時間]])</f>
        <v>1.3350020863579473</v>
      </c>
      <c r="O3195" s="31" t="str">
        <f>IF(交易處理資料__3[[#This Row],[上班時間]]=0,"否","是")</f>
        <v>是</v>
      </c>
    </row>
    <row r="3196" spans="1:15" hidden="1">
      <c r="A3196" t="s">
        <v>75</v>
      </c>
      <c r="B3196" t="s">
        <v>44</v>
      </c>
      <c r="C3196">
        <v>4.8333333329999997</v>
      </c>
      <c r="D3196">
        <v>2.4500000000000002</v>
      </c>
      <c r="E3196" s="27">
        <v>197.27891159999999</v>
      </c>
      <c r="F3196">
        <v>5.57</v>
      </c>
      <c r="G3196">
        <v>2.58</v>
      </c>
      <c r="H3196">
        <v>8.15</v>
      </c>
      <c r="I3196">
        <v>68.34</v>
      </c>
      <c r="J3196">
        <v>59.3</v>
      </c>
      <c r="K3196" s="9">
        <v>45373</v>
      </c>
      <c r="L3196">
        <f xml:space="preserve"> (交易處理資料__3[[#This Row],[售出工時]] * 60) / 5</f>
        <v>57.999999996</v>
      </c>
      <c r="M3196" t="str">
        <f>VLOOKUP(交易處理資料__3[[#This Row],[人員代號]],團隊分組!$B$1:$C$52,2,FALSE)</f>
        <v>快速保養團隊B</v>
      </c>
      <c r="N3196">
        <f>IF(交易處理資料__3[[#This Row],[上班時間]]=0,0,交易處理資料__3[[#This Row],[售出工時]]/交易處理資料__3[[#This Row],[上班時間]])</f>
        <v>0.59304703472392628</v>
      </c>
      <c r="O3196" s="31" t="str">
        <f>IF(交易處理資料__3[[#This Row],[上班時間]]=0,"否","是")</f>
        <v>是</v>
      </c>
    </row>
    <row r="3197" spans="1:15" hidden="1">
      <c r="A3197" t="s">
        <v>75</v>
      </c>
      <c r="B3197" t="s">
        <v>45</v>
      </c>
      <c r="C3197">
        <v>14.5</v>
      </c>
      <c r="D3197">
        <v>7.34</v>
      </c>
      <c r="E3197" s="27">
        <v>197.54768390000001</v>
      </c>
      <c r="F3197">
        <v>7.39</v>
      </c>
      <c r="G3197">
        <v>0.52</v>
      </c>
      <c r="H3197">
        <v>7.91</v>
      </c>
      <c r="I3197">
        <v>93.43</v>
      </c>
      <c r="J3197">
        <v>183.31</v>
      </c>
      <c r="K3197" s="9">
        <v>45373</v>
      </c>
      <c r="L3197">
        <f xml:space="preserve"> (交易處理資料__3[[#This Row],[售出工時]] * 60) / 5</f>
        <v>174</v>
      </c>
      <c r="M3197" t="str">
        <f>VLOOKUP(交易處理資料__3[[#This Row],[人員代號]],團隊分組!$B$1:$C$52,2,FALSE)</f>
        <v>快速保養團隊A</v>
      </c>
      <c r="N3197">
        <f>IF(交易處理資料__3[[#This Row],[上班時間]]=0,0,交易處理資料__3[[#This Row],[售出工時]]/交易處理資料__3[[#This Row],[上班時間]])</f>
        <v>1.8331226295828065</v>
      </c>
      <c r="O3197" s="31" t="str">
        <f>IF(交易處理資料__3[[#This Row],[上班時間]]=0,"否","是")</f>
        <v>是</v>
      </c>
    </row>
    <row r="3198" spans="1:15" hidden="1">
      <c r="A3198" t="s">
        <v>75</v>
      </c>
      <c r="B3198" t="s">
        <v>51</v>
      </c>
      <c r="C3198">
        <v>0</v>
      </c>
      <c r="D3198">
        <v>0</v>
      </c>
      <c r="E3198" s="27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 s="9">
        <v>45373</v>
      </c>
      <c r="L3198">
        <f xml:space="preserve"> (交易處理資料__3[[#This Row],[售出工時]] * 60) / 5</f>
        <v>0</v>
      </c>
      <c r="M3198" t="str">
        <f>VLOOKUP(交易處理資料__3[[#This Row],[人員代號]],團隊分組!$B$1:$C$52,2,FALSE)</f>
        <v>無效數據</v>
      </c>
      <c r="N3198">
        <f>IF(交易處理資料__3[[#This Row],[上班時間]]=0,0,交易處理資料__3[[#This Row],[售出工時]]/交易處理資料__3[[#This Row],[上班時間]])</f>
        <v>0</v>
      </c>
      <c r="O3198" s="31" t="str">
        <f>IF(交易處理資料__3[[#This Row],[上班時間]]=0,"否","是")</f>
        <v>否</v>
      </c>
    </row>
    <row r="3199" spans="1:15" hidden="1">
      <c r="A3199" t="s">
        <v>75</v>
      </c>
      <c r="B3199" t="s">
        <v>52</v>
      </c>
      <c r="C3199">
        <v>2.4166666669999999</v>
      </c>
      <c r="D3199">
        <v>4.4400000000000004</v>
      </c>
      <c r="E3199" s="27">
        <v>54.429429429999999</v>
      </c>
      <c r="F3199">
        <v>6.53</v>
      </c>
      <c r="G3199">
        <v>1.56</v>
      </c>
      <c r="H3199">
        <v>8.09</v>
      </c>
      <c r="I3199">
        <v>80.72</v>
      </c>
      <c r="J3199">
        <v>29.87</v>
      </c>
      <c r="K3199" s="9">
        <v>45373</v>
      </c>
      <c r="L3199">
        <f xml:space="preserve"> (交易處理資料__3[[#This Row],[售出工時]] * 60) / 5</f>
        <v>29.000000003999997</v>
      </c>
      <c r="M3199" t="str">
        <f>VLOOKUP(交易處理資料__3[[#This Row],[人員代號]],團隊分組!$B$1:$C$52,2,FALSE)</f>
        <v>查修團隊B</v>
      </c>
      <c r="N3199">
        <f>IF(交易處理資料__3[[#This Row],[上班時間]]=0,0,交易處理資料__3[[#This Row],[售出工時]]/交易處理資料__3[[#This Row],[上班時間]])</f>
        <v>0.29872270296662545</v>
      </c>
      <c r="O3199" s="31" t="str">
        <f>IF(交易處理資料__3[[#This Row],[上班時間]]=0,"否","是")</f>
        <v>是</v>
      </c>
    </row>
    <row r="3200" spans="1:15" hidden="1">
      <c r="A3200" s="10" t="s">
        <v>73</v>
      </c>
      <c r="B3200" t="s">
        <v>2</v>
      </c>
      <c r="C3200">
        <v>0</v>
      </c>
      <c r="D3200">
        <v>0</v>
      </c>
      <c r="E3200" s="27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 s="9">
        <v>45374</v>
      </c>
      <c r="L3200">
        <f xml:space="preserve"> (交易處理資料__3[[#This Row],[售出工時]] * 60) / 5</f>
        <v>0</v>
      </c>
      <c r="M3200" t="str">
        <f>VLOOKUP(交易處理資料__3[[#This Row],[人員代號]],團隊分組!$B$1:$C$52,2,FALSE)</f>
        <v>噴漆維修組</v>
      </c>
      <c r="N3200">
        <f>IF(交易處理資料__3[[#This Row],[上班時間]]=0,0,交易處理資料__3[[#This Row],[售出工時]]/交易處理資料__3[[#This Row],[上班時間]])</f>
        <v>0</v>
      </c>
      <c r="O3200" s="31" t="str">
        <f>IF(交易處理資料__3[[#This Row],[上班時間]]=0,"否","是")</f>
        <v>否</v>
      </c>
    </row>
    <row r="3201" spans="1:15" hidden="1">
      <c r="A3201" s="10" t="s">
        <v>73</v>
      </c>
      <c r="B3201" t="s">
        <v>3</v>
      </c>
      <c r="C3201">
        <v>0</v>
      </c>
      <c r="D3201">
        <v>0</v>
      </c>
      <c r="E3201" s="27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 s="9">
        <v>45374</v>
      </c>
      <c r="L3201">
        <f xml:space="preserve"> (交易處理資料__3[[#This Row],[售出工時]] * 60) / 5</f>
        <v>0</v>
      </c>
      <c r="M3201" t="str">
        <f>VLOOKUP(交易處理資料__3[[#This Row],[人員代號]],團隊分組!$B$1:$C$52,2,FALSE)</f>
        <v>噴漆維修組</v>
      </c>
      <c r="N3201">
        <f>IF(交易處理資料__3[[#This Row],[上班時間]]=0,0,交易處理資料__3[[#This Row],[售出工時]]/交易處理資料__3[[#This Row],[上班時間]])</f>
        <v>0</v>
      </c>
      <c r="O3201" s="31" t="str">
        <f>IF(交易處理資料__3[[#This Row],[上班時間]]=0,"否","是")</f>
        <v>否</v>
      </c>
    </row>
    <row r="3202" spans="1:15" hidden="1">
      <c r="A3202" s="10" t="s">
        <v>73</v>
      </c>
      <c r="B3202" t="s">
        <v>4</v>
      </c>
      <c r="C3202">
        <v>0</v>
      </c>
      <c r="D3202">
        <v>0</v>
      </c>
      <c r="E3202" s="27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 s="9">
        <v>45374</v>
      </c>
      <c r="L3202">
        <f xml:space="preserve"> (交易處理資料__3[[#This Row],[售出工時]] * 60) / 5</f>
        <v>0</v>
      </c>
      <c r="M3202" t="str">
        <f>VLOOKUP(交易處理資料__3[[#This Row],[人員代號]],團隊分組!$B$1:$C$52,2,FALSE)</f>
        <v>噴漆維修組</v>
      </c>
      <c r="N3202">
        <f>IF(交易處理資料__3[[#This Row],[上班時間]]=0,0,交易處理資料__3[[#This Row],[售出工時]]/交易處理資料__3[[#This Row],[上班時間]])</f>
        <v>0</v>
      </c>
      <c r="O3202" s="31" t="str">
        <f>IF(交易處理資料__3[[#This Row],[上班時間]]=0,"否","是")</f>
        <v>否</v>
      </c>
    </row>
    <row r="3203" spans="1:15" hidden="1">
      <c r="A3203" s="10" t="s">
        <v>73</v>
      </c>
      <c r="B3203" t="s">
        <v>5</v>
      </c>
      <c r="C3203">
        <v>2.12</v>
      </c>
      <c r="D3203">
        <v>4.7</v>
      </c>
      <c r="E3203" s="27">
        <v>45.106382979999999</v>
      </c>
      <c r="F3203">
        <v>5.58</v>
      </c>
      <c r="G3203">
        <v>2.36</v>
      </c>
      <c r="H3203">
        <v>7.94</v>
      </c>
      <c r="I3203">
        <v>70.28</v>
      </c>
      <c r="J3203">
        <v>26.7</v>
      </c>
      <c r="K3203" s="9">
        <v>45374</v>
      </c>
      <c r="L3203">
        <f xml:space="preserve"> (交易處理資料__3[[#This Row],[售出工時]] * 60) / 5</f>
        <v>25.44</v>
      </c>
      <c r="M3203" t="str">
        <f>VLOOKUP(交易處理資料__3[[#This Row],[人員代號]],團隊分組!$B$1:$C$52,2,FALSE)</f>
        <v>噴漆維修組</v>
      </c>
      <c r="N3203">
        <f>IF(交易處理資料__3[[#This Row],[上班時間]]=0,0,交易處理資料__3[[#This Row],[售出工時]]/交易處理資料__3[[#This Row],[上班時間]])</f>
        <v>0.26700251889168763</v>
      </c>
      <c r="O3203" s="31" t="str">
        <f>IF(交易處理資料__3[[#This Row],[上班時間]]=0,"否","是")</f>
        <v>是</v>
      </c>
    </row>
    <row r="3204" spans="1:15" hidden="1">
      <c r="A3204" s="10" t="s">
        <v>73</v>
      </c>
      <c r="B3204" t="s">
        <v>6</v>
      </c>
      <c r="C3204">
        <v>0</v>
      </c>
      <c r="D3204">
        <v>0</v>
      </c>
      <c r="E3204" s="27">
        <v>0</v>
      </c>
      <c r="F3204">
        <v>5.56</v>
      </c>
      <c r="G3204">
        <v>2.38</v>
      </c>
      <c r="H3204">
        <v>7.94</v>
      </c>
      <c r="I3204">
        <v>70.03</v>
      </c>
      <c r="J3204">
        <v>0</v>
      </c>
      <c r="K3204" s="9">
        <v>45374</v>
      </c>
      <c r="L3204">
        <f xml:space="preserve"> (交易處理資料__3[[#This Row],[售出工時]] * 60) / 5</f>
        <v>0</v>
      </c>
      <c r="M3204" t="str">
        <f>VLOOKUP(交易處理資料__3[[#This Row],[人員代號]],團隊分組!$B$1:$C$52,2,FALSE)</f>
        <v>噴漆維修組</v>
      </c>
      <c r="N3204">
        <f>IF(交易處理資料__3[[#This Row],[上班時間]]=0,0,交易處理資料__3[[#This Row],[售出工時]]/交易處理資料__3[[#This Row],[上班時間]])</f>
        <v>0</v>
      </c>
      <c r="O3204" s="31" t="str">
        <f>IF(交易處理資料__3[[#This Row],[上班時間]]=0,"否","是")</f>
        <v>是</v>
      </c>
    </row>
    <row r="3205" spans="1:15" hidden="1">
      <c r="A3205" s="10" t="s">
        <v>73</v>
      </c>
      <c r="B3205" t="s">
        <v>7</v>
      </c>
      <c r="C3205">
        <v>2.2966666670000002</v>
      </c>
      <c r="D3205">
        <v>4.92</v>
      </c>
      <c r="E3205" s="27">
        <v>46.680216799999997</v>
      </c>
      <c r="F3205">
        <v>5.58</v>
      </c>
      <c r="G3205">
        <v>2.36</v>
      </c>
      <c r="H3205">
        <v>7.94</v>
      </c>
      <c r="I3205">
        <v>70.28</v>
      </c>
      <c r="J3205">
        <v>28.93</v>
      </c>
      <c r="K3205" s="9">
        <v>45374</v>
      </c>
      <c r="L3205">
        <f xml:space="preserve"> (交易處理資料__3[[#This Row],[售出工時]] * 60) / 5</f>
        <v>27.560000004000006</v>
      </c>
      <c r="M3205" t="str">
        <f>VLOOKUP(交易處理資料__3[[#This Row],[人員代號]],團隊分組!$B$1:$C$52,2,FALSE)</f>
        <v>噴漆維修組</v>
      </c>
      <c r="N3205">
        <f>IF(交易處理資料__3[[#This Row],[上班時間]]=0,0,交易處理資料__3[[#This Row],[售出工時]]/交易處理資料__3[[#This Row],[上班時間]])</f>
        <v>0.28925272884130981</v>
      </c>
      <c r="O3205" s="31" t="str">
        <f>IF(交易處理資料__3[[#This Row],[上班時間]]=0,"否","是")</f>
        <v>是</v>
      </c>
    </row>
    <row r="3206" spans="1:15" hidden="1">
      <c r="A3206" s="10" t="s">
        <v>73</v>
      </c>
      <c r="B3206" t="s">
        <v>8</v>
      </c>
      <c r="C3206">
        <v>0</v>
      </c>
      <c r="D3206">
        <v>0</v>
      </c>
      <c r="E3206" s="27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 s="9">
        <v>45374</v>
      </c>
      <c r="L3206">
        <f xml:space="preserve"> (交易處理資料__3[[#This Row],[售出工時]] * 60) / 5</f>
        <v>0</v>
      </c>
      <c r="M3206" t="str">
        <f>VLOOKUP(交易處理資料__3[[#This Row],[人員代號]],團隊分組!$B$1:$C$52,2,FALSE)</f>
        <v>噴漆維修組</v>
      </c>
      <c r="N3206">
        <f>IF(交易處理資料__3[[#This Row],[上班時間]]=0,0,交易處理資料__3[[#This Row],[售出工時]]/交易處理資料__3[[#This Row],[上班時間]])</f>
        <v>0</v>
      </c>
      <c r="O3206" s="31" t="str">
        <f>IF(交易處理資料__3[[#This Row],[上班時間]]=0,"否","是")</f>
        <v>否</v>
      </c>
    </row>
    <row r="3207" spans="1:15" hidden="1">
      <c r="A3207" t="s">
        <v>74</v>
      </c>
      <c r="B3207" t="s">
        <v>13</v>
      </c>
      <c r="C3207">
        <v>0</v>
      </c>
      <c r="D3207">
        <v>0</v>
      </c>
      <c r="E3207" s="2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 s="9">
        <v>45374</v>
      </c>
      <c r="L3207">
        <f xml:space="preserve"> (交易處理資料__3[[#This Row],[售出工時]] * 60) / 5</f>
        <v>0</v>
      </c>
      <c r="M3207" t="str">
        <f>VLOOKUP(交易處理資料__3[[#This Row],[人員代號]],團隊分組!$B$1:$C$52,2,FALSE)</f>
        <v>鈑金維修組</v>
      </c>
      <c r="N3207">
        <f>IF(交易處理資料__3[[#This Row],[上班時間]]=0,0,交易處理資料__3[[#This Row],[售出工時]]/交易處理資料__3[[#This Row],[上班時間]])</f>
        <v>0</v>
      </c>
      <c r="O3207" s="31" t="str">
        <f>IF(交易處理資料__3[[#This Row],[上班時間]]=0,"否","是")</f>
        <v>否</v>
      </c>
    </row>
    <row r="3208" spans="1:15" hidden="1">
      <c r="A3208" t="s">
        <v>74</v>
      </c>
      <c r="B3208" t="s">
        <v>14</v>
      </c>
      <c r="C3208">
        <v>0</v>
      </c>
      <c r="D3208">
        <v>0</v>
      </c>
      <c r="E3208" s="27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 s="9">
        <v>45374</v>
      </c>
      <c r="L3208">
        <f xml:space="preserve"> (交易處理資料__3[[#This Row],[售出工時]] * 60) / 5</f>
        <v>0</v>
      </c>
      <c r="M3208" t="str">
        <f>VLOOKUP(交易處理資料__3[[#This Row],[人員代號]],團隊分組!$B$1:$C$52,2,FALSE)</f>
        <v>鈑金維修組</v>
      </c>
      <c r="N3208">
        <f>IF(交易處理資料__3[[#This Row],[上班時間]]=0,0,交易處理資料__3[[#This Row],[售出工時]]/交易處理資料__3[[#This Row],[上班時間]])</f>
        <v>0</v>
      </c>
      <c r="O3208" s="31" t="str">
        <f>IF(交易處理資料__3[[#This Row],[上班時間]]=0,"否","是")</f>
        <v>否</v>
      </c>
    </row>
    <row r="3209" spans="1:15" hidden="1">
      <c r="A3209" t="s">
        <v>74</v>
      </c>
      <c r="B3209" t="s">
        <v>15</v>
      </c>
      <c r="C3209">
        <v>0</v>
      </c>
      <c r="D3209">
        <v>0</v>
      </c>
      <c r="E3209" s="27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 s="9">
        <v>45374</v>
      </c>
      <c r="L3209">
        <f xml:space="preserve"> (交易處理資料__3[[#This Row],[售出工時]] * 60) / 5</f>
        <v>0</v>
      </c>
      <c r="M3209" t="str">
        <f>VLOOKUP(交易處理資料__3[[#This Row],[人員代號]],團隊分組!$B$1:$C$52,2,FALSE)</f>
        <v>鈑金維修組</v>
      </c>
      <c r="N3209">
        <f>IF(交易處理資料__3[[#This Row],[上班時間]]=0,0,交易處理資料__3[[#This Row],[售出工時]]/交易處理資料__3[[#This Row],[上班時間]])</f>
        <v>0</v>
      </c>
      <c r="O3209" s="31" t="str">
        <f>IF(交易處理資料__3[[#This Row],[上班時間]]=0,"否","是")</f>
        <v>否</v>
      </c>
    </row>
    <row r="3210" spans="1:15" hidden="1">
      <c r="A3210" t="s">
        <v>75</v>
      </c>
      <c r="B3210" t="s">
        <v>17</v>
      </c>
      <c r="C3210">
        <v>7.11</v>
      </c>
      <c r="D3210">
        <v>6.37</v>
      </c>
      <c r="E3210" s="27">
        <v>111.61695450000001</v>
      </c>
      <c r="F3210">
        <v>5.77</v>
      </c>
      <c r="G3210">
        <v>2.23</v>
      </c>
      <c r="H3210">
        <v>8</v>
      </c>
      <c r="I3210">
        <v>72.13</v>
      </c>
      <c r="J3210">
        <v>88.88</v>
      </c>
      <c r="K3210" s="9">
        <v>45374</v>
      </c>
      <c r="L3210">
        <f xml:space="preserve"> (交易處理資料__3[[#This Row],[售出工時]] * 60) / 5</f>
        <v>85.320000000000007</v>
      </c>
      <c r="M3210" t="str">
        <f>VLOOKUP(交易處理資料__3[[#This Row],[人員代號]],團隊分組!$B$1:$C$52,2,FALSE)</f>
        <v>快速保養團隊A</v>
      </c>
      <c r="N3210">
        <f>IF(交易處理資料__3[[#This Row],[上班時間]]=0,0,交易處理資料__3[[#This Row],[售出工時]]/交易處理資料__3[[#This Row],[上班時間]])</f>
        <v>0.88875000000000004</v>
      </c>
      <c r="O3210" s="31" t="str">
        <f>IF(交易處理資料__3[[#This Row],[上班時間]]=0,"否","是")</f>
        <v>是</v>
      </c>
    </row>
    <row r="3211" spans="1:15" hidden="1">
      <c r="A3211" t="s">
        <v>75</v>
      </c>
      <c r="B3211" t="s">
        <v>18</v>
      </c>
      <c r="C3211">
        <v>0.95</v>
      </c>
      <c r="D3211">
        <v>1.65</v>
      </c>
      <c r="E3211" s="27">
        <v>57.575757580000001</v>
      </c>
      <c r="F3211">
        <v>5.95</v>
      </c>
      <c r="G3211">
        <v>2.02</v>
      </c>
      <c r="H3211">
        <v>7.97</v>
      </c>
      <c r="I3211">
        <v>74.650000000000006</v>
      </c>
      <c r="J3211">
        <v>11.92</v>
      </c>
      <c r="K3211" s="9">
        <v>45374</v>
      </c>
      <c r="L3211">
        <f xml:space="preserve"> (交易處理資料__3[[#This Row],[售出工時]] * 60) / 5</f>
        <v>11.4</v>
      </c>
      <c r="M3211" t="str">
        <f>VLOOKUP(交易處理資料__3[[#This Row],[人員代號]],團隊分組!$B$1:$C$52,2,FALSE)</f>
        <v>查修團隊B</v>
      </c>
      <c r="N3211">
        <f>IF(交易處理資料__3[[#This Row],[上班時間]]=0,0,交易處理資料__3[[#This Row],[售出工時]]/交易處理資料__3[[#This Row],[上班時間]])</f>
        <v>0.1191969887076537</v>
      </c>
      <c r="O3211" s="31" t="str">
        <f>IF(交易處理資料__3[[#This Row],[上班時間]]=0,"否","是")</f>
        <v>是</v>
      </c>
    </row>
    <row r="3212" spans="1:15" hidden="1">
      <c r="A3212" t="s">
        <v>75</v>
      </c>
      <c r="B3212" t="s">
        <v>19</v>
      </c>
      <c r="C3212">
        <v>7.25</v>
      </c>
      <c r="D3212">
        <v>5.31</v>
      </c>
      <c r="E3212" s="27">
        <v>136.53483990000001</v>
      </c>
      <c r="F3212">
        <v>5.45</v>
      </c>
      <c r="G3212">
        <v>2.5099999999999998</v>
      </c>
      <c r="H3212">
        <v>7.96</v>
      </c>
      <c r="I3212">
        <v>68.47</v>
      </c>
      <c r="J3212">
        <v>91.08</v>
      </c>
      <c r="K3212" s="9">
        <v>45374</v>
      </c>
      <c r="L3212">
        <f xml:space="preserve"> (交易處理資料__3[[#This Row],[售出工時]] * 60) / 5</f>
        <v>87</v>
      </c>
      <c r="M3212" t="str">
        <f>VLOOKUP(交易處理資料__3[[#This Row],[人員代號]],團隊分組!$B$1:$C$52,2,FALSE)</f>
        <v>查修團隊A</v>
      </c>
      <c r="N3212">
        <f>IF(交易處理資料__3[[#This Row],[上班時間]]=0,0,交易處理資料__3[[#This Row],[售出工時]]/交易處理資料__3[[#This Row],[上班時間]])</f>
        <v>0.91080402010050254</v>
      </c>
      <c r="O3212" s="31" t="str">
        <f>IF(交易處理資料__3[[#This Row],[上班時間]]=0,"否","是")</f>
        <v>是</v>
      </c>
    </row>
    <row r="3213" spans="1:15" hidden="1">
      <c r="A3213" t="s">
        <v>75</v>
      </c>
      <c r="B3213" t="s">
        <v>20</v>
      </c>
      <c r="C3213">
        <v>0</v>
      </c>
      <c r="D3213">
        <v>0</v>
      </c>
      <c r="E3213" s="27">
        <v>0</v>
      </c>
      <c r="F3213">
        <v>6.08</v>
      </c>
      <c r="G3213">
        <v>1.89</v>
      </c>
      <c r="H3213">
        <v>7.97</v>
      </c>
      <c r="I3213">
        <v>76.290000000000006</v>
      </c>
      <c r="J3213">
        <v>0</v>
      </c>
      <c r="K3213" s="9">
        <v>45374</v>
      </c>
      <c r="L3213">
        <f xml:space="preserve"> (交易處理資料__3[[#This Row],[售出工時]] * 60) / 5</f>
        <v>0</v>
      </c>
      <c r="M3213" t="str">
        <f>VLOOKUP(交易處理資料__3[[#This Row],[人員代號]],團隊分組!$B$1:$C$52,2,FALSE)</f>
        <v>查修團隊B</v>
      </c>
      <c r="N3213">
        <f>IF(交易處理資料__3[[#This Row],[上班時間]]=0,0,交易處理資料__3[[#This Row],[售出工時]]/交易處理資料__3[[#This Row],[上班時間]])</f>
        <v>0</v>
      </c>
      <c r="O3213" s="31" t="str">
        <f>IF(交易處理資料__3[[#This Row],[上班時間]]=0,"否","是")</f>
        <v>是</v>
      </c>
    </row>
    <row r="3214" spans="1:15" hidden="1">
      <c r="A3214" t="s">
        <v>75</v>
      </c>
      <c r="B3214" t="s">
        <v>21</v>
      </c>
      <c r="C3214">
        <v>0</v>
      </c>
      <c r="D3214">
        <v>0</v>
      </c>
      <c r="E3214" s="27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 s="9">
        <v>45374</v>
      </c>
      <c r="L3214">
        <f xml:space="preserve"> (交易處理資料__3[[#This Row],[售出工時]] * 60) / 5</f>
        <v>0</v>
      </c>
      <c r="M3214" t="str">
        <f>VLOOKUP(交易處理資料__3[[#This Row],[人員代號]],團隊分組!$B$1:$C$52,2,FALSE)</f>
        <v>查修團隊B</v>
      </c>
      <c r="N3214">
        <f>IF(交易處理資料__3[[#This Row],[上班時間]]=0,0,交易處理資料__3[[#This Row],[售出工時]]/交易處理資料__3[[#This Row],[上班時間]])</f>
        <v>0</v>
      </c>
      <c r="O3214" s="31" t="str">
        <f>IF(交易處理資料__3[[#This Row],[上班時間]]=0,"否","是")</f>
        <v>否</v>
      </c>
    </row>
    <row r="3215" spans="1:15" hidden="1">
      <c r="A3215" t="s">
        <v>75</v>
      </c>
      <c r="B3215" t="s">
        <v>23</v>
      </c>
      <c r="C3215">
        <v>5.5</v>
      </c>
      <c r="D3215">
        <v>2.13</v>
      </c>
      <c r="E3215" s="27">
        <v>258.21596240000002</v>
      </c>
      <c r="F3215">
        <v>5.86</v>
      </c>
      <c r="G3215">
        <v>2.15</v>
      </c>
      <c r="H3215">
        <v>8.01</v>
      </c>
      <c r="I3215">
        <v>73.16</v>
      </c>
      <c r="J3215">
        <v>68.66</v>
      </c>
      <c r="K3215" s="9">
        <v>45374</v>
      </c>
      <c r="L3215">
        <f xml:space="preserve"> (交易處理資料__3[[#This Row],[售出工時]] * 60) / 5</f>
        <v>66</v>
      </c>
      <c r="M3215" t="str">
        <f>VLOOKUP(交易處理資料__3[[#This Row],[人員代號]],團隊分組!$B$1:$C$52,2,FALSE)</f>
        <v>快速保養團隊B</v>
      </c>
      <c r="N3215">
        <f>IF(交易處理資料__3[[#This Row],[上班時間]]=0,0,交易處理資料__3[[#This Row],[售出工時]]/交易處理資料__3[[#This Row],[上班時間]])</f>
        <v>0.68664169787765295</v>
      </c>
      <c r="O3215" s="31" t="str">
        <f>IF(交易處理資料__3[[#This Row],[上班時間]]=0,"否","是")</f>
        <v>是</v>
      </c>
    </row>
    <row r="3216" spans="1:15" hidden="1">
      <c r="A3216" t="s">
        <v>75</v>
      </c>
      <c r="B3216" t="s">
        <v>24</v>
      </c>
      <c r="C3216">
        <v>7.31</v>
      </c>
      <c r="D3216">
        <v>6.43</v>
      </c>
      <c r="E3216" s="27">
        <v>113.6858476</v>
      </c>
      <c r="F3216">
        <v>6.15</v>
      </c>
      <c r="G3216">
        <v>1.89</v>
      </c>
      <c r="H3216">
        <v>8.0399999999999991</v>
      </c>
      <c r="I3216">
        <v>76.489999999999995</v>
      </c>
      <c r="J3216">
        <v>90.92</v>
      </c>
      <c r="K3216" s="9">
        <v>45374</v>
      </c>
      <c r="L3216">
        <f xml:space="preserve"> (交易處理資料__3[[#This Row],[售出工時]] * 60) / 5</f>
        <v>87.72</v>
      </c>
      <c r="M3216" t="str">
        <f>VLOOKUP(交易處理資料__3[[#This Row],[人員代號]],團隊分組!$B$1:$C$52,2,FALSE)</f>
        <v>快速保養團隊A</v>
      </c>
      <c r="N3216">
        <f>IF(交易處理資料__3[[#This Row],[上班時間]]=0,0,交易處理資料__3[[#This Row],[售出工時]]/交易處理資料__3[[#This Row],[上班時間]])</f>
        <v>0.90920398009950254</v>
      </c>
      <c r="O3216" s="31" t="str">
        <f>IF(交易處理資料__3[[#This Row],[上班時間]]=0,"否","是")</f>
        <v>是</v>
      </c>
    </row>
    <row r="3217" spans="1:15" hidden="1">
      <c r="A3217" t="s">
        <v>75</v>
      </c>
      <c r="B3217" t="s">
        <v>25</v>
      </c>
      <c r="C3217">
        <v>0</v>
      </c>
      <c r="D3217">
        <v>0</v>
      </c>
      <c r="E3217" s="2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 s="9">
        <v>45374</v>
      </c>
      <c r="L3217">
        <f xml:space="preserve"> (交易處理資料__3[[#This Row],[售出工時]] * 60) / 5</f>
        <v>0</v>
      </c>
      <c r="M3217" t="str">
        <f>VLOOKUP(交易處理資料__3[[#This Row],[人員代號]],團隊分組!$B$1:$C$52,2,FALSE)</f>
        <v>查修團隊A</v>
      </c>
      <c r="N3217">
        <f>IF(交易處理資料__3[[#This Row],[上班時間]]=0,0,交易處理資料__3[[#This Row],[售出工時]]/交易處理資料__3[[#This Row],[上班時間]])</f>
        <v>0</v>
      </c>
      <c r="O3217" s="31" t="str">
        <f>IF(交易處理資料__3[[#This Row],[上班時間]]=0,"否","是")</f>
        <v>否</v>
      </c>
    </row>
    <row r="3218" spans="1:15" hidden="1">
      <c r="A3218" t="s">
        <v>75</v>
      </c>
      <c r="B3218" t="s">
        <v>26</v>
      </c>
      <c r="C3218">
        <v>4.0066666670000002</v>
      </c>
      <c r="D3218">
        <v>3.47</v>
      </c>
      <c r="E3218" s="27">
        <v>115.4658982</v>
      </c>
      <c r="F3218">
        <v>4.92</v>
      </c>
      <c r="G3218">
        <v>3.03</v>
      </c>
      <c r="H3218">
        <v>7.95</v>
      </c>
      <c r="I3218">
        <v>61.89</v>
      </c>
      <c r="J3218">
        <v>50.4</v>
      </c>
      <c r="K3218" s="9">
        <v>45374</v>
      </c>
      <c r="L3218">
        <f xml:space="preserve"> (交易處理資料__3[[#This Row],[售出工時]] * 60) / 5</f>
        <v>48.080000004000006</v>
      </c>
      <c r="M3218" t="str">
        <f>VLOOKUP(交易處理資料__3[[#This Row],[人員代號]],團隊分組!$B$1:$C$52,2,FALSE)</f>
        <v>查修團隊B</v>
      </c>
      <c r="N3218">
        <f>IF(交易處理資料__3[[#This Row],[上班時間]]=0,0,交易處理資料__3[[#This Row],[售出工時]]/交易處理資料__3[[#This Row],[上班時間]])</f>
        <v>0.50398322855345912</v>
      </c>
      <c r="O3218" s="31" t="str">
        <f>IF(交易處理資料__3[[#This Row],[上班時間]]=0,"否","是")</f>
        <v>是</v>
      </c>
    </row>
    <row r="3219" spans="1:15" hidden="1">
      <c r="A3219" t="s">
        <v>75</v>
      </c>
      <c r="B3219" t="s">
        <v>28</v>
      </c>
      <c r="C3219">
        <v>0</v>
      </c>
      <c r="D3219">
        <v>0</v>
      </c>
      <c r="E3219" s="27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 s="9">
        <v>45374</v>
      </c>
      <c r="L3219">
        <f xml:space="preserve"> (交易處理資料__3[[#This Row],[售出工時]] * 60) / 5</f>
        <v>0</v>
      </c>
      <c r="M3219" t="str">
        <f>VLOOKUP(交易處理資料__3[[#This Row],[人員代號]],團隊分組!$B$1:$C$52,2,FALSE)</f>
        <v>快速保養團隊A</v>
      </c>
      <c r="N3219">
        <f>IF(交易處理資料__3[[#This Row],[上班時間]]=0,0,交易處理資料__3[[#This Row],[售出工時]]/交易處理資料__3[[#This Row],[上班時間]])</f>
        <v>0</v>
      </c>
      <c r="O3219" s="31" t="str">
        <f>IF(交易處理資料__3[[#This Row],[上班時間]]=0,"否","是")</f>
        <v>否</v>
      </c>
    </row>
    <row r="3220" spans="1:15" hidden="1">
      <c r="A3220" t="s">
        <v>75</v>
      </c>
      <c r="B3220" t="s">
        <v>29</v>
      </c>
      <c r="C3220">
        <v>0</v>
      </c>
      <c r="D3220">
        <v>0</v>
      </c>
      <c r="E3220" s="27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 s="9">
        <v>45374</v>
      </c>
      <c r="L3220">
        <f xml:space="preserve"> (交易處理資料__3[[#This Row],[售出工時]] * 60) / 5</f>
        <v>0</v>
      </c>
      <c r="M3220" t="str">
        <f>VLOOKUP(交易處理資料__3[[#This Row],[人員代號]],團隊分組!$B$1:$C$52,2,FALSE)</f>
        <v>查修團隊B</v>
      </c>
      <c r="N3220">
        <f>IF(交易處理資料__3[[#This Row],[上班時間]]=0,0,交易處理資料__3[[#This Row],[售出工時]]/交易處理資料__3[[#This Row],[上班時間]])</f>
        <v>0</v>
      </c>
      <c r="O3220" s="31" t="str">
        <f>IF(交易處理資料__3[[#This Row],[上班時間]]=0,"否","是")</f>
        <v>否</v>
      </c>
    </row>
    <row r="3221" spans="1:15">
      <c r="A3221" t="s">
        <v>75</v>
      </c>
      <c r="B3221" t="s">
        <v>33</v>
      </c>
      <c r="C3221">
        <v>0</v>
      </c>
      <c r="D3221">
        <v>0</v>
      </c>
      <c r="E3221" s="27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 s="9">
        <v>45374</v>
      </c>
      <c r="L3221">
        <f xml:space="preserve"> (交易處理資料__3[[#This Row],[售出工時]] * 60) / 5</f>
        <v>0</v>
      </c>
      <c r="M3221" t="str">
        <f>VLOOKUP(交易處理資料__3[[#This Row],[人員代號]],團隊分組!$B$1:$C$52,2,FALSE)</f>
        <v>快速保養團隊B</v>
      </c>
      <c r="N3221">
        <f>IF(交易處理資料__3[[#This Row],[上班時間]]=0,0,交易處理資料__3[[#This Row],[售出工時]]/交易處理資料__3[[#This Row],[上班時間]])</f>
        <v>0</v>
      </c>
      <c r="O3221" s="31" t="str">
        <f>IF(交易處理資料__3[[#This Row],[上班時間]]=0,"否","是")</f>
        <v>否</v>
      </c>
    </row>
    <row r="3222" spans="1:15" hidden="1">
      <c r="A3222" t="s">
        <v>75</v>
      </c>
      <c r="B3222" t="s">
        <v>35</v>
      </c>
      <c r="C3222">
        <v>0</v>
      </c>
      <c r="D3222">
        <v>0</v>
      </c>
      <c r="E3222" s="27">
        <v>0</v>
      </c>
      <c r="F3222">
        <v>6.06</v>
      </c>
      <c r="G3222">
        <v>1.92</v>
      </c>
      <c r="H3222">
        <v>7.98</v>
      </c>
      <c r="I3222">
        <v>75.94</v>
      </c>
      <c r="J3222">
        <v>0</v>
      </c>
      <c r="K3222" s="9">
        <v>45374</v>
      </c>
      <c r="L3222">
        <f xml:space="preserve"> (交易處理資料__3[[#This Row],[售出工時]] * 60) / 5</f>
        <v>0</v>
      </c>
      <c r="M3222" t="str">
        <f>VLOOKUP(交易處理資料__3[[#This Row],[人員代號]],團隊分組!$B$1:$C$52,2,FALSE)</f>
        <v>查修團隊B</v>
      </c>
      <c r="N3222">
        <f>IF(交易處理資料__3[[#This Row],[上班時間]]=0,0,交易處理資料__3[[#This Row],[售出工時]]/交易處理資料__3[[#This Row],[上班時間]])</f>
        <v>0</v>
      </c>
      <c r="O3222" s="31" t="str">
        <f>IF(交易處理資料__3[[#This Row],[上班時間]]=0,"否","是")</f>
        <v>是</v>
      </c>
    </row>
    <row r="3223" spans="1:15" hidden="1">
      <c r="A3223" t="s">
        <v>75</v>
      </c>
      <c r="B3223" t="s">
        <v>36</v>
      </c>
      <c r="C3223">
        <v>8.5833333330000006</v>
      </c>
      <c r="D3223">
        <v>5.2</v>
      </c>
      <c r="E3223" s="27">
        <v>165.06410260000001</v>
      </c>
      <c r="F3223">
        <v>5.2</v>
      </c>
      <c r="G3223">
        <v>2.77</v>
      </c>
      <c r="H3223">
        <v>7.97</v>
      </c>
      <c r="I3223">
        <v>65.239999999999995</v>
      </c>
      <c r="J3223">
        <v>107.7</v>
      </c>
      <c r="K3223" s="9">
        <v>45374</v>
      </c>
      <c r="L3223">
        <f xml:space="preserve"> (交易處理資料__3[[#This Row],[售出工時]] * 60) / 5</f>
        <v>102.999999996</v>
      </c>
      <c r="M3223" t="str">
        <f>VLOOKUP(交易處理資料__3[[#This Row],[人員代號]],團隊分組!$B$1:$C$52,2,FALSE)</f>
        <v>查修團隊B</v>
      </c>
      <c r="N3223">
        <f>IF(交易處理資料__3[[#This Row],[上班時間]]=0,0,交易處理資料__3[[#This Row],[售出工時]]/交易處理資料__3[[#This Row],[上班時間]])</f>
        <v>1.0769552488080303</v>
      </c>
      <c r="O3223" s="31" t="str">
        <f>IF(交易處理資料__3[[#This Row],[上班時間]]=0,"否","是")</f>
        <v>是</v>
      </c>
    </row>
    <row r="3224" spans="1:15" hidden="1">
      <c r="A3224" t="s">
        <v>75</v>
      </c>
      <c r="B3224" t="s">
        <v>37</v>
      </c>
      <c r="C3224">
        <v>2.0466666670000002</v>
      </c>
      <c r="D3224">
        <v>3.86</v>
      </c>
      <c r="E3224" s="27">
        <v>53.0224525</v>
      </c>
      <c r="F3224">
        <v>5.62</v>
      </c>
      <c r="G3224">
        <v>2.31</v>
      </c>
      <c r="H3224">
        <v>7.93</v>
      </c>
      <c r="I3224">
        <v>70.87</v>
      </c>
      <c r="J3224">
        <v>25.81</v>
      </c>
      <c r="K3224" s="9">
        <v>45374</v>
      </c>
      <c r="L3224">
        <f xml:space="preserve"> (交易處理資料__3[[#This Row],[售出工時]] * 60) / 5</f>
        <v>24.560000004000003</v>
      </c>
      <c r="M3224" t="str">
        <f>VLOOKUP(交易處理資料__3[[#This Row],[人員代號]],團隊分組!$B$1:$C$52,2,FALSE)</f>
        <v>查修團隊A</v>
      </c>
      <c r="N3224">
        <f>IF(交易處理資料__3[[#This Row],[上班時間]]=0,0,交易處理資料__3[[#This Row],[售出工時]]/交易處理資料__3[[#This Row],[上班時間]])</f>
        <v>0.25809163518285</v>
      </c>
      <c r="O3224" s="31" t="str">
        <f>IF(交易處理資料__3[[#This Row],[上班時間]]=0,"否","是")</f>
        <v>是</v>
      </c>
    </row>
    <row r="3225" spans="1:15" hidden="1">
      <c r="A3225" t="s">
        <v>75</v>
      </c>
      <c r="B3225" t="s">
        <v>38</v>
      </c>
      <c r="C3225">
        <v>7.88</v>
      </c>
      <c r="D3225">
        <v>6.61</v>
      </c>
      <c r="E3225" s="27">
        <v>119.2133132</v>
      </c>
      <c r="F3225">
        <v>6.01</v>
      </c>
      <c r="G3225">
        <v>1.97</v>
      </c>
      <c r="H3225">
        <v>7.98</v>
      </c>
      <c r="I3225">
        <v>75.31</v>
      </c>
      <c r="J3225">
        <v>98.75</v>
      </c>
      <c r="K3225" s="9">
        <v>45374</v>
      </c>
      <c r="L3225">
        <f xml:space="preserve"> (交易處理資料__3[[#This Row],[售出工時]] * 60) / 5</f>
        <v>94.56</v>
      </c>
      <c r="M3225" t="str">
        <f>VLOOKUP(交易處理資料__3[[#This Row],[人員代號]],團隊分組!$B$1:$C$52,2,FALSE)</f>
        <v>快速保養團隊A</v>
      </c>
      <c r="N3225">
        <f>IF(交易處理資料__3[[#This Row],[上班時間]]=0,0,交易處理資料__3[[#This Row],[售出工時]]/交易處理資料__3[[#This Row],[上班時間]])</f>
        <v>0.98746867167919794</v>
      </c>
      <c r="O3225" s="31" t="str">
        <f>IF(交易處理資料__3[[#This Row],[上班時間]]=0,"否","是")</f>
        <v>是</v>
      </c>
    </row>
    <row r="3226" spans="1:15" hidden="1">
      <c r="A3226" t="s">
        <v>75</v>
      </c>
      <c r="B3226" t="s">
        <v>39</v>
      </c>
      <c r="C3226">
        <v>1.5</v>
      </c>
      <c r="D3226">
        <v>0.68</v>
      </c>
      <c r="E3226" s="27">
        <v>220.58823530000001</v>
      </c>
      <c r="F3226">
        <v>7.07</v>
      </c>
      <c r="G3226">
        <v>0.89</v>
      </c>
      <c r="H3226">
        <v>7.96</v>
      </c>
      <c r="I3226">
        <v>88.82</v>
      </c>
      <c r="J3226">
        <v>18.84</v>
      </c>
      <c r="K3226" s="9">
        <v>45374</v>
      </c>
      <c r="L3226">
        <f xml:space="preserve"> (交易處理資料__3[[#This Row],[售出工時]] * 60) / 5</f>
        <v>18</v>
      </c>
      <c r="M3226" t="str">
        <f>VLOOKUP(交易處理資料__3[[#This Row],[人員代號]],團隊分組!$B$1:$C$52,2,FALSE)</f>
        <v>查修團隊A</v>
      </c>
      <c r="N3226">
        <f>IF(交易處理資料__3[[#This Row],[上班時間]]=0,0,交易處理資料__3[[#This Row],[售出工時]]/交易處理資料__3[[#This Row],[上班時間]])</f>
        <v>0.18844221105527639</v>
      </c>
      <c r="O3226" s="31" t="str">
        <f>IF(交易處理資料__3[[#This Row],[上班時間]]=0,"否","是")</f>
        <v>是</v>
      </c>
    </row>
    <row r="3227" spans="1:15" hidden="1">
      <c r="A3227" t="s">
        <v>75</v>
      </c>
      <c r="B3227" t="s">
        <v>40</v>
      </c>
      <c r="C3227">
        <v>5.3</v>
      </c>
      <c r="D3227">
        <v>3.68</v>
      </c>
      <c r="E3227" s="27">
        <v>144.02173909999999</v>
      </c>
      <c r="F3227">
        <v>6.32</v>
      </c>
      <c r="G3227">
        <v>1.65</v>
      </c>
      <c r="H3227">
        <v>7.97</v>
      </c>
      <c r="I3227">
        <v>79.3</v>
      </c>
      <c r="J3227">
        <v>66.5</v>
      </c>
      <c r="K3227" s="9">
        <v>45374</v>
      </c>
      <c r="L3227">
        <f xml:space="preserve"> (交易處理資料__3[[#This Row],[售出工時]] * 60) / 5</f>
        <v>63.6</v>
      </c>
      <c r="M3227" t="str">
        <f>VLOOKUP(交易處理資料__3[[#This Row],[人員代號]],團隊分組!$B$1:$C$52,2,FALSE)</f>
        <v>查修團隊A</v>
      </c>
      <c r="N3227">
        <f>IF(交易處理資料__3[[#This Row],[上班時間]]=0,0,交易處理資料__3[[#This Row],[售出工時]]/交易處理資料__3[[#This Row],[上班時間]])</f>
        <v>0.66499372647427857</v>
      </c>
      <c r="O3227" s="31" t="str">
        <f>IF(交易處理資料__3[[#This Row],[上班時間]]=0,"否","是")</f>
        <v>是</v>
      </c>
    </row>
    <row r="3228" spans="1:15" hidden="1">
      <c r="A3228" t="s">
        <v>75</v>
      </c>
      <c r="B3228" t="s">
        <v>41</v>
      </c>
      <c r="C3228">
        <v>9.19</v>
      </c>
      <c r="D3228">
        <v>6.8</v>
      </c>
      <c r="E3228" s="27">
        <v>135.1470588</v>
      </c>
      <c r="F3228">
        <v>6.06</v>
      </c>
      <c r="G3228">
        <v>1.89</v>
      </c>
      <c r="H3228">
        <v>7.95</v>
      </c>
      <c r="I3228">
        <v>76.23</v>
      </c>
      <c r="J3228">
        <v>115.6</v>
      </c>
      <c r="K3228" s="9">
        <v>45374</v>
      </c>
      <c r="L3228">
        <f xml:space="preserve"> (交易處理資料__3[[#This Row],[售出工時]] * 60) / 5</f>
        <v>110.28</v>
      </c>
      <c r="M3228" t="str">
        <f>VLOOKUP(交易處理資料__3[[#This Row],[人員代號]],團隊分組!$B$1:$C$52,2,FALSE)</f>
        <v>快速保養團隊A</v>
      </c>
      <c r="N3228">
        <f>IF(交易處理資料__3[[#This Row],[上班時間]]=0,0,交易處理資料__3[[#This Row],[售出工時]]/交易處理資料__3[[#This Row],[上班時間]])</f>
        <v>1.1559748427672956</v>
      </c>
      <c r="O3228" s="31" t="str">
        <f>IF(交易處理資料__3[[#This Row],[上班時間]]=0,"否","是")</f>
        <v>是</v>
      </c>
    </row>
    <row r="3229" spans="1:15" hidden="1">
      <c r="A3229" t="s">
        <v>75</v>
      </c>
      <c r="B3229" t="s">
        <v>42</v>
      </c>
      <c r="C3229">
        <v>0</v>
      </c>
      <c r="D3229">
        <v>0</v>
      </c>
      <c r="E3229" s="27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 s="9">
        <v>45374</v>
      </c>
      <c r="L3229">
        <f xml:space="preserve"> (交易處理資料__3[[#This Row],[售出工時]] * 60) / 5</f>
        <v>0</v>
      </c>
      <c r="M3229" t="str">
        <f>VLOOKUP(交易處理資料__3[[#This Row],[人員代號]],團隊分組!$B$1:$C$52,2,FALSE)</f>
        <v>快速保養團隊A</v>
      </c>
      <c r="N3229">
        <f>IF(交易處理資料__3[[#This Row],[上班時間]]=0,0,交易處理資料__3[[#This Row],[售出工時]]/交易處理資料__3[[#This Row],[上班時間]])</f>
        <v>0</v>
      </c>
      <c r="O3229" s="31" t="str">
        <f>IF(交易處理資料__3[[#This Row],[上班時間]]=0,"否","是")</f>
        <v>否</v>
      </c>
    </row>
    <row r="3230" spans="1:15" hidden="1">
      <c r="A3230" t="s">
        <v>75</v>
      </c>
      <c r="B3230" t="s">
        <v>43</v>
      </c>
      <c r="C3230">
        <v>0</v>
      </c>
      <c r="D3230">
        <v>0</v>
      </c>
      <c r="E3230" s="27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 s="9">
        <v>45374</v>
      </c>
      <c r="L3230">
        <f xml:space="preserve"> (交易處理資料__3[[#This Row],[售出工時]] * 60) / 5</f>
        <v>0</v>
      </c>
      <c r="M3230" t="str">
        <f>VLOOKUP(交易處理資料__3[[#This Row],[人員代號]],團隊分組!$B$1:$C$52,2,FALSE)</f>
        <v>查修團隊B</v>
      </c>
      <c r="N3230">
        <f>IF(交易處理資料__3[[#This Row],[上班時間]]=0,0,交易處理資料__3[[#This Row],[售出工時]]/交易處理資料__3[[#This Row],[上班時間]])</f>
        <v>0</v>
      </c>
      <c r="O3230" s="31" t="str">
        <f>IF(交易處理資料__3[[#This Row],[上班時間]]=0,"否","是")</f>
        <v>否</v>
      </c>
    </row>
    <row r="3231" spans="1:15" hidden="1">
      <c r="A3231" t="s">
        <v>75</v>
      </c>
      <c r="B3231" t="s">
        <v>44</v>
      </c>
      <c r="C3231">
        <v>1.6966666669999999</v>
      </c>
      <c r="D3231">
        <v>2.14</v>
      </c>
      <c r="E3231" s="27">
        <v>79.283489099999997</v>
      </c>
      <c r="F3231">
        <v>6.05</v>
      </c>
      <c r="G3231">
        <v>1.92</v>
      </c>
      <c r="H3231">
        <v>7.97</v>
      </c>
      <c r="I3231">
        <v>75.91</v>
      </c>
      <c r="J3231">
        <v>21.29</v>
      </c>
      <c r="K3231" s="9">
        <v>45374</v>
      </c>
      <c r="L3231">
        <f xml:space="preserve"> (交易處理資料__3[[#This Row],[售出工時]] * 60) / 5</f>
        <v>20.360000004</v>
      </c>
      <c r="M3231" t="str">
        <f>VLOOKUP(交易處理資料__3[[#This Row],[人員代號]],團隊分組!$B$1:$C$52,2,FALSE)</f>
        <v>快速保養團隊B</v>
      </c>
      <c r="N3231">
        <f>IF(交易處理資料__3[[#This Row],[上班時間]]=0,0,交易處理資料__3[[#This Row],[售出工時]]/交易處理資料__3[[#This Row],[上班時間]])</f>
        <v>0.21288163952321204</v>
      </c>
      <c r="O3231" s="31" t="str">
        <f>IF(交易處理資料__3[[#This Row],[上班時間]]=0,"否","是")</f>
        <v>是</v>
      </c>
    </row>
    <row r="3232" spans="1:15" hidden="1">
      <c r="A3232" t="s">
        <v>75</v>
      </c>
      <c r="B3232" t="s">
        <v>47</v>
      </c>
      <c r="C3232">
        <v>0</v>
      </c>
      <c r="D3232">
        <v>0</v>
      </c>
      <c r="E3232" s="27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 s="9">
        <v>45374</v>
      </c>
      <c r="L3232">
        <f xml:space="preserve"> (交易處理資料__3[[#This Row],[售出工時]] * 60) / 5</f>
        <v>0</v>
      </c>
      <c r="M3232" t="str">
        <f>VLOOKUP(交易處理資料__3[[#This Row],[人員代號]],團隊分組!$B$1:$C$52,2,FALSE)</f>
        <v>查修團隊B</v>
      </c>
      <c r="N3232">
        <f>IF(交易處理資料__3[[#This Row],[上班時間]]=0,0,交易處理資料__3[[#This Row],[售出工時]]/交易處理資料__3[[#This Row],[上班時間]])</f>
        <v>0</v>
      </c>
      <c r="O3232" s="31" t="str">
        <f>IF(交易處理資料__3[[#This Row],[上班時間]]=0,"否","是")</f>
        <v>否</v>
      </c>
    </row>
    <row r="3233" spans="1:15" hidden="1">
      <c r="A3233" t="s">
        <v>75</v>
      </c>
      <c r="B3233" t="s">
        <v>48</v>
      </c>
      <c r="C3233">
        <v>5.2633333330000003</v>
      </c>
      <c r="D3233">
        <v>3.21</v>
      </c>
      <c r="E3233" s="27">
        <v>163.9667705</v>
      </c>
      <c r="F3233">
        <v>3.74</v>
      </c>
      <c r="G3233">
        <v>4.2300000000000004</v>
      </c>
      <c r="H3233">
        <v>7.97</v>
      </c>
      <c r="I3233">
        <v>46.93</v>
      </c>
      <c r="J3233">
        <v>66.040000000000006</v>
      </c>
      <c r="K3233" s="9">
        <v>45374</v>
      </c>
      <c r="L3233">
        <f xml:space="preserve"> (交易處理資料__3[[#This Row],[售出工時]] * 60) / 5</f>
        <v>63.159999995999996</v>
      </c>
      <c r="M3233" t="str">
        <f>VLOOKUP(交易處理資料__3[[#This Row],[人員代號]],團隊分組!$B$1:$C$52,2,FALSE)</f>
        <v>查修團隊A</v>
      </c>
      <c r="N3233">
        <f>IF(交易處理資料__3[[#This Row],[上班時間]]=0,0,交易處理資料__3[[#This Row],[售出工時]]/交易處理資料__3[[#This Row],[上班時間]])</f>
        <v>0.66039314090338774</v>
      </c>
      <c r="O3233" s="31" t="str">
        <f>IF(交易處理資料__3[[#This Row],[上班時間]]=0,"否","是")</f>
        <v>是</v>
      </c>
    </row>
    <row r="3234" spans="1:15" hidden="1">
      <c r="A3234" t="s">
        <v>75</v>
      </c>
      <c r="B3234" t="s">
        <v>49</v>
      </c>
      <c r="C3234">
        <v>0</v>
      </c>
      <c r="D3234">
        <v>0</v>
      </c>
      <c r="E3234" s="27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 s="9">
        <v>45374</v>
      </c>
      <c r="L3234">
        <f xml:space="preserve"> (交易處理資料__3[[#This Row],[售出工時]] * 60) / 5</f>
        <v>0</v>
      </c>
      <c r="M3234" t="str">
        <f>VLOOKUP(交易處理資料__3[[#This Row],[人員代號]],團隊分組!$B$1:$C$52,2,FALSE)</f>
        <v>查修團隊A</v>
      </c>
      <c r="N3234">
        <f>IF(交易處理資料__3[[#This Row],[上班時間]]=0,0,交易處理資料__3[[#This Row],[售出工時]]/交易處理資料__3[[#This Row],[上班時間]])</f>
        <v>0</v>
      </c>
      <c r="O3234" s="31" t="str">
        <f>IF(交易處理資料__3[[#This Row],[上班時間]]=0,"否","是")</f>
        <v>否</v>
      </c>
    </row>
    <row r="3235" spans="1:15" hidden="1">
      <c r="A3235" t="s">
        <v>75</v>
      </c>
      <c r="B3235" t="s">
        <v>51</v>
      </c>
      <c r="C3235">
        <v>0</v>
      </c>
      <c r="D3235">
        <v>0</v>
      </c>
      <c r="E3235" s="27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 s="9">
        <v>45374</v>
      </c>
      <c r="L3235">
        <f xml:space="preserve"> (交易處理資料__3[[#This Row],[售出工時]] * 60) / 5</f>
        <v>0</v>
      </c>
      <c r="M3235" t="str">
        <f>VLOOKUP(交易處理資料__3[[#This Row],[人員代號]],團隊分組!$B$1:$C$52,2,FALSE)</f>
        <v>無效數據</v>
      </c>
      <c r="N3235">
        <f>IF(交易處理資料__3[[#This Row],[上班時間]]=0,0,交易處理資料__3[[#This Row],[售出工時]]/交易處理資料__3[[#This Row],[上班時間]])</f>
        <v>0</v>
      </c>
      <c r="O3235" s="31" t="str">
        <f>IF(交易處理資料__3[[#This Row],[上班時間]]=0,"否","是")</f>
        <v>否</v>
      </c>
    </row>
    <row r="3236" spans="1:15" hidden="1">
      <c r="A3236" t="s">
        <v>75</v>
      </c>
      <c r="B3236" t="s">
        <v>52</v>
      </c>
      <c r="C3236">
        <v>0</v>
      </c>
      <c r="D3236">
        <v>0</v>
      </c>
      <c r="E3236" s="27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 s="9">
        <v>45374</v>
      </c>
      <c r="L3236">
        <f xml:space="preserve"> (交易處理資料__3[[#This Row],[售出工時]] * 60) / 5</f>
        <v>0</v>
      </c>
      <c r="M3236" t="str">
        <f>VLOOKUP(交易處理資料__3[[#This Row],[人員代號]],團隊分組!$B$1:$C$52,2,FALSE)</f>
        <v>查修團隊B</v>
      </c>
      <c r="N3236">
        <f>IF(交易處理資料__3[[#This Row],[上班時間]]=0,0,交易處理資料__3[[#This Row],[售出工時]]/交易處理資料__3[[#This Row],[上班時間]])</f>
        <v>0</v>
      </c>
      <c r="O3236" s="31" t="str">
        <f>IF(交易處理資料__3[[#This Row],[上班時間]]=0,"否","是")</f>
        <v>否</v>
      </c>
    </row>
    <row r="3237" spans="1:15" hidden="1">
      <c r="A3237" s="10" t="s">
        <v>73</v>
      </c>
      <c r="B3237" t="s">
        <v>1</v>
      </c>
      <c r="C3237">
        <v>0</v>
      </c>
      <c r="D3237">
        <v>0</v>
      </c>
      <c r="E3237" s="2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 s="9">
        <v>45375</v>
      </c>
      <c r="L3237">
        <f xml:space="preserve"> (交易處理資料__3[[#This Row],[售出工時]] * 60) / 5</f>
        <v>0</v>
      </c>
      <c r="M3237" t="str">
        <f>VLOOKUP(交易處理資料__3[[#This Row],[人員代號]],團隊分組!$B$1:$C$52,2,FALSE)</f>
        <v>噴漆維修組</v>
      </c>
      <c r="N3237">
        <f>IF(交易處理資料__3[[#This Row],[上班時間]]=0,0,交易處理資料__3[[#This Row],[售出工時]]/交易處理資料__3[[#This Row],[上班時間]])</f>
        <v>0</v>
      </c>
      <c r="O3237" s="31" t="str">
        <f>IF(交易處理資料__3[[#This Row],[上班時間]]=0,"否","是")</f>
        <v>否</v>
      </c>
    </row>
    <row r="3238" spans="1:15" hidden="1">
      <c r="A3238" s="10" t="s">
        <v>73</v>
      </c>
      <c r="B3238" t="s">
        <v>2</v>
      </c>
      <c r="C3238">
        <v>0</v>
      </c>
      <c r="D3238">
        <v>0</v>
      </c>
      <c r="E3238" s="27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 s="9">
        <v>45375</v>
      </c>
      <c r="L3238">
        <f xml:space="preserve"> (交易處理資料__3[[#This Row],[售出工時]] * 60) / 5</f>
        <v>0</v>
      </c>
      <c r="M3238" t="str">
        <f>VLOOKUP(交易處理資料__3[[#This Row],[人員代號]],團隊分組!$B$1:$C$52,2,FALSE)</f>
        <v>噴漆維修組</v>
      </c>
      <c r="N3238">
        <f>IF(交易處理資料__3[[#This Row],[上班時間]]=0,0,交易處理資料__3[[#This Row],[售出工時]]/交易處理資料__3[[#This Row],[上班時間]])</f>
        <v>0</v>
      </c>
      <c r="O3238" s="31" t="str">
        <f>IF(交易處理資料__3[[#This Row],[上班時間]]=0,"否","是")</f>
        <v>否</v>
      </c>
    </row>
    <row r="3239" spans="1:15" hidden="1">
      <c r="A3239" s="10" t="s">
        <v>73</v>
      </c>
      <c r="B3239" t="s">
        <v>3</v>
      </c>
      <c r="C3239">
        <v>0</v>
      </c>
      <c r="D3239">
        <v>0</v>
      </c>
      <c r="E3239" s="27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 s="9">
        <v>45375</v>
      </c>
      <c r="L3239">
        <f xml:space="preserve"> (交易處理資料__3[[#This Row],[售出工時]] * 60) / 5</f>
        <v>0</v>
      </c>
      <c r="M3239" t="str">
        <f>VLOOKUP(交易處理資料__3[[#This Row],[人員代號]],團隊分組!$B$1:$C$52,2,FALSE)</f>
        <v>噴漆維修組</v>
      </c>
      <c r="N3239">
        <f>IF(交易處理資料__3[[#This Row],[上班時間]]=0,0,交易處理資料__3[[#This Row],[售出工時]]/交易處理資料__3[[#This Row],[上班時間]])</f>
        <v>0</v>
      </c>
      <c r="O3239" s="31" t="str">
        <f>IF(交易處理資料__3[[#This Row],[上班時間]]=0,"否","是")</f>
        <v>否</v>
      </c>
    </row>
    <row r="3240" spans="1:15" hidden="1">
      <c r="A3240" s="10" t="s">
        <v>73</v>
      </c>
      <c r="B3240" t="s">
        <v>4</v>
      </c>
      <c r="C3240">
        <v>0</v>
      </c>
      <c r="D3240">
        <v>0</v>
      </c>
      <c r="E3240" s="27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 s="9">
        <v>45375</v>
      </c>
      <c r="L3240">
        <f xml:space="preserve"> (交易處理資料__3[[#This Row],[售出工時]] * 60) / 5</f>
        <v>0</v>
      </c>
      <c r="M3240" t="str">
        <f>VLOOKUP(交易處理資料__3[[#This Row],[人員代號]],團隊分組!$B$1:$C$52,2,FALSE)</f>
        <v>噴漆維修組</v>
      </c>
      <c r="N3240">
        <f>IF(交易處理資料__3[[#This Row],[上班時間]]=0,0,交易處理資料__3[[#This Row],[售出工時]]/交易處理資料__3[[#This Row],[上班時間]])</f>
        <v>0</v>
      </c>
      <c r="O3240" s="31" t="str">
        <f>IF(交易處理資料__3[[#This Row],[上班時間]]=0,"否","是")</f>
        <v>否</v>
      </c>
    </row>
    <row r="3241" spans="1:15" hidden="1">
      <c r="A3241" s="10" t="s">
        <v>73</v>
      </c>
      <c r="B3241" t="s">
        <v>5</v>
      </c>
      <c r="C3241">
        <v>0</v>
      </c>
      <c r="D3241">
        <v>0</v>
      </c>
      <c r="E3241" s="27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 s="9">
        <v>45375</v>
      </c>
      <c r="L3241">
        <f xml:space="preserve"> (交易處理資料__3[[#This Row],[售出工時]] * 60) / 5</f>
        <v>0</v>
      </c>
      <c r="M3241" t="str">
        <f>VLOOKUP(交易處理資料__3[[#This Row],[人員代號]],團隊分組!$B$1:$C$52,2,FALSE)</f>
        <v>噴漆維修組</v>
      </c>
      <c r="N3241">
        <f>IF(交易處理資料__3[[#This Row],[上班時間]]=0,0,交易處理資料__3[[#This Row],[售出工時]]/交易處理資料__3[[#This Row],[上班時間]])</f>
        <v>0</v>
      </c>
      <c r="O3241" s="31" t="str">
        <f>IF(交易處理資料__3[[#This Row],[上班時間]]=0,"否","是")</f>
        <v>否</v>
      </c>
    </row>
    <row r="3242" spans="1:15" hidden="1">
      <c r="A3242" s="10" t="s">
        <v>73</v>
      </c>
      <c r="B3242" t="s">
        <v>6</v>
      </c>
      <c r="C3242">
        <v>0</v>
      </c>
      <c r="D3242">
        <v>0</v>
      </c>
      <c r="E3242" s="27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 s="9">
        <v>45375</v>
      </c>
      <c r="L3242">
        <f xml:space="preserve"> (交易處理資料__3[[#This Row],[售出工時]] * 60) / 5</f>
        <v>0</v>
      </c>
      <c r="M3242" t="str">
        <f>VLOOKUP(交易處理資料__3[[#This Row],[人員代號]],團隊分組!$B$1:$C$52,2,FALSE)</f>
        <v>噴漆維修組</v>
      </c>
      <c r="N3242">
        <f>IF(交易處理資料__3[[#This Row],[上班時間]]=0,0,交易處理資料__3[[#This Row],[售出工時]]/交易處理資料__3[[#This Row],[上班時間]])</f>
        <v>0</v>
      </c>
      <c r="O3242" s="31" t="str">
        <f>IF(交易處理資料__3[[#This Row],[上班時間]]=0,"否","是")</f>
        <v>否</v>
      </c>
    </row>
    <row r="3243" spans="1:15" hidden="1">
      <c r="A3243" s="10" t="s">
        <v>73</v>
      </c>
      <c r="B3243" t="s">
        <v>7</v>
      </c>
      <c r="C3243">
        <v>0</v>
      </c>
      <c r="D3243">
        <v>0</v>
      </c>
      <c r="E3243" s="27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 s="9">
        <v>45375</v>
      </c>
      <c r="L3243">
        <f xml:space="preserve"> (交易處理資料__3[[#This Row],[售出工時]] * 60) / 5</f>
        <v>0</v>
      </c>
      <c r="M3243" t="str">
        <f>VLOOKUP(交易處理資料__3[[#This Row],[人員代號]],團隊分組!$B$1:$C$52,2,FALSE)</f>
        <v>噴漆維修組</v>
      </c>
      <c r="N3243">
        <f>IF(交易處理資料__3[[#This Row],[上班時間]]=0,0,交易處理資料__3[[#This Row],[售出工時]]/交易處理資料__3[[#This Row],[上班時間]])</f>
        <v>0</v>
      </c>
      <c r="O3243" s="31" t="str">
        <f>IF(交易處理資料__3[[#This Row],[上班時間]]=0,"否","是")</f>
        <v>否</v>
      </c>
    </row>
    <row r="3244" spans="1:15" hidden="1">
      <c r="A3244" s="10" t="s">
        <v>73</v>
      </c>
      <c r="B3244" t="s">
        <v>8</v>
      </c>
      <c r="C3244">
        <v>0</v>
      </c>
      <c r="D3244">
        <v>0</v>
      </c>
      <c r="E3244" s="27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 s="9">
        <v>45375</v>
      </c>
      <c r="L3244">
        <f xml:space="preserve"> (交易處理資料__3[[#This Row],[售出工時]] * 60) / 5</f>
        <v>0</v>
      </c>
      <c r="M3244" t="str">
        <f>VLOOKUP(交易處理資料__3[[#This Row],[人員代號]],團隊分組!$B$1:$C$52,2,FALSE)</f>
        <v>噴漆維修組</v>
      </c>
      <c r="N3244">
        <f>IF(交易處理資料__3[[#This Row],[上班時間]]=0,0,交易處理資料__3[[#This Row],[售出工時]]/交易處理資料__3[[#This Row],[上班時間]])</f>
        <v>0</v>
      </c>
      <c r="O3244" s="31" t="str">
        <f>IF(交易處理資料__3[[#This Row],[上班時間]]=0,"否","是")</f>
        <v>否</v>
      </c>
    </row>
    <row r="3245" spans="1:15" hidden="1">
      <c r="A3245" s="10" t="s">
        <v>73</v>
      </c>
      <c r="B3245" t="s">
        <v>9</v>
      </c>
      <c r="C3245">
        <v>0</v>
      </c>
      <c r="D3245">
        <v>0</v>
      </c>
      <c r="E3245" s="27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 s="9">
        <v>45375</v>
      </c>
      <c r="L3245">
        <f xml:space="preserve"> (交易處理資料__3[[#This Row],[售出工時]] * 60) / 5</f>
        <v>0</v>
      </c>
      <c r="M3245" t="str">
        <f>VLOOKUP(交易處理資料__3[[#This Row],[人員代號]],團隊分組!$B$1:$C$52,2,FALSE)</f>
        <v>噴漆維修組</v>
      </c>
      <c r="N3245">
        <f>IF(交易處理資料__3[[#This Row],[上班時間]]=0,0,交易處理資料__3[[#This Row],[售出工時]]/交易處理資料__3[[#This Row],[上班時間]])</f>
        <v>0</v>
      </c>
      <c r="O3245" s="31" t="str">
        <f>IF(交易處理資料__3[[#This Row],[上班時間]]=0,"否","是")</f>
        <v>否</v>
      </c>
    </row>
    <row r="3246" spans="1:15" hidden="1">
      <c r="A3246" t="s">
        <v>74</v>
      </c>
      <c r="B3246" t="s">
        <v>11</v>
      </c>
      <c r="C3246">
        <v>0</v>
      </c>
      <c r="D3246">
        <v>0</v>
      </c>
      <c r="E3246" s="27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 s="9">
        <v>45375</v>
      </c>
      <c r="L3246">
        <f xml:space="preserve"> (交易處理資料__3[[#This Row],[售出工時]] * 60) / 5</f>
        <v>0</v>
      </c>
      <c r="M3246" t="str">
        <f>VLOOKUP(交易處理資料__3[[#This Row],[人員代號]],團隊分組!$B$1:$C$52,2,FALSE)</f>
        <v>鈑金維修組</v>
      </c>
      <c r="N3246">
        <f>IF(交易處理資料__3[[#This Row],[上班時間]]=0,0,交易處理資料__3[[#This Row],[售出工時]]/交易處理資料__3[[#This Row],[上班時間]])</f>
        <v>0</v>
      </c>
      <c r="O3246" s="31" t="str">
        <f>IF(交易處理資料__3[[#This Row],[上班時間]]=0,"否","是")</f>
        <v>否</v>
      </c>
    </row>
    <row r="3247" spans="1:15" hidden="1">
      <c r="A3247" t="s">
        <v>74</v>
      </c>
      <c r="B3247" t="s">
        <v>12</v>
      </c>
      <c r="C3247">
        <v>0</v>
      </c>
      <c r="D3247">
        <v>0</v>
      </c>
      <c r="E3247" s="2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 s="9">
        <v>45375</v>
      </c>
      <c r="L3247">
        <f xml:space="preserve"> (交易處理資料__3[[#This Row],[售出工時]] * 60) / 5</f>
        <v>0</v>
      </c>
      <c r="M3247" t="str">
        <f>VLOOKUP(交易處理資料__3[[#This Row],[人員代號]],團隊分組!$B$1:$C$52,2,FALSE)</f>
        <v>鈑金維修組</v>
      </c>
      <c r="N3247">
        <f>IF(交易處理資料__3[[#This Row],[上班時間]]=0,0,交易處理資料__3[[#This Row],[售出工時]]/交易處理資料__3[[#This Row],[上班時間]])</f>
        <v>0</v>
      </c>
      <c r="O3247" s="31" t="str">
        <f>IF(交易處理資料__3[[#This Row],[上班時間]]=0,"否","是")</f>
        <v>否</v>
      </c>
    </row>
    <row r="3248" spans="1:15" hidden="1">
      <c r="A3248" t="s">
        <v>74</v>
      </c>
      <c r="B3248" t="s">
        <v>13</v>
      </c>
      <c r="C3248">
        <v>0</v>
      </c>
      <c r="D3248">
        <v>0</v>
      </c>
      <c r="E3248" s="27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 s="9">
        <v>45375</v>
      </c>
      <c r="L3248">
        <f xml:space="preserve"> (交易處理資料__3[[#This Row],[售出工時]] * 60) / 5</f>
        <v>0</v>
      </c>
      <c r="M3248" t="str">
        <f>VLOOKUP(交易處理資料__3[[#This Row],[人員代號]],團隊分組!$B$1:$C$52,2,FALSE)</f>
        <v>鈑金維修組</v>
      </c>
      <c r="N3248">
        <f>IF(交易處理資料__3[[#This Row],[上班時間]]=0,0,交易處理資料__3[[#This Row],[售出工時]]/交易處理資料__3[[#This Row],[上班時間]])</f>
        <v>0</v>
      </c>
      <c r="O3248" s="31" t="str">
        <f>IF(交易處理資料__3[[#This Row],[上班時間]]=0,"否","是")</f>
        <v>否</v>
      </c>
    </row>
    <row r="3249" spans="1:15" hidden="1">
      <c r="A3249" t="s">
        <v>74</v>
      </c>
      <c r="B3249" t="s">
        <v>14</v>
      </c>
      <c r="C3249">
        <v>0</v>
      </c>
      <c r="D3249">
        <v>0</v>
      </c>
      <c r="E3249" s="27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 s="9">
        <v>45375</v>
      </c>
      <c r="L3249">
        <f xml:space="preserve"> (交易處理資料__3[[#This Row],[售出工時]] * 60) / 5</f>
        <v>0</v>
      </c>
      <c r="M3249" t="str">
        <f>VLOOKUP(交易處理資料__3[[#This Row],[人員代號]],團隊分組!$B$1:$C$52,2,FALSE)</f>
        <v>鈑金維修組</v>
      </c>
      <c r="N3249">
        <f>IF(交易處理資料__3[[#This Row],[上班時間]]=0,0,交易處理資料__3[[#This Row],[售出工時]]/交易處理資料__3[[#This Row],[上班時間]])</f>
        <v>0</v>
      </c>
      <c r="O3249" s="31" t="str">
        <f>IF(交易處理資料__3[[#This Row],[上班時間]]=0,"否","是")</f>
        <v>否</v>
      </c>
    </row>
    <row r="3250" spans="1:15" hidden="1">
      <c r="A3250" t="s">
        <v>74</v>
      </c>
      <c r="B3250" t="s">
        <v>15</v>
      </c>
      <c r="C3250">
        <v>0</v>
      </c>
      <c r="D3250">
        <v>0</v>
      </c>
      <c r="E3250" s="27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 s="9">
        <v>45375</v>
      </c>
      <c r="L3250">
        <f xml:space="preserve"> (交易處理資料__3[[#This Row],[售出工時]] * 60) / 5</f>
        <v>0</v>
      </c>
      <c r="M3250" t="str">
        <f>VLOOKUP(交易處理資料__3[[#This Row],[人員代號]],團隊分組!$B$1:$C$52,2,FALSE)</f>
        <v>鈑金維修組</v>
      </c>
      <c r="N3250">
        <f>IF(交易處理資料__3[[#This Row],[上班時間]]=0,0,交易處理資料__3[[#This Row],[售出工時]]/交易處理資料__3[[#This Row],[上班時間]])</f>
        <v>0</v>
      </c>
      <c r="O3250" s="31" t="str">
        <f>IF(交易處理資料__3[[#This Row],[上班時間]]=0,"否","是")</f>
        <v>否</v>
      </c>
    </row>
    <row r="3251" spans="1:15" hidden="1">
      <c r="A3251" t="s">
        <v>75</v>
      </c>
      <c r="B3251" t="s">
        <v>17</v>
      </c>
      <c r="C3251">
        <v>0</v>
      </c>
      <c r="D3251">
        <v>0</v>
      </c>
      <c r="E3251" s="27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 s="9">
        <v>45375</v>
      </c>
      <c r="L3251">
        <f xml:space="preserve"> (交易處理資料__3[[#This Row],[售出工時]] * 60) / 5</f>
        <v>0</v>
      </c>
      <c r="M3251" t="str">
        <f>VLOOKUP(交易處理資料__3[[#This Row],[人員代號]],團隊分組!$B$1:$C$52,2,FALSE)</f>
        <v>快速保養團隊A</v>
      </c>
      <c r="N3251">
        <f>IF(交易處理資料__3[[#This Row],[上班時間]]=0,0,交易處理資料__3[[#This Row],[售出工時]]/交易處理資料__3[[#This Row],[上班時間]])</f>
        <v>0</v>
      </c>
      <c r="O3251" s="31" t="str">
        <f>IF(交易處理資料__3[[#This Row],[上班時間]]=0,"否","是")</f>
        <v>否</v>
      </c>
    </row>
    <row r="3252" spans="1:15" hidden="1">
      <c r="A3252" t="s">
        <v>75</v>
      </c>
      <c r="B3252" t="s">
        <v>18</v>
      </c>
      <c r="C3252">
        <v>0</v>
      </c>
      <c r="D3252">
        <v>0</v>
      </c>
      <c r="E3252" s="27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 s="9">
        <v>45375</v>
      </c>
      <c r="L3252">
        <f xml:space="preserve"> (交易處理資料__3[[#This Row],[售出工時]] * 60) / 5</f>
        <v>0</v>
      </c>
      <c r="M3252" t="str">
        <f>VLOOKUP(交易處理資料__3[[#This Row],[人員代號]],團隊分組!$B$1:$C$52,2,FALSE)</f>
        <v>查修團隊B</v>
      </c>
      <c r="N3252">
        <f>IF(交易處理資料__3[[#This Row],[上班時間]]=0,0,交易處理資料__3[[#This Row],[售出工時]]/交易處理資料__3[[#This Row],[上班時間]])</f>
        <v>0</v>
      </c>
      <c r="O3252" s="31" t="str">
        <f>IF(交易處理資料__3[[#This Row],[上班時間]]=0,"否","是")</f>
        <v>否</v>
      </c>
    </row>
    <row r="3253" spans="1:15" hidden="1">
      <c r="A3253" t="s">
        <v>75</v>
      </c>
      <c r="B3253" t="s">
        <v>19</v>
      </c>
      <c r="C3253">
        <v>0</v>
      </c>
      <c r="D3253">
        <v>0</v>
      </c>
      <c r="E3253" s="27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 s="9">
        <v>45375</v>
      </c>
      <c r="L3253">
        <f xml:space="preserve"> (交易處理資料__3[[#This Row],[售出工時]] * 60) / 5</f>
        <v>0</v>
      </c>
      <c r="M3253" t="str">
        <f>VLOOKUP(交易處理資料__3[[#This Row],[人員代號]],團隊分組!$B$1:$C$52,2,FALSE)</f>
        <v>查修團隊A</v>
      </c>
      <c r="N3253">
        <f>IF(交易處理資料__3[[#This Row],[上班時間]]=0,0,交易處理資料__3[[#This Row],[售出工時]]/交易處理資料__3[[#This Row],[上班時間]])</f>
        <v>0</v>
      </c>
      <c r="O3253" s="31" t="str">
        <f>IF(交易處理資料__3[[#This Row],[上班時間]]=0,"否","是")</f>
        <v>否</v>
      </c>
    </row>
    <row r="3254" spans="1:15" hidden="1">
      <c r="A3254" t="s">
        <v>75</v>
      </c>
      <c r="B3254" t="s">
        <v>20</v>
      </c>
      <c r="C3254">
        <v>0</v>
      </c>
      <c r="D3254">
        <v>0</v>
      </c>
      <c r="E3254" s="27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 s="9">
        <v>45375</v>
      </c>
      <c r="L3254">
        <f xml:space="preserve"> (交易處理資料__3[[#This Row],[售出工時]] * 60) / 5</f>
        <v>0</v>
      </c>
      <c r="M3254" t="str">
        <f>VLOOKUP(交易處理資料__3[[#This Row],[人員代號]],團隊分組!$B$1:$C$52,2,FALSE)</f>
        <v>查修團隊B</v>
      </c>
      <c r="N3254">
        <f>IF(交易處理資料__3[[#This Row],[上班時間]]=0,0,交易處理資料__3[[#This Row],[售出工時]]/交易處理資料__3[[#This Row],[上班時間]])</f>
        <v>0</v>
      </c>
      <c r="O3254" s="31" t="str">
        <f>IF(交易處理資料__3[[#This Row],[上班時間]]=0,"否","是")</f>
        <v>否</v>
      </c>
    </row>
    <row r="3255" spans="1:15" hidden="1">
      <c r="A3255" t="s">
        <v>75</v>
      </c>
      <c r="B3255" t="s">
        <v>21</v>
      </c>
      <c r="C3255">
        <v>0</v>
      </c>
      <c r="D3255">
        <v>0</v>
      </c>
      <c r="E3255" s="27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 s="9">
        <v>45375</v>
      </c>
      <c r="L3255">
        <f xml:space="preserve"> (交易處理資料__3[[#This Row],[售出工時]] * 60) / 5</f>
        <v>0</v>
      </c>
      <c r="M3255" t="str">
        <f>VLOOKUP(交易處理資料__3[[#This Row],[人員代號]],團隊分組!$B$1:$C$52,2,FALSE)</f>
        <v>查修團隊B</v>
      </c>
      <c r="N3255">
        <f>IF(交易處理資料__3[[#This Row],[上班時間]]=0,0,交易處理資料__3[[#This Row],[售出工時]]/交易處理資料__3[[#This Row],[上班時間]])</f>
        <v>0</v>
      </c>
      <c r="O3255" s="31" t="str">
        <f>IF(交易處理資料__3[[#This Row],[上班時間]]=0,"否","是")</f>
        <v>否</v>
      </c>
    </row>
    <row r="3256" spans="1:15" hidden="1">
      <c r="A3256" t="s">
        <v>75</v>
      </c>
      <c r="B3256" t="s">
        <v>22</v>
      </c>
      <c r="C3256">
        <v>0</v>
      </c>
      <c r="D3256">
        <v>0</v>
      </c>
      <c r="E3256" s="27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 s="9">
        <v>45375</v>
      </c>
      <c r="L3256">
        <f xml:space="preserve"> (交易處理資料__3[[#This Row],[售出工時]] * 60) / 5</f>
        <v>0</v>
      </c>
      <c r="M3256" t="str">
        <f>VLOOKUP(交易處理資料__3[[#This Row],[人員代號]],團隊分組!$B$1:$C$52,2,FALSE)</f>
        <v>快速保養團隊A</v>
      </c>
      <c r="N3256">
        <f>IF(交易處理資料__3[[#This Row],[上班時間]]=0,0,交易處理資料__3[[#This Row],[售出工時]]/交易處理資料__3[[#This Row],[上班時間]])</f>
        <v>0</v>
      </c>
      <c r="O3256" s="31" t="str">
        <f>IF(交易處理資料__3[[#This Row],[上班時間]]=0,"否","是")</f>
        <v>否</v>
      </c>
    </row>
    <row r="3257" spans="1:15" hidden="1">
      <c r="A3257" t="s">
        <v>75</v>
      </c>
      <c r="B3257" t="s">
        <v>23</v>
      </c>
      <c r="C3257">
        <v>0</v>
      </c>
      <c r="D3257">
        <v>0</v>
      </c>
      <c r="E3257" s="2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 s="9">
        <v>45375</v>
      </c>
      <c r="L3257">
        <f xml:space="preserve"> (交易處理資料__3[[#This Row],[售出工時]] * 60) / 5</f>
        <v>0</v>
      </c>
      <c r="M3257" t="str">
        <f>VLOOKUP(交易處理資料__3[[#This Row],[人員代號]],團隊分組!$B$1:$C$52,2,FALSE)</f>
        <v>快速保養團隊B</v>
      </c>
      <c r="N3257">
        <f>IF(交易處理資料__3[[#This Row],[上班時間]]=0,0,交易處理資料__3[[#This Row],[售出工時]]/交易處理資料__3[[#This Row],[上班時間]])</f>
        <v>0</v>
      </c>
      <c r="O3257" s="31" t="str">
        <f>IF(交易處理資料__3[[#This Row],[上班時間]]=0,"否","是")</f>
        <v>否</v>
      </c>
    </row>
    <row r="3258" spans="1:15" hidden="1">
      <c r="A3258" t="s">
        <v>75</v>
      </c>
      <c r="B3258" t="s">
        <v>24</v>
      </c>
      <c r="C3258">
        <v>0</v>
      </c>
      <c r="D3258">
        <v>0</v>
      </c>
      <c r="E3258" s="27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 s="9">
        <v>45375</v>
      </c>
      <c r="L3258">
        <f xml:space="preserve"> (交易處理資料__3[[#This Row],[售出工時]] * 60) / 5</f>
        <v>0</v>
      </c>
      <c r="M3258" t="str">
        <f>VLOOKUP(交易處理資料__3[[#This Row],[人員代號]],團隊分組!$B$1:$C$52,2,FALSE)</f>
        <v>快速保養團隊A</v>
      </c>
      <c r="N3258">
        <f>IF(交易處理資料__3[[#This Row],[上班時間]]=0,0,交易處理資料__3[[#This Row],[售出工時]]/交易處理資料__3[[#This Row],[上班時間]])</f>
        <v>0</v>
      </c>
      <c r="O3258" s="31" t="str">
        <f>IF(交易處理資料__3[[#This Row],[上班時間]]=0,"否","是")</f>
        <v>否</v>
      </c>
    </row>
    <row r="3259" spans="1:15" hidden="1">
      <c r="A3259" t="s">
        <v>75</v>
      </c>
      <c r="B3259" t="s">
        <v>25</v>
      </c>
      <c r="C3259">
        <v>0</v>
      </c>
      <c r="D3259">
        <v>0</v>
      </c>
      <c r="E3259" s="27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 s="9">
        <v>45375</v>
      </c>
      <c r="L3259">
        <f xml:space="preserve"> (交易處理資料__3[[#This Row],[售出工時]] * 60) / 5</f>
        <v>0</v>
      </c>
      <c r="M3259" t="str">
        <f>VLOOKUP(交易處理資料__3[[#This Row],[人員代號]],團隊分組!$B$1:$C$52,2,FALSE)</f>
        <v>查修團隊A</v>
      </c>
      <c r="N3259">
        <f>IF(交易處理資料__3[[#This Row],[上班時間]]=0,0,交易處理資料__3[[#This Row],[售出工時]]/交易處理資料__3[[#This Row],[上班時間]])</f>
        <v>0</v>
      </c>
      <c r="O3259" s="31" t="str">
        <f>IF(交易處理資料__3[[#This Row],[上班時間]]=0,"否","是")</f>
        <v>否</v>
      </c>
    </row>
    <row r="3260" spans="1:15" hidden="1">
      <c r="A3260" t="s">
        <v>75</v>
      </c>
      <c r="B3260" t="s">
        <v>26</v>
      </c>
      <c r="C3260">
        <v>0</v>
      </c>
      <c r="D3260">
        <v>0</v>
      </c>
      <c r="E3260" s="27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 s="9">
        <v>45375</v>
      </c>
      <c r="L3260">
        <f xml:space="preserve"> (交易處理資料__3[[#This Row],[售出工時]] * 60) / 5</f>
        <v>0</v>
      </c>
      <c r="M3260" t="str">
        <f>VLOOKUP(交易處理資料__3[[#This Row],[人員代號]],團隊分組!$B$1:$C$52,2,FALSE)</f>
        <v>查修團隊B</v>
      </c>
      <c r="N3260">
        <f>IF(交易處理資料__3[[#This Row],[上班時間]]=0,0,交易處理資料__3[[#This Row],[售出工時]]/交易處理資料__3[[#This Row],[上班時間]])</f>
        <v>0</v>
      </c>
      <c r="O3260" s="31" t="str">
        <f>IF(交易處理資料__3[[#This Row],[上班時間]]=0,"否","是")</f>
        <v>否</v>
      </c>
    </row>
    <row r="3261" spans="1:15" hidden="1">
      <c r="A3261" t="s">
        <v>75</v>
      </c>
      <c r="B3261" t="s">
        <v>27</v>
      </c>
      <c r="C3261">
        <v>0</v>
      </c>
      <c r="D3261">
        <v>0</v>
      </c>
      <c r="E3261" s="27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 s="9">
        <v>45375</v>
      </c>
      <c r="L3261">
        <f xml:space="preserve"> (交易處理資料__3[[#This Row],[售出工時]] * 60) / 5</f>
        <v>0</v>
      </c>
      <c r="M3261" t="str">
        <f>VLOOKUP(交易處理資料__3[[#This Row],[人員代號]],團隊分組!$B$1:$C$52,2,FALSE)</f>
        <v>快速保養團隊B</v>
      </c>
      <c r="N3261">
        <f>IF(交易處理資料__3[[#This Row],[上班時間]]=0,0,交易處理資料__3[[#This Row],[售出工時]]/交易處理資料__3[[#This Row],[上班時間]])</f>
        <v>0</v>
      </c>
      <c r="O3261" s="31" t="str">
        <f>IF(交易處理資料__3[[#This Row],[上班時間]]=0,"否","是")</f>
        <v>否</v>
      </c>
    </row>
    <row r="3262" spans="1:15" hidden="1">
      <c r="A3262" t="s">
        <v>75</v>
      </c>
      <c r="B3262" t="s">
        <v>28</v>
      </c>
      <c r="C3262">
        <v>0</v>
      </c>
      <c r="D3262">
        <v>0</v>
      </c>
      <c r="E3262" s="27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 s="9">
        <v>45375</v>
      </c>
      <c r="L3262">
        <f xml:space="preserve"> (交易處理資料__3[[#This Row],[售出工時]] * 60) / 5</f>
        <v>0</v>
      </c>
      <c r="M3262" t="str">
        <f>VLOOKUP(交易處理資料__3[[#This Row],[人員代號]],團隊分組!$B$1:$C$52,2,FALSE)</f>
        <v>快速保養團隊A</v>
      </c>
      <c r="N3262">
        <f>IF(交易處理資料__3[[#This Row],[上班時間]]=0,0,交易處理資料__3[[#This Row],[售出工時]]/交易處理資料__3[[#This Row],[上班時間]])</f>
        <v>0</v>
      </c>
      <c r="O3262" s="31" t="str">
        <f>IF(交易處理資料__3[[#This Row],[上班時間]]=0,"否","是")</f>
        <v>否</v>
      </c>
    </row>
    <row r="3263" spans="1:15" hidden="1">
      <c r="A3263" t="s">
        <v>75</v>
      </c>
      <c r="B3263" t="s">
        <v>29</v>
      </c>
      <c r="C3263">
        <v>0</v>
      </c>
      <c r="D3263">
        <v>0</v>
      </c>
      <c r="E3263" s="27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 s="9">
        <v>45375</v>
      </c>
      <c r="L3263">
        <f xml:space="preserve"> (交易處理資料__3[[#This Row],[售出工時]] * 60) / 5</f>
        <v>0</v>
      </c>
      <c r="M3263" t="str">
        <f>VLOOKUP(交易處理資料__3[[#This Row],[人員代號]],團隊分組!$B$1:$C$52,2,FALSE)</f>
        <v>查修團隊B</v>
      </c>
      <c r="N3263">
        <f>IF(交易處理資料__3[[#This Row],[上班時間]]=0,0,交易處理資料__3[[#This Row],[售出工時]]/交易處理資料__3[[#This Row],[上班時間]])</f>
        <v>0</v>
      </c>
      <c r="O3263" s="31" t="str">
        <f>IF(交易處理資料__3[[#This Row],[上班時間]]=0,"否","是")</f>
        <v>否</v>
      </c>
    </row>
    <row r="3264" spans="1:15" hidden="1">
      <c r="A3264" t="s">
        <v>75</v>
      </c>
      <c r="B3264" t="s">
        <v>30</v>
      </c>
      <c r="C3264">
        <v>0</v>
      </c>
      <c r="D3264">
        <v>0</v>
      </c>
      <c r="E3264" s="27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 s="9">
        <v>45375</v>
      </c>
      <c r="L3264">
        <f xml:space="preserve"> (交易處理資料__3[[#This Row],[售出工時]] * 60) / 5</f>
        <v>0</v>
      </c>
      <c r="M3264" t="str">
        <f>VLOOKUP(交易處理資料__3[[#This Row],[人員代號]],團隊分組!$B$1:$C$52,2,FALSE)</f>
        <v>快速保養團隊B</v>
      </c>
      <c r="N3264">
        <f>IF(交易處理資料__3[[#This Row],[上班時間]]=0,0,交易處理資料__3[[#This Row],[售出工時]]/交易處理資料__3[[#This Row],[上班時間]])</f>
        <v>0</v>
      </c>
      <c r="O3264" s="31" t="str">
        <f>IF(交易處理資料__3[[#This Row],[上班時間]]=0,"否","是")</f>
        <v>否</v>
      </c>
    </row>
    <row r="3265" spans="1:15" hidden="1">
      <c r="A3265" t="s">
        <v>75</v>
      </c>
      <c r="B3265" t="s">
        <v>32</v>
      </c>
      <c r="C3265">
        <v>0</v>
      </c>
      <c r="D3265">
        <v>0</v>
      </c>
      <c r="E3265" s="27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 s="9">
        <v>45375</v>
      </c>
      <c r="L3265">
        <f xml:space="preserve"> (交易處理資料__3[[#This Row],[售出工時]] * 60) / 5</f>
        <v>0</v>
      </c>
      <c r="M3265" t="str">
        <f>VLOOKUP(交易處理資料__3[[#This Row],[人員代號]],團隊分組!$B$1:$C$52,2,FALSE)</f>
        <v>快速保養團隊B</v>
      </c>
      <c r="N3265">
        <f>IF(交易處理資料__3[[#This Row],[上班時間]]=0,0,交易處理資料__3[[#This Row],[售出工時]]/交易處理資料__3[[#This Row],[上班時間]])</f>
        <v>0</v>
      </c>
      <c r="O3265" s="31" t="str">
        <f>IF(交易處理資料__3[[#This Row],[上班時間]]=0,"否","是")</f>
        <v>否</v>
      </c>
    </row>
    <row r="3266" spans="1:15">
      <c r="A3266" t="s">
        <v>75</v>
      </c>
      <c r="B3266" t="s">
        <v>33</v>
      </c>
      <c r="C3266">
        <v>0</v>
      </c>
      <c r="D3266">
        <v>0</v>
      </c>
      <c r="E3266" s="27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 s="9">
        <v>45375</v>
      </c>
      <c r="L3266">
        <f xml:space="preserve"> (交易處理資料__3[[#This Row],[售出工時]] * 60) / 5</f>
        <v>0</v>
      </c>
      <c r="M3266" t="str">
        <f>VLOOKUP(交易處理資料__3[[#This Row],[人員代號]],團隊分組!$B$1:$C$52,2,FALSE)</f>
        <v>快速保養團隊B</v>
      </c>
      <c r="N3266">
        <f>IF(交易處理資料__3[[#This Row],[上班時間]]=0,0,交易處理資料__3[[#This Row],[售出工時]]/交易處理資料__3[[#This Row],[上班時間]])</f>
        <v>0</v>
      </c>
      <c r="O3266" s="31" t="str">
        <f>IF(交易處理資料__3[[#This Row],[上班時間]]=0,"否","是")</f>
        <v>否</v>
      </c>
    </row>
    <row r="3267" spans="1:15" hidden="1">
      <c r="A3267" t="s">
        <v>75</v>
      </c>
      <c r="B3267" t="s">
        <v>34</v>
      </c>
      <c r="C3267">
        <v>0</v>
      </c>
      <c r="D3267">
        <v>0</v>
      </c>
      <c r="E3267" s="2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 s="9">
        <v>45375</v>
      </c>
      <c r="L3267">
        <f xml:space="preserve"> (交易處理資料__3[[#This Row],[售出工時]] * 60) / 5</f>
        <v>0</v>
      </c>
      <c r="M3267" t="str">
        <f>VLOOKUP(交易處理資料__3[[#This Row],[人員代號]],團隊分組!$B$1:$C$52,2,FALSE)</f>
        <v>快速保養團隊A</v>
      </c>
      <c r="N3267">
        <f>IF(交易處理資料__3[[#This Row],[上班時間]]=0,0,交易處理資料__3[[#This Row],[售出工時]]/交易處理資料__3[[#This Row],[上班時間]])</f>
        <v>0</v>
      </c>
      <c r="O3267" s="31" t="str">
        <f>IF(交易處理資料__3[[#This Row],[上班時間]]=0,"否","是")</f>
        <v>否</v>
      </c>
    </row>
    <row r="3268" spans="1:15" hidden="1">
      <c r="A3268" t="s">
        <v>75</v>
      </c>
      <c r="B3268" t="s">
        <v>35</v>
      </c>
      <c r="C3268">
        <v>0</v>
      </c>
      <c r="D3268">
        <v>0</v>
      </c>
      <c r="E3268" s="27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 s="9">
        <v>45375</v>
      </c>
      <c r="L3268">
        <f xml:space="preserve"> (交易處理資料__3[[#This Row],[售出工時]] * 60) / 5</f>
        <v>0</v>
      </c>
      <c r="M3268" t="str">
        <f>VLOOKUP(交易處理資料__3[[#This Row],[人員代號]],團隊分組!$B$1:$C$52,2,FALSE)</f>
        <v>查修團隊B</v>
      </c>
      <c r="N3268">
        <f>IF(交易處理資料__3[[#This Row],[上班時間]]=0,0,交易處理資料__3[[#This Row],[售出工時]]/交易處理資料__3[[#This Row],[上班時間]])</f>
        <v>0</v>
      </c>
      <c r="O3268" s="31" t="str">
        <f>IF(交易處理資料__3[[#This Row],[上班時間]]=0,"否","是")</f>
        <v>否</v>
      </c>
    </row>
    <row r="3269" spans="1:15" hidden="1">
      <c r="A3269" t="s">
        <v>75</v>
      </c>
      <c r="B3269" t="s">
        <v>36</v>
      </c>
      <c r="C3269">
        <v>0</v>
      </c>
      <c r="D3269">
        <v>0</v>
      </c>
      <c r="E3269" s="27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 s="9">
        <v>45375</v>
      </c>
      <c r="L3269">
        <f xml:space="preserve"> (交易處理資料__3[[#This Row],[售出工時]] * 60) / 5</f>
        <v>0</v>
      </c>
      <c r="M3269" t="str">
        <f>VLOOKUP(交易處理資料__3[[#This Row],[人員代號]],團隊分組!$B$1:$C$52,2,FALSE)</f>
        <v>查修團隊B</v>
      </c>
      <c r="N3269">
        <f>IF(交易處理資料__3[[#This Row],[上班時間]]=0,0,交易處理資料__3[[#This Row],[售出工時]]/交易處理資料__3[[#This Row],[上班時間]])</f>
        <v>0</v>
      </c>
      <c r="O3269" s="31" t="str">
        <f>IF(交易處理資料__3[[#This Row],[上班時間]]=0,"否","是")</f>
        <v>否</v>
      </c>
    </row>
    <row r="3270" spans="1:15" hidden="1">
      <c r="A3270" t="s">
        <v>75</v>
      </c>
      <c r="B3270" t="s">
        <v>37</v>
      </c>
      <c r="C3270">
        <v>0</v>
      </c>
      <c r="D3270">
        <v>0</v>
      </c>
      <c r="E3270" s="27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 s="9">
        <v>45375</v>
      </c>
      <c r="L3270">
        <f xml:space="preserve"> (交易處理資料__3[[#This Row],[售出工時]] * 60) / 5</f>
        <v>0</v>
      </c>
      <c r="M3270" t="str">
        <f>VLOOKUP(交易處理資料__3[[#This Row],[人員代號]],團隊分組!$B$1:$C$52,2,FALSE)</f>
        <v>查修團隊A</v>
      </c>
      <c r="N3270">
        <f>IF(交易處理資料__3[[#This Row],[上班時間]]=0,0,交易處理資料__3[[#This Row],[售出工時]]/交易處理資料__3[[#This Row],[上班時間]])</f>
        <v>0</v>
      </c>
      <c r="O3270" s="31" t="str">
        <f>IF(交易處理資料__3[[#This Row],[上班時間]]=0,"否","是")</f>
        <v>否</v>
      </c>
    </row>
    <row r="3271" spans="1:15" hidden="1">
      <c r="A3271" t="s">
        <v>75</v>
      </c>
      <c r="B3271" t="s">
        <v>38</v>
      </c>
      <c r="C3271">
        <v>0</v>
      </c>
      <c r="D3271">
        <v>0</v>
      </c>
      <c r="E3271" s="27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 s="9">
        <v>45375</v>
      </c>
      <c r="L3271">
        <f xml:space="preserve"> (交易處理資料__3[[#This Row],[售出工時]] * 60) / 5</f>
        <v>0</v>
      </c>
      <c r="M3271" t="str">
        <f>VLOOKUP(交易處理資料__3[[#This Row],[人員代號]],團隊分組!$B$1:$C$52,2,FALSE)</f>
        <v>快速保養團隊A</v>
      </c>
      <c r="N3271">
        <f>IF(交易處理資料__3[[#This Row],[上班時間]]=0,0,交易處理資料__3[[#This Row],[售出工時]]/交易處理資料__3[[#This Row],[上班時間]])</f>
        <v>0</v>
      </c>
      <c r="O3271" s="31" t="str">
        <f>IF(交易處理資料__3[[#This Row],[上班時間]]=0,"否","是")</f>
        <v>否</v>
      </c>
    </row>
    <row r="3272" spans="1:15" hidden="1">
      <c r="A3272" t="s">
        <v>75</v>
      </c>
      <c r="B3272" t="s">
        <v>39</v>
      </c>
      <c r="C3272">
        <v>0</v>
      </c>
      <c r="D3272">
        <v>0</v>
      </c>
      <c r="E3272" s="27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 s="9">
        <v>45375</v>
      </c>
      <c r="L3272">
        <f xml:space="preserve"> (交易處理資料__3[[#This Row],[售出工時]] * 60) / 5</f>
        <v>0</v>
      </c>
      <c r="M3272" t="str">
        <f>VLOOKUP(交易處理資料__3[[#This Row],[人員代號]],團隊分組!$B$1:$C$52,2,FALSE)</f>
        <v>查修團隊A</v>
      </c>
      <c r="N3272">
        <f>IF(交易處理資料__3[[#This Row],[上班時間]]=0,0,交易處理資料__3[[#This Row],[售出工時]]/交易處理資料__3[[#This Row],[上班時間]])</f>
        <v>0</v>
      </c>
      <c r="O3272" s="31" t="str">
        <f>IF(交易處理資料__3[[#This Row],[上班時間]]=0,"否","是")</f>
        <v>否</v>
      </c>
    </row>
    <row r="3273" spans="1:15" hidden="1">
      <c r="A3273" t="s">
        <v>75</v>
      </c>
      <c r="B3273" t="s">
        <v>40</v>
      </c>
      <c r="C3273">
        <v>0</v>
      </c>
      <c r="D3273">
        <v>0</v>
      </c>
      <c r="E3273" s="27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 s="9">
        <v>45375</v>
      </c>
      <c r="L3273">
        <f xml:space="preserve"> (交易處理資料__3[[#This Row],[售出工時]] * 60) / 5</f>
        <v>0</v>
      </c>
      <c r="M3273" t="str">
        <f>VLOOKUP(交易處理資料__3[[#This Row],[人員代號]],團隊分組!$B$1:$C$52,2,FALSE)</f>
        <v>查修團隊A</v>
      </c>
      <c r="N3273">
        <f>IF(交易處理資料__3[[#This Row],[上班時間]]=0,0,交易處理資料__3[[#This Row],[售出工時]]/交易處理資料__3[[#This Row],[上班時間]])</f>
        <v>0</v>
      </c>
      <c r="O3273" s="31" t="str">
        <f>IF(交易處理資料__3[[#This Row],[上班時間]]=0,"否","是")</f>
        <v>否</v>
      </c>
    </row>
    <row r="3274" spans="1:15" hidden="1">
      <c r="A3274" t="s">
        <v>75</v>
      </c>
      <c r="B3274" t="s">
        <v>41</v>
      </c>
      <c r="C3274">
        <v>0</v>
      </c>
      <c r="D3274">
        <v>0</v>
      </c>
      <c r="E3274" s="27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 s="9">
        <v>45375</v>
      </c>
      <c r="L3274">
        <f xml:space="preserve"> (交易處理資料__3[[#This Row],[售出工時]] * 60) / 5</f>
        <v>0</v>
      </c>
      <c r="M3274" t="str">
        <f>VLOOKUP(交易處理資料__3[[#This Row],[人員代號]],團隊分組!$B$1:$C$52,2,FALSE)</f>
        <v>快速保養團隊A</v>
      </c>
      <c r="N3274">
        <f>IF(交易處理資料__3[[#This Row],[上班時間]]=0,0,交易處理資料__3[[#This Row],[售出工時]]/交易處理資料__3[[#This Row],[上班時間]])</f>
        <v>0</v>
      </c>
      <c r="O3274" s="31" t="str">
        <f>IF(交易處理資料__3[[#This Row],[上班時間]]=0,"否","是")</f>
        <v>否</v>
      </c>
    </row>
    <row r="3275" spans="1:15" hidden="1">
      <c r="A3275" t="s">
        <v>75</v>
      </c>
      <c r="B3275" t="s">
        <v>42</v>
      </c>
      <c r="C3275">
        <v>0</v>
      </c>
      <c r="D3275">
        <v>0</v>
      </c>
      <c r="E3275" s="27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 s="9">
        <v>45375</v>
      </c>
      <c r="L3275">
        <f xml:space="preserve"> (交易處理資料__3[[#This Row],[售出工時]] * 60) / 5</f>
        <v>0</v>
      </c>
      <c r="M3275" t="str">
        <f>VLOOKUP(交易處理資料__3[[#This Row],[人員代號]],團隊分組!$B$1:$C$52,2,FALSE)</f>
        <v>快速保養團隊A</v>
      </c>
      <c r="N3275">
        <f>IF(交易處理資料__3[[#This Row],[上班時間]]=0,0,交易處理資料__3[[#This Row],[售出工時]]/交易處理資料__3[[#This Row],[上班時間]])</f>
        <v>0</v>
      </c>
      <c r="O3275" s="31" t="str">
        <f>IF(交易處理資料__3[[#This Row],[上班時間]]=0,"否","是")</f>
        <v>否</v>
      </c>
    </row>
    <row r="3276" spans="1:15" hidden="1">
      <c r="A3276" t="s">
        <v>75</v>
      </c>
      <c r="B3276" t="s">
        <v>43</v>
      </c>
      <c r="C3276">
        <v>0</v>
      </c>
      <c r="D3276">
        <v>0</v>
      </c>
      <c r="E3276" s="27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 s="9">
        <v>45375</v>
      </c>
      <c r="L3276">
        <f xml:space="preserve"> (交易處理資料__3[[#This Row],[售出工時]] * 60) / 5</f>
        <v>0</v>
      </c>
      <c r="M3276" t="str">
        <f>VLOOKUP(交易處理資料__3[[#This Row],[人員代號]],團隊分組!$B$1:$C$52,2,FALSE)</f>
        <v>查修團隊B</v>
      </c>
      <c r="N3276">
        <f>IF(交易處理資料__3[[#This Row],[上班時間]]=0,0,交易處理資料__3[[#This Row],[售出工時]]/交易處理資料__3[[#This Row],[上班時間]])</f>
        <v>0</v>
      </c>
      <c r="O3276" s="31" t="str">
        <f>IF(交易處理資料__3[[#This Row],[上班時間]]=0,"否","是")</f>
        <v>否</v>
      </c>
    </row>
    <row r="3277" spans="1:15" hidden="1">
      <c r="A3277" t="s">
        <v>75</v>
      </c>
      <c r="B3277" t="s">
        <v>44</v>
      </c>
      <c r="C3277">
        <v>0</v>
      </c>
      <c r="D3277">
        <v>0</v>
      </c>
      <c r="E3277" s="2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 s="9">
        <v>45375</v>
      </c>
      <c r="L3277">
        <f xml:space="preserve"> (交易處理資料__3[[#This Row],[售出工時]] * 60) / 5</f>
        <v>0</v>
      </c>
      <c r="M3277" t="str">
        <f>VLOOKUP(交易處理資料__3[[#This Row],[人員代號]],團隊分組!$B$1:$C$52,2,FALSE)</f>
        <v>快速保養團隊B</v>
      </c>
      <c r="N3277">
        <f>IF(交易處理資料__3[[#This Row],[上班時間]]=0,0,交易處理資料__3[[#This Row],[售出工時]]/交易處理資料__3[[#This Row],[上班時間]])</f>
        <v>0</v>
      </c>
      <c r="O3277" s="31" t="str">
        <f>IF(交易處理資料__3[[#This Row],[上班時間]]=0,"否","是")</f>
        <v>否</v>
      </c>
    </row>
    <row r="3278" spans="1:15" hidden="1">
      <c r="A3278" t="s">
        <v>75</v>
      </c>
      <c r="B3278" t="s">
        <v>45</v>
      </c>
      <c r="C3278">
        <v>0</v>
      </c>
      <c r="D3278">
        <v>0</v>
      </c>
      <c r="E3278" s="27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 s="9">
        <v>45375</v>
      </c>
      <c r="L3278">
        <f xml:space="preserve"> (交易處理資料__3[[#This Row],[售出工時]] * 60) / 5</f>
        <v>0</v>
      </c>
      <c r="M3278" t="str">
        <f>VLOOKUP(交易處理資料__3[[#This Row],[人員代號]],團隊分組!$B$1:$C$52,2,FALSE)</f>
        <v>快速保養團隊A</v>
      </c>
      <c r="N3278">
        <f>IF(交易處理資料__3[[#This Row],[上班時間]]=0,0,交易處理資料__3[[#This Row],[售出工時]]/交易處理資料__3[[#This Row],[上班時間]])</f>
        <v>0</v>
      </c>
      <c r="O3278" s="31" t="str">
        <f>IF(交易處理資料__3[[#This Row],[上班時間]]=0,"否","是")</f>
        <v>否</v>
      </c>
    </row>
    <row r="3279" spans="1:15" hidden="1">
      <c r="A3279" t="s">
        <v>75</v>
      </c>
      <c r="B3279" t="s">
        <v>46</v>
      </c>
      <c r="C3279">
        <v>0</v>
      </c>
      <c r="D3279">
        <v>0</v>
      </c>
      <c r="E3279" s="27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 s="9">
        <v>45375</v>
      </c>
      <c r="L3279">
        <f xml:space="preserve"> (交易處理資料__3[[#This Row],[售出工時]] * 60) / 5</f>
        <v>0</v>
      </c>
      <c r="M3279" t="str">
        <f>VLOOKUP(交易處理資料__3[[#This Row],[人員代號]],團隊分組!$B$1:$C$52,2,FALSE)</f>
        <v>查修團隊B</v>
      </c>
      <c r="N3279">
        <f>IF(交易處理資料__3[[#This Row],[上班時間]]=0,0,交易處理資料__3[[#This Row],[售出工時]]/交易處理資料__3[[#This Row],[上班時間]])</f>
        <v>0</v>
      </c>
      <c r="O3279" s="31" t="str">
        <f>IF(交易處理資料__3[[#This Row],[上班時間]]=0,"否","是")</f>
        <v>否</v>
      </c>
    </row>
    <row r="3280" spans="1:15" hidden="1">
      <c r="A3280" t="s">
        <v>75</v>
      </c>
      <c r="B3280" t="s">
        <v>47</v>
      </c>
      <c r="C3280">
        <v>0</v>
      </c>
      <c r="D3280">
        <v>0</v>
      </c>
      <c r="E3280" s="27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 s="9">
        <v>45375</v>
      </c>
      <c r="L3280">
        <f xml:space="preserve"> (交易處理資料__3[[#This Row],[售出工時]] * 60) / 5</f>
        <v>0</v>
      </c>
      <c r="M3280" t="str">
        <f>VLOOKUP(交易處理資料__3[[#This Row],[人員代號]],團隊分組!$B$1:$C$52,2,FALSE)</f>
        <v>查修團隊B</v>
      </c>
      <c r="N3280">
        <f>IF(交易處理資料__3[[#This Row],[上班時間]]=0,0,交易處理資料__3[[#This Row],[售出工時]]/交易處理資料__3[[#This Row],[上班時間]])</f>
        <v>0</v>
      </c>
      <c r="O3280" s="31" t="str">
        <f>IF(交易處理資料__3[[#This Row],[上班時間]]=0,"否","是")</f>
        <v>否</v>
      </c>
    </row>
    <row r="3281" spans="1:15" hidden="1">
      <c r="A3281" t="s">
        <v>75</v>
      </c>
      <c r="B3281" t="s">
        <v>48</v>
      </c>
      <c r="C3281">
        <v>0</v>
      </c>
      <c r="D3281">
        <v>0</v>
      </c>
      <c r="E3281" s="27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 s="9">
        <v>45375</v>
      </c>
      <c r="L3281">
        <f xml:space="preserve"> (交易處理資料__3[[#This Row],[售出工時]] * 60) / 5</f>
        <v>0</v>
      </c>
      <c r="M3281" t="str">
        <f>VLOOKUP(交易處理資料__3[[#This Row],[人員代號]],團隊分組!$B$1:$C$52,2,FALSE)</f>
        <v>查修團隊A</v>
      </c>
      <c r="N3281">
        <f>IF(交易處理資料__3[[#This Row],[上班時間]]=0,0,交易處理資料__3[[#This Row],[售出工時]]/交易處理資料__3[[#This Row],[上班時間]])</f>
        <v>0</v>
      </c>
      <c r="O3281" s="31" t="str">
        <f>IF(交易處理資料__3[[#This Row],[上班時間]]=0,"否","是")</f>
        <v>否</v>
      </c>
    </row>
    <row r="3282" spans="1:15" hidden="1">
      <c r="A3282" t="s">
        <v>75</v>
      </c>
      <c r="B3282" t="s">
        <v>49</v>
      </c>
      <c r="C3282">
        <v>0</v>
      </c>
      <c r="D3282">
        <v>0</v>
      </c>
      <c r="E3282" s="27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 s="9">
        <v>45375</v>
      </c>
      <c r="L3282">
        <f xml:space="preserve"> (交易處理資料__3[[#This Row],[售出工時]] * 60) / 5</f>
        <v>0</v>
      </c>
      <c r="M3282" t="str">
        <f>VLOOKUP(交易處理資料__3[[#This Row],[人員代號]],團隊分組!$B$1:$C$52,2,FALSE)</f>
        <v>查修團隊A</v>
      </c>
      <c r="N3282">
        <f>IF(交易處理資料__3[[#This Row],[上班時間]]=0,0,交易處理資料__3[[#This Row],[售出工時]]/交易處理資料__3[[#This Row],[上班時間]])</f>
        <v>0</v>
      </c>
      <c r="O3282" s="31" t="str">
        <f>IF(交易處理資料__3[[#This Row],[上班時間]]=0,"否","是")</f>
        <v>否</v>
      </c>
    </row>
    <row r="3283" spans="1:15" hidden="1">
      <c r="A3283" t="s">
        <v>75</v>
      </c>
      <c r="B3283" t="s">
        <v>50</v>
      </c>
      <c r="C3283">
        <v>0</v>
      </c>
      <c r="D3283">
        <v>0</v>
      </c>
      <c r="E3283" s="27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 s="9">
        <v>45375</v>
      </c>
      <c r="L3283">
        <f xml:space="preserve"> (交易處理資料__3[[#This Row],[售出工時]] * 60) / 5</f>
        <v>0</v>
      </c>
      <c r="M3283" t="str">
        <f>VLOOKUP(交易處理資料__3[[#This Row],[人員代號]],團隊分組!$B$1:$C$52,2,FALSE)</f>
        <v>快速保養團隊B</v>
      </c>
      <c r="N3283">
        <f>IF(交易處理資料__3[[#This Row],[上班時間]]=0,0,交易處理資料__3[[#This Row],[售出工時]]/交易處理資料__3[[#This Row],[上班時間]])</f>
        <v>0</v>
      </c>
      <c r="O3283" s="31" t="str">
        <f>IF(交易處理資料__3[[#This Row],[上班時間]]=0,"否","是")</f>
        <v>否</v>
      </c>
    </row>
    <row r="3284" spans="1:15" hidden="1">
      <c r="A3284" t="s">
        <v>75</v>
      </c>
      <c r="B3284" t="s">
        <v>51</v>
      </c>
      <c r="C3284">
        <v>0</v>
      </c>
      <c r="D3284">
        <v>0</v>
      </c>
      <c r="E3284" s="27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 s="9">
        <v>45375</v>
      </c>
      <c r="L3284">
        <f xml:space="preserve"> (交易處理資料__3[[#This Row],[售出工時]] * 60) / 5</f>
        <v>0</v>
      </c>
      <c r="M3284" t="str">
        <f>VLOOKUP(交易處理資料__3[[#This Row],[人員代號]],團隊分組!$B$1:$C$52,2,FALSE)</f>
        <v>無效數據</v>
      </c>
      <c r="N3284">
        <f>IF(交易處理資料__3[[#This Row],[上班時間]]=0,0,交易處理資料__3[[#This Row],[售出工時]]/交易處理資料__3[[#This Row],[上班時間]])</f>
        <v>0</v>
      </c>
      <c r="O3284" s="31" t="str">
        <f>IF(交易處理資料__3[[#This Row],[上班時間]]=0,"否","是")</f>
        <v>否</v>
      </c>
    </row>
    <row r="3285" spans="1:15" hidden="1">
      <c r="A3285" t="s">
        <v>75</v>
      </c>
      <c r="B3285" t="s">
        <v>52</v>
      </c>
      <c r="C3285">
        <v>0</v>
      </c>
      <c r="D3285">
        <v>0</v>
      </c>
      <c r="E3285" s="27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 s="9">
        <v>45375</v>
      </c>
      <c r="L3285">
        <f xml:space="preserve"> (交易處理資料__3[[#This Row],[售出工時]] * 60) / 5</f>
        <v>0</v>
      </c>
      <c r="M3285" t="str">
        <f>VLOOKUP(交易處理資料__3[[#This Row],[人員代號]],團隊分組!$B$1:$C$52,2,FALSE)</f>
        <v>查修團隊B</v>
      </c>
      <c r="N3285">
        <f>IF(交易處理資料__3[[#This Row],[上班時間]]=0,0,交易處理資料__3[[#This Row],[售出工時]]/交易處理資料__3[[#This Row],[上班時間]])</f>
        <v>0</v>
      </c>
      <c r="O3285" s="31" t="str">
        <f>IF(交易處理資料__3[[#This Row],[上班時間]]=0,"否","是")</f>
        <v>否</v>
      </c>
    </row>
    <row r="3286" spans="1:15" hidden="1">
      <c r="A3286" t="s">
        <v>75</v>
      </c>
      <c r="B3286" t="s">
        <v>53</v>
      </c>
      <c r="C3286">
        <v>0</v>
      </c>
      <c r="D3286">
        <v>0</v>
      </c>
      <c r="E3286" s="27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 s="9">
        <v>45375</v>
      </c>
      <c r="L3286">
        <f xml:space="preserve"> (交易處理資料__3[[#This Row],[售出工時]] * 60) / 5</f>
        <v>0</v>
      </c>
      <c r="M3286" t="str">
        <f>VLOOKUP(交易處理資料__3[[#This Row],[人員代號]],團隊分組!$B$1:$C$52,2,FALSE)</f>
        <v>查修團隊A</v>
      </c>
      <c r="N3286">
        <f>IF(交易處理資料__3[[#This Row],[上班時間]]=0,0,交易處理資料__3[[#This Row],[售出工時]]/交易處理資料__3[[#This Row],[上班時間]])</f>
        <v>0</v>
      </c>
      <c r="O3286" s="31" t="str">
        <f>IF(交易處理資料__3[[#This Row],[上班時間]]=0,"否","是")</f>
        <v>否</v>
      </c>
    </row>
    <row r="3287" spans="1:15" hidden="1">
      <c r="A3287" s="10" t="s">
        <v>73</v>
      </c>
      <c r="B3287" t="s">
        <v>1</v>
      </c>
      <c r="C3287">
        <v>0</v>
      </c>
      <c r="D3287">
        <v>0</v>
      </c>
      <c r="E3287" s="27">
        <v>0</v>
      </c>
      <c r="F3287">
        <v>6.95</v>
      </c>
      <c r="G3287">
        <v>1.03</v>
      </c>
      <c r="H3287">
        <v>7.98</v>
      </c>
      <c r="I3287">
        <v>87.09</v>
      </c>
      <c r="J3287">
        <v>0</v>
      </c>
      <c r="K3287" s="9">
        <v>45376</v>
      </c>
      <c r="L3287">
        <f xml:space="preserve"> (交易處理資料__3[[#This Row],[售出工時]] * 60) / 5</f>
        <v>0</v>
      </c>
      <c r="M3287" t="str">
        <f>VLOOKUP(交易處理資料__3[[#This Row],[人員代號]],團隊分組!$B$1:$C$52,2,FALSE)</f>
        <v>噴漆維修組</v>
      </c>
      <c r="N3287">
        <f>IF(交易處理資料__3[[#This Row],[上班時間]]=0,0,交易處理資料__3[[#This Row],[售出工時]]/交易處理資料__3[[#This Row],[上班時間]])</f>
        <v>0</v>
      </c>
      <c r="O3287" s="31" t="str">
        <f>IF(交易處理資料__3[[#This Row],[上班時間]]=0,"否","是")</f>
        <v>是</v>
      </c>
    </row>
    <row r="3288" spans="1:15" hidden="1">
      <c r="A3288" s="10" t="s">
        <v>73</v>
      </c>
      <c r="B3288" t="s">
        <v>2</v>
      </c>
      <c r="C3288">
        <v>1.31</v>
      </c>
      <c r="D3288">
        <v>6.53</v>
      </c>
      <c r="E3288" s="27">
        <v>20.06125574</v>
      </c>
      <c r="F3288">
        <v>6</v>
      </c>
      <c r="G3288">
        <v>1.92</v>
      </c>
      <c r="H3288">
        <v>7.92</v>
      </c>
      <c r="I3288">
        <v>75.760000000000005</v>
      </c>
      <c r="J3288">
        <v>16.54</v>
      </c>
      <c r="K3288" s="9">
        <v>45376</v>
      </c>
      <c r="L3288">
        <f xml:space="preserve"> (交易處理資料__3[[#This Row],[售出工時]] * 60) / 5</f>
        <v>15.720000000000002</v>
      </c>
      <c r="M3288" t="str">
        <f>VLOOKUP(交易處理資料__3[[#This Row],[人員代號]],團隊分組!$B$1:$C$52,2,FALSE)</f>
        <v>噴漆維修組</v>
      </c>
      <c r="N3288">
        <f>IF(交易處理資料__3[[#This Row],[上班時間]]=0,0,交易處理資料__3[[#This Row],[售出工時]]/交易處理資料__3[[#This Row],[上班時間]])</f>
        <v>0.16540404040404041</v>
      </c>
      <c r="O3288" s="31" t="str">
        <f>IF(交易處理資料__3[[#This Row],[上班時間]]=0,"否","是")</f>
        <v>是</v>
      </c>
    </row>
    <row r="3289" spans="1:15" hidden="1">
      <c r="A3289" s="10" t="s">
        <v>73</v>
      </c>
      <c r="B3289" t="s">
        <v>3</v>
      </c>
      <c r="C3289">
        <v>1.31</v>
      </c>
      <c r="D3289">
        <v>6.53</v>
      </c>
      <c r="E3289" s="27">
        <v>20.06125574</v>
      </c>
      <c r="F3289">
        <v>6</v>
      </c>
      <c r="G3289">
        <v>1.93</v>
      </c>
      <c r="H3289">
        <v>7.93</v>
      </c>
      <c r="I3289">
        <v>75.66</v>
      </c>
      <c r="J3289">
        <v>16.52</v>
      </c>
      <c r="K3289" s="9">
        <v>45376</v>
      </c>
      <c r="L3289">
        <f xml:space="preserve"> (交易處理資料__3[[#This Row],[售出工時]] * 60) / 5</f>
        <v>15.720000000000002</v>
      </c>
      <c r="M3289" t="str">
        <f>VLOOKUP(交易處理資料__3[[#This Row],[人員代號]],團隊分組!$B$1:$C$52,2,FALSE)</f>
        <v>噴漆維修組</v>
      </c>
      <c r="N3289">
        <f>IF(交易處理資料__3[[#This Row],[上班時間]]=0,0,交易處理資料__3[[#This Row],[售出工時]]/交易處理資料__3[[#This Row],[上班時間]])</f>
        <v>0.16519546027742751</v>
      </c>
      <c r="O3289" s="31" t="str">
        <f>IF(交易處理資料__3[[#This Row],[上班時間]]=0,"否","是")</f>
        <v>是</v>
      </c>
    </row>
    <row r="3290" spans="1:15" hidden="1">
      <c r="A3290" s="10" t="s">
        <v>73</v>
      </c>
      <c r="B3290" t="s">
        <v>5</v>
      </c>
      <c r="C3290">
        <v>7.16</v>
      </c>
      <c r="D3290">
        <v>5.95</v>
      </c>
      <c r="E3290" s="27">
        <v>120.3361345</v>
      </c>
      <c r="F3290">
        <v>6.93</v>
      </c>
      <c r="G3290">
        <v>0.96</v>
      </c>
      <c r="H3290">
        <v>7.89</v>
      </c>
      <c r="I3290">
        <v>87.83</v>
      </c>
      <c r="J3290">
        <v>90.75</v>
      </c>
      <c r="K3290" s="9">
        <v>45376</v>
      </c>
      <c r="L3290">
        <f xml:space="preserve"> (交易處理資料__3[[#This Row],[售出工時]] * 60) / 5</f>
        <v>85.92</v>
      </c>
      <c r="M3290" t="str">
        <f>VLOOKUP(交易處理資料__3[[#This Row],[人員代號]],團隊分組!$B$1:$C$52,2,FALSE)</f>
        <v>噴漆維修組</v>
      </c>
      <c r="N3290">
        <f>IF(交易處理資料__3[[#This Row],[上班時間]]=0,0,交易處理資料__3[[#This Row],[售出工時]]/交易處理資料__3[[#This Row],[上班時間]])</f>
        <v>0.9074778200253486</v>
      </c>
      <c r="O3290" s="31" t="str">
        <f>IF(交易處理資料__3[[#This Row],[上班時間]]=0,"否","是")</f>
        <v>是</v>
      </c>
    </row>
    <row r="3291" spans="1:15" hidden="1">
      <c r="A3291" s="10" t="s">
        <v>73</v>
      </c>
      <c r="B3291" t="s">
        <v>6</v>
      </c>
      <c r="C3291">
        <v>1.31</v>
      </c>
      <c r="D3291">
        <v>6.53</v>
      </c>
      <c r="E3291" s="27">
        <v>20.06125574</v>
      </c>
      <c r="F3291">
        <v>5.96</v>
      </c>
      <c r="G3291">
        <v>1.94</v>
      </c>
      <c r="H3291">
        <v>7.9</v>
      </c>
      <c r="I3291">
        <v>75.44</v>
      </c>
      <c r="J3291">
        <v>16.579999999999998</v>
      </c>
      <c r="K3291" s="9">
        <v>45376</v>
      </c>
      <c r="L3291">
        <f xml:space="preserve"> (交易處理資料__3[[#This Row],[售出工時]] * 60) / 5</f>
        <v>15.720000000000002</v>
      </c>
      <c r="M3291" t="str">
        <f>VLOOKUP(交易處理資料__3[[#This Row],[人員代號]],團隊分組!$B$1:$C$52,2,FALSE)</f>
        <v>噴漆維修組</v>
      </c>
      <c r="N3291">
        <f>IF(交易處理資料__3[[#This Row],[上班時間]]=0,0,交易處理資料__3[[#This Row],[售出工時]]/交易處理資料__3[[#This Row],[上班時間]])</f>
        <v>0.16582278481012658</v>
      </c>
      <c r="O3291" s="31" t="str">
        <f>IF(交易處理資料__3[[#This Row],[上班時間]]=0,"否","是")</f>
        <v>是</v>
      </c>
    </row>
    <row r="3292" spans="1:15" hidden="1">
      <c r="A3292" s="10" t="s">
        <v>73</v>
      </c>
      <c r="B3292" t="s">
        <v>7</v>
      </c>
      <c r="C3292">
        <v>5.2533333329999996</v>
      </c>
      <c r="D3292">
        <v>6.63</v>
      </c>
      <c r="E3292" s="27">
        <v>79.235796879999995</v>
      </c>
      <c r="F3292">
        <v>7.03</v>
      </c>
      <c r="G3292">
        <v>0.88</v>
      </c>
      <c r="H3292">
        <v>7.91</v>
      </c>
      <c r="I3292">
        <v>88.87</v>
      </c>
      <c r="J3292">
        <v>66.41</v>
      </c>
      <c r="K3292" s="9">
        <v>45376</v>
      </c>
      <c r="L3292">
        <f xml:space="preserve"> (交易處理資料__3[[#This Row],[售出工時]] * 60) / 5</f>
        <v>63.039999995999992</v>
      </c>
      <c r="M3292" t="str">
        <f>VLOOKUP(交易處理資料__3[[#This Row],[人員代號]],團隊分組!$B$1:$C$52,2,FALSE)</f>
        <v>噴漆維修組</v>
      </c>
      <c r="N3292">
        <f>IF(交易處理資料__3[[#This Row],[上班時間]]=0,0,交易處理資料__3[[#This Row],[售出工時]]/交易處理資料__3[[#This Row],[上班時間]])</f>
        <v>0.66413822161820479</v>
      </c>
      <c r="O3292" s="31" t="str">
        <f>IF(交易處理資料__3[[#This Row],[上班時間]]=0,"否","是")</f>
        <v>是</v>
      </c>
    </row>
    <row r="3293" spans="1:15" hidden="1">
      <c r="A3293" s="10" t="s">
        <v>73</v>
      </c>
      <c r="B3293" t="s">
        <v>8</v>
      </c>
      <c r="C3293">
        <v>0</v>
      </c>
      <c r="D3293">
        <v>0</v>
      </c>
      <c r="E3293" s="27">
        <v>0</v>
      </c>
      <c r="F3293">
        <v>6.45</v>
      </c>
      <c r="G3293">
        <v>0.6</v>
      </c>
      <c r="H3293">
        <v>7.05</v>
      </c>
      <c r="I3293">
        <v>91.49</v>
      </c>
      <c r="J3293">
        <v>0</v>
      </c>
      <c r="K3293" s="9">
        <v>45376</v>
      </c>
      <c r="L3293">
        <f xml:space="preserve"> (交易處理資料__3[[#This Row],[售出工時]] * 60) / 5</f>
        <v>0</v>
      </c>
      <c r="M3293" t="str">
        <f>VLOOKUP(交易處理資料__3[[#This Row],[人員代號]],團隊分組!$B$1:$C$52,2,FALSE)</f>
        <v>噴漆維修組</v>
      </c>
      <c r="N3293">
        <f>IF(交易處理資料__3[[#This Row],[上班時間]]=0,0,交易處理資料__3[[#This Row],[售出工時]]/交易處理資料__3[[#This Row],[上班時間]])</f>
        <v>0</v>
      </c>
      <c r="O3293" s="31" t="str">
        <f>IF(交易處理資料__3[[#This Row],[上班時間]]=0,"否","是")</f>
        <v>是</v>
      </c>
    </row>
    <row r="3294" spans="1:15" hidden="1">
      <c r="A3294" t="s">
        <v>74</v>
      </c>
      <c r="B3294" t="s">
        <v>11</v>
      </c>
      <c r="C3294">
        <v>0</v>
      </c>
      <c r="D3294">
        <v>0</v>
      </c>
      <c r="E3294" s="27">
        <v>0</v>
      </c>
      <c r="F3294">
        <v>5.94</v>
      </c>
      <c r="G3294">
        <v>2.08</v>
      </c>
      <c r="H3294">
        <v>8.02</v>
      </c>
      <c r="I3294">
        <v>74.06</v>
      </c>
      <c r="J3294">
        <v>0</v>
      </c>
      <c r="K3294" s="9">
        <v>45376</v>
      </c>
      <c r="L3294">
        <f xml:space="preserve"> (交易處理資料__3[[#This Row],[售出工時]] * 60) / 5</f>
        <v>0</v>
      </c>
      <c r="M3294" t="str">
        <f>VLOOKUP(交易處理資料__3[[#This Row],[人員代號]],團隊分組!$B$1:$C$52,2,FALSE)</f>
        <v>鈑金維修組</v>
      </c>
      <c r="N3294">
        <f>IF(交易處理資料__3[[#This Row],[上班時間]]=0,0,交易處理資料__3[[#This Row],[售出工時]]/交易處理資料__3[[#This Row],[上班時間]])</f>
        <v>0</v>
      </c>
      <c r="O3294" s="31" t="str">
        <f>IF(交易處理資料__3[[#This Row],[上班時間]]=0,"否","是")</f>
        <v>是</v>
      </c>
    </row>
    <row r="3295" spans="1:15" hidden="1">
      <c r="A3295" t="s">
        <v>74</v>
      </c>
      <c r="B3295" t="s">
        <v>12</v>
      </c>
      <c r="C3295">
        <v>6.25</v>
      </c>
      <c r="D3295">
        <v>4.18</v>
      </c>
      <c r="E3295" s="27">
        <v>149.5215311</v>
      </c>
      <c r="F3295">
        <v>6.7</v>
      </c>
      <c r="G3295">
        <v>1.33</v>
      </c>
      <c r="H3295">
        <v>8.0299999999999994</v>
      </c>
      <c r="I3295">
        <v>83.44</v>
      </c>
      <c r="J3295">
        <v>77.83</v>
      </c>
      <c r="K3295" s="9">
        <v>45376</v>
      </c>
      <c r="L3295">
        <f xml:space="preserve"> (交易處理資料__3[[#This Row],[售出工時]] * 60) / 5</f>
        <v>75</v>
      </c>
      <c r="M3295" t="str">
        <f>VLOOKUP(交易處理資料__3[[#This Row],[人員代號]],團隊分組!$B$1:$C$52,2,FALSE)</f>
        <v>鈑金維修組</v>
      </c>
      <c r="N3295">
        <f>IF(交易處理資料__3[[#This Row],[上班時間]]=0,0,交易處理資料__3[[#This Row],[售出工時]]/交易處理資料__3[[#This Row],[上班時間]])</f>
        <v>0.77833125778331269</v>
      </c>
      <c r="O3295" s="31" t="str">
        <f>IF(交易處理資料__3[[#This Row],[上班時間]]=0,"否","是")</f>
        <v>是</v>
      </c>
    </row>
    <row r="3296" spans="1:15" hidden="1">
      <c r="A3296" t="s">
        <v>74</v>
      </c>
      <c r="B3296" t="s">
        <v>13</v>
      </c>
      <c r="C3296">
        <v>11.82</v>
      </c>
      <c r="D3296">
        <v>6.89</v>
      </c>
      <c r="E3296" s="27">
        <v>171.55297530000001</v>
      </c>
      <c r="F3296">
        <v>7.27</v>
      </c>
      <c r="G3296">
        <v>0.77</v>
      </c>
      <c r="H3296">
        <v>8.0399999999999991</v>
      </c>
      <c r="I3296">
        <v>90.42</v>
      </c>
      <c r="J3296">
        <v>147.01</v>
      </c>
      <c r="K3296" s="9">
        <v>45376</v>
      </c>
      <c r="L3296">
        <f xml:space="preserve"> (交易處理資料__3[[#This Row],[售出工時]] * 60) / 5</f>
        <v>141.84</v>
      </c>
      <c r="M3296" t="str">
        <f>VLOOKUP(交易處理資料__3[[#This Row],[人員代號]],團隊分組!$B$1:$C$52,2,FALSE)</f>
        <v>鈑金維修組</v>
      </c>
      <c r="N3296">
        <f>IF(交易處理資料__3[[#This Row],[上班時間]]=0,0,交易處理資料__3[[#This Row],[售出工時]]/交易處理資料__3[[#This Row],[上班時間]])</f>
        <v>1.4701492537313434</v>
      </c>
      <c r="O3296" s="31" t="str">
        <f>IF(交易處理資料__3[[#This Row],[上班時間]]=0,"否","是")</f>
        <v>是</v>
      </c>
    </row>
    <row r="3297" spans="1:15" hidden="1">
      <c r="A3297" t="s">
        <v>75</v>
      </c>
      <c r="B3297" t="s">
        <v>17</v>
      </c>
      <c r="C3297">
        <v>6.5433333329999996</v>
      </c>
      <c r="D3297">
        <v>5.25</v>
      </c>
      <c r="E3297" s="27">
        <v>124.6349206</v>
      </c>
      <c r="F3297">
        <v>7.28</v>
      </c>
      <c r="G3297">
        <v>0.67</v>
      </c>
      <c r="H3297">
        <v>7.95</v>
      </c>
      <c r="I3297">
        <v>91.57</v>
      </c>
      <c r="J3297">
        <v>82.31</v>
      </c>
      <c r="K3297" s="9">
        <v>45376</v>
      </c>
      <c r="L3297">
        <f xml:space="preserve"> (交易處理資料__3[[#This Row],[售出工時]] * 60) / 5</f>
        <v>78.519999995999996</v>
      </c>
      <c r="M3297" t="str">
        <f>VLOOKUP(交易處理資料__3[[#This Row],[人員代號]],團隊分組!$B$1:$C$52,2,FALSE)</f>
        <v>快速保養團隊A</v>
      </c>
      <c r="N3297">
        <f>IF(交易處理資料__3[[#This Row],[上班時間]]=0,0,交易處理資料__3[[#This Row],[售出工時]]/交易處理資料__3[[#This Row],[上班時間]])</f>
        <v>0.82306079660377351</v>
      </c>
      <c r="O3297" s="31" t="str">
        <f>IF(交易處理資料__3[[#This Row],[上班時間]]=0,"否","是")</f>
        <v>是</v>
      </c>
    </row>
    <row r="3298" spans="1:15" hidden="1">
      <c r="A3298" t="s">
        <v>75</v>
      </c>
      <c r="B3298" t="s">
        <v>19</v>
      </c>
      <c r="C3298">
        <v>0</v>
      </c>
      <c r="D3298">
        <v>0</v>
      </c>
      <c r="E3298" s="27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 s="9">
        <v>45376</v>
      </c>
      <c r="L3298">
        <f xml:space="preserve"> (交易處理資料__3[[#This Row],[售出工時]] * 60) / 5</f>
        <v>0</v>
      </c>
      <c r="M3298" t="str">
        <f>VLOOKUP(交易處理資料__3[[#This Row],[人員代號]],團隊分組!$B$1:$C$52,2,FALSE)</f>
        <v>查修團隊A</v>
      </c>
      <c r="N3298">
        <f>IF(交易處理資料__3[[#This Row],[上班時間]]=0,0,交易處理資料__3[[#This Row],[售出工時]]/交易處理資料__3[[#This Row],[上班時間]])</f>
        <v>0</v>
      </c>
      <c r="O3298" s="31" t="str">
        <f>IF(交易處理資料__3[[#This Row],[上班時間]]=0,"否","是")</f>
        <v>否</v>
      </c>
    </row>
    <row r="3299" spans="1:15" hidden="1">
      <c r="A3299" t="s">
        <v>75</v>
      </c>
      <c r="B3299" t="s">
        <v>21</v>
      </c>
      <c r="C3299">
        <v>0</v>
      </c>
      <c r="D3299">
        <v>0</v>
      </c>
      <c r="E3299" s="27">
        <v>0</v>
      </c>
      <c r="F3299">
        <v>6.58</v>
      </c>
      <c r="G3299">
        <v>1.83</v>
      </c>
      <c r="H3299">
        <v>8.41</v>
      </c>
      <c r="I3299">
        <v>78.239999999999995</v>
      </c>
      <c r="J3299">
        <v>0</v>
      </c>
      <c r="K3299" s="9">
        <v>45376</v>
      </c>
      <c r="L3299">
        <f xml:space="preserve"> (交易處理資料__3[[#This Row],[售出工時]] * 60) / 5</f>
        <v>0</v>
      </c>
      <c r="M3299" t="str">
        <f>VLOOKUP(交易處理資料__3[[#This Row],[人員代號]],團隊分組!$B$1:$C$52,2,FALSE)</f>
        <v>查修團隊B</v>
      </c>
      <c r="N3299">
        <f>IF(交易處理資料__3[[#This Row],[上班時間]]=0,0,交易處理資料__3[[#This Row],[售出工時]]/交易處理資料__3[[#This Row],[上班時間]])</f>
        <v>0</v>
      </c>
      <c r="O3299" s="31" t="str">
        <f>IF(交易處理資料__3[[#This Row],[上班時間]]=0,"否","是")</f>
        <v>是</v>
      </c>
    </row>
    <row r="3300" spans="1:15" hidden="1">
      <c r="A3300" t="s">
        <v>75</v>
      </c>
      <c r="B3300" t="s">
        <v>22</v>
      </c>
      <c r="C3300">
        <v>11.83333333</v>
      </c>
      <c r="D3300">
        <v>5.78</v>
      </c>
      <c r="E3300" s="27">
        <v>204.7289504</v>
      </c>
      <c r="F3300">
        <v>7.34</v>
      </c>
      <c r="G3300">
        <v>0.99</v>
      </c>
      <c r="H3300">
        <v>8.33</v>
      </c>
      <c r="I3300">
        <v>88.12</v>
      </c>
      <c r="J3300">
        <v>142.06</v>
      </c>
      <c r="K3300" s="9">
        <v>45376</v>
      </c>
      <c r="L3300">
        <f xml:space="preserve"> (交易處理資料__3[[#This Row],[售出工時]] * 60) / 5</f>
        <v>141.99999996000003</v>
      </c>
      <c r="M3300" t="str">
        <f>VLOOKUP(交易處理資料__3[[#This Row],[人員代號]],團隊分組!$B$1:$C$52,2,FALSE)</f>
        <v>快速保養團隊A</v>
      </c>
      <c r="N3300">
        <f>IF(交易處理資料__3[[#This Row],[上班時間]]=0,0,交易處理資料__3[[#This Row],[售出工時]]/交易處理資料__3[[#This Row],[上班時間]])</f>
        <v>1.4205682268907562</v>
      </c>
      <c r="O3300" s="31" t="str">
        <f>IF(交易處理資料__3[[#This Row],[上班時間]]=0,"否","是")</f>
        <v>是</v>
      </c>
    </row>
    <row r="3301" spans="1:15" hidden="1">
      <c r="A3301" t="s">
        <v>75</v>
      </c>
      <c r="B3301" t="s">
        <v>23</v>
      </c>
      <c r="C3301">
        <v>6.9</v>
      </c>
      <c r="D3301">
        <v>4.99</v>
      </c>
      <c r="E3301" s="27">
        <v>138.2765531</v>
      </c>
      <c r="F3301">
        <v>10.77</v>
      </c>
      <c r="G3301">
        <v>0.41</v>
      </c>
      <c r="H3301">
        <v>11.18</v>
      </c>
      <c r="I3301">
        <v>96.33</v>
      </c>
      <c r="J3301">
        <v>61.72</v>
      </c>
      <c r="K3301" s="9">
        <v>45376</v>
      </c>
      <c r="L3301">
        <f xml:space="preserve"> (交易處理資料__3[[#This Row],[售出工時]] * 60) / 5</f>
        <v>82.8</v>
      </c>
      <c r="M3301" t="str">
        <f>VLOOKUP(交易處理資料__3[[#This Row],[人員代號]],團隊分組!$B$1:$C$52,2,FALSE)</f>
        <v>快速保養團隊B</v>
      </c>
      <c r="N3301">
        <f>IF(交易處理資料__3[[#This Row],[上班時間]]=0,0,交易處理資料__3[[#This Row],[售出工時]]/交易處理資料__3[[#This Row],[上班時間]])</f>
        <v>0.61717352415026838</v>
      </c>
      <c r="O3301" s="31" t="str">
        <f>IF(交易處理資料__3[[#This Row],[上班時間]]=0,"否","是")</f>
        <v>是</v>
      </c>
    </row>
    <row r="3302" spans="1:15" hidden="1">
      <c r="A3302" t="s">
        <v>75</v>
      </c>
      <c r="B3302" t="s">
        <v>24</v>
      </c>
      <c r="C3302">
        <v>10.446666670000001</v>
      </c>
      <c r="D3302">
        <v>5.44</v>
      </c>
      <c r="E3302" s="27">
        <v>192.03431370000001</v>
      </c>
      <c r="F3302">
        <v>6.28</v>
      </c>
      <c r="G3302">
        <v>0.76</v>
      </c>
      <c r="H3302">
        <v>7.04</v>
      </c>
      <c r="I3302">
        <v>89.2</v>
      </c>
      <c r="J3302">
        <v>148.38999999999999</v>
      </c>
      <c r="K3302" s="9">
        <v>45376</v>
      </c>
      <c r="L3302">
        <f xml:space="preserve"> (交易處理資料__3[[#This Row],[售出工時]] * 60) / 5</f>
        <v>125.36000004</v>
      </c>
      <c r="M3302" t="str">
        <f>VLOOKUP(交易處理資料__3[[#This Row],[人員代號]],團隊分組!$B$1:$C$52,2,FALSE)</f>
        <v>快速保養團隊A</v>
      </c>
      <c r="N3302">
        <f>IF(交易處理資料__3[[#This Row],[上班時間]]=0,0,交易處理資料__3[[#This Row],[售出工時]]/交易處理資料__3[[#This Row],[上班時間]])</f>
        <v>1.4839015156250002</v>
      </c>
      <c r="O3302" s="31" t="str">
        <f>IF(交易處理資料__3[[#This Row],[上班時間]]=0,"否","是")</f>
        <v>是</v>
      </c>
    </row>
    <row r="3303" spans="1:15" hidden="1">
      <c r="A3303" t="s">
        <v>75</v>
      </c>
      <c r="B3303" t="s">
        <v>25</v>
      </c>
      <c r="C3303">
        <v>0</v>
      </c>
      <c r="D3303">
        <v>0</v>
      </c>
      <c r="E3303" s="27">
        <v>0</v>
      </c>
      <c r="F3303">
        <v>6.66</v>
      </c>
      <c r="G3303">
        <v>2.42</v>
      </c>
      <c r="H3303">
        <v>9.08</v>
      </c>
      <c r="I3303">
        <v>73.349999999999994</v>
      </c>
      <c r="J3303">
        <v>0</v>
      </c>
      <c r="K3303" s="9">
        <v>45376</v>
      </c>
      <c r="L3303">
        <f xml:space="preserve"> (交易處理資料__3[[#This Row],[售出工時]] * 60) / 5</f>
        <v>0</v>
      </c>
      <c r="M3303" t="str">
        <f>VLOOKUP(交易處理資料__3[[#This Row],[人員代號]],團隊分組!$B$1:$C$52,2,FALSE)</f>
        <v>查修團隊A</v>
      </c>
      <c r="N3303">
        <f>IF(交易處理資料__3[[#This Row],[上班時間]]=0,0,交易處理資料__3[[#This Row],[售出工時]]/交易處理資料__3[[#This Row],[上班時間]])</f>
        <v>0</v>
      </c>
      <c r="O3303" s="31" t="str">
        <f>IF(交易處理資料__3[[#This Row],[上班時間]]=0,"否","是")</f>
        <v>是</v>
      </c>
    </row>
    <row r="3304" spans="1:15" hidden="1">
      <c r="A3304" t="s">
        <v>75</v>
      </c>
      <c r="B3304" t="s">
        <v>26</v>
      </c>
      <c r="C3304">
        <v>0.66666666699999999</v>
      </c>
      <c r="D3304">
        <v>1.45</v>
      </c>
      <c r="E3304" s="27">
        <v>45.977011490000002</v>
      </c>
      <c r="F3304">
        <v>7.35</v>
      </c>
      <c r="G3304">
        <v>2.96</v>
      </c>
      <c r="H3304">
        <v>10.31</v>
      </c>
      <c r="I3304">
        <v>71.290000000000006</v>
      </c>
      <c r="J3304">
        <v>6.47</v>
      </c>
      <c r="K3304" s="9">
        <v>45376</v>
      </c>
      <c r="L3304">
        <f xml:space="preserve"> (交易處理資料__3[[#This Row],[售出工時]] * 60) / 5</f>
        <v>8.0000000040000003</v>
      </c>
      <c r="M3304" t="str">
        <f>VLOOKUP(交易處理資料__3[[#This Row],[人員代號]],團隊分組!$B$1:$C$52,2,FALSE)</f>
        <v>查修團隊B</v>
      </c>
      <c r="N3304">
        <f>IF(交易處理資料__3[[#This Row],[上班時間]]=0,0,交易處理資料__3[[#This Row],[售出工時]]/交易處理資料__3[[#This Row],[上班時間]])</f>
        <v>6.4662140349175556E-2</v>
      </c>
      <c r="O3304" s="31" t="str">
        <f>IF(交易處理資料__3[[#This Row],[上班時間]]=0,"否","是")</f>
        <v>是</v>
      </c>
    </row>
    <row r="3305" spans="1:15" hidden="1">
      <c r="A3305" t="s">
        <v>75</v>
      </c>
      <c r="B3305" t="s">
        <v>27</v>
      </c>
      <c r="C3305">
        <v>2.8633333329999999</v>
      </c>
      <c r="D3305">
        <v>2.73</v>
      </c>
      <c r="E3305" s="27">
        <v>104.88400489999999</v>
      </c>
      <c r="F3305">
        <v>6.62</v>
      </c>
      <c r="G3305">
        <v>1.35</v>
      </c>
      <c r="H3305">
        <v>7.97</v>
      </c>
      <c r="I3305">
        <v>83.06</v>
      </c>
      <c r="J3305">
        <v>35.93</v>
      </c>
      <c r="K3305" s="9">
        <v>45376</v>
      </c>
      <c r="L3305">
        <f xml:space="preserve"> (交易處理資料__3[[#This Row],[售出工時]] * 60) / 5</f>
        <v>34.359999995999999</v>
      </c>
      <c r="M3305" t="str">
        <f>VLOOKUP(交易處理資料__3[[#This Row],[人員代號]],團隊分組!$B$1:$C$52,2,FALSE)</f>
        <v>快速保養團隊B</v>
      </c>
      <c r="N3305">
        <f>IF(交易處理資料__3[[#This Row],[上班時間]]=0,0,交易處理資料__3[[#This Row],[售出工時]]/交易處理資料__3[[#This Row],[上班時間]])</f>
        <v>0.35926390627352572</v>
      </c>
      <c r="O3305" s="31" t="str">
        <f>IF(交易處理資料__3[[#This Row],[上班時間]]=0,"否","是")</f>
        <v>是</v>
      </c>
    </row>
    <row r="3306" spans="1:15" hidden="1">
      <c r="A3306" t="s">
        <v>75</v>
      </c>
      <c r="B3306" t="s">
        <v>28</v>
      </c>
      <c r="C3306">
        <v>9.6666666669999994</v>
      </c>
      <c r="D3306">
        <v>6.69</v>
      </c>
      <c r="E3306" s="27">
        <v>144.49427009999999</v>
      </c>
      <c r="F3306">
        <v>7.96</v>
      </c>
      <c r="G3306">
        <v>0.23</v>
      </c>
      <c r="H3306">
        <v>8.19</v>
      </c>
      <c r="I3306">
        <v>97.19</v>
      </c>
      <c r="J3306">
        <v>118.03</v>
      </c>
      <c r="K3306" s="9">
        <v>45376</v>
      </c>
      <c r="L3306">
        <f xml:space="preserve"> (交易處理資料__3[[#This Row],[售出工時]] * 60) / 5</f>
        <v>116.000000004</v>
      </c>
      <c r="M3306" t="str">
        <f>VLOOKUP(交易處理資料__3[[#This Row],[人員代號]],團隊分組!$B$1:$C$52,2,FALSE)</f>
        <v>快速保養團隊A</v>
      </c>
      <c r="N3306">
        <f>IF(交易處理資料__3[[#This Row],[上班時間]]=0,0,交易處理資料__3[[#This Row],[售出工時]]/交易處理資料__3[[#This Row],[上班時間]])</f>
        <v>1.1803011803418804</v>
      </c>
      <c r="O3306" s="31" t="str">
        <f>IF(交易處理資料__3[[#This Row],[上班時間]]=0,"否","是")</f>
        <v>是</v>
      </c>
    </row>
    <row r="3307" spans="1:15" hidden="1">
      <c r="A3307" t="s">
        <v>75</v>
      </c>
      <c r="B3307" t="s">
        <v>29</v>
      </c>
      <c r="C3307">
        <v>0</v>
      </c>
      <c r="D3307">
        <v>0</v>
      </c>
      <c r="E3307" s="27">
        <v>0</v>
      </c>
      <c r="F3307">
        <v>5.73</v>
      </c>
      <c r="G3307">
        <v>2.4</v>
      </c>
      <c r="H3307">
        <v>8.1300000000000008</v>
      </c>
      <c r="I3307">
        <v>70.48</v>
      </c>
      <c r="J3307">
        <v>0</v>
      </c>
      <c r="K3307" s="9">
        <v>45376</v>
      </c>
      <c r="L3307">
        <f xml:space="preserve"> (交易處理資料__3[[#This Row],[售出工時]] * 60) / 5</f>
        <v>0</v>
      </c>
      <c r="M3307" t="str">
        <f>VLOOKUP(交易處理資料__3[[#This Row],[人員代號]],團隊分組!$B$1:$C$52,2,FALSE)</f>
        <v>查修團隊B</v>
      </c>
      <c r="N3307">
        <f>IF(交易處理資料__3[[#This Row],[上班時間]]=0,0,交易處理資料__3[[#This Row],[售出工時]]/交易處理資料__3[[#This Row],[上班時間]])</f>
        <v>0</v>
      </c>
      <c r="O3307" s="31" t="str">
        <f>IF(交易處理資料__3[[#This Row],[上班時間]]=0,"否","是")</f>
        <v>是</v>
      </c>
    </row>
    <row r="3308" spans="1:15" hidden="1">
      <c r="A3308" t="s">
        <v>75</v>
      </c>
      <c r="B3308" t="s">
        <v>30</v>
      </c>
      <c r="C3308">
        <v>6.5633333330000001</v>
      </c>
      <c r="D3308">
        <v>3.83</v>
      </c>
      <c r="E3308" s="27">
        <v>171.36640560000001</v>
      </c>
      <c r="F3308">
        <v>6.21</v>
      </c>
      <c r="G3308">
        <v>1.78</v>
      </c>
      <c r="H3308">
        <v>7.99</v>
      </c>
      <c r="I3308">
        <v>77.72</v>
      </c>
      <c r="J3308">
        <v>82.14</v>
      </c>
      <c r="K3308" s="9">
        <v>45376</v>
      </c>
      <c r="L3308">
        <f xml:space="preserve"> (交易處理資料__3[[#This Row],[售出工時]] * 60) / 5</f>
        <v>78.759999996000005</v>
      </c>
      <c r="M3308" t="str">
        <f>VLOOKUP(交易處理資料__3[[#This Row],[人員代號]],團隊分組!$B$1:$C$52,2,FALSE)</f>
        <v>快速保養團隊B</v>
      </c>
      <c r="N3308">
        <f>IF(交易處理資料__3[[#This Row],[上班時間]]=0,0,交易處理資料__3[[#This Row],[售出工時]]/交易處理資料__3[[#This Row],[上班時間]])</f>
        <v>0.82144347096370463</v>
      </c>
      <c r="O3308" s="31" t="str">
        <f>IF(交易處理資料__3[[#This Row],[上班時間]]=0,"否","是")</f>
        <v>是</v>
      </c>
    </row>
    <row r="3309" spans="1:15" hidden="1">
      <c r="A3309" t="s">
        <v>75</v>
      </c>
      <c r="B3309" t="s">
        <v>32</v>
      </c>
      <c r="C3309">
        <v>4.95</v>
      </c>
      <c r="D3309">
        <v>6.01</v>
      </c>
      <c r="E3309" s="27">
        <v>82.362728790000006</v>
      </c>
      <c r="F3309">
        <v>10.68</v>
      </c>
      <c r="G3309">
        <v>0.47</v>
      </c>
      <c r="H3309">
        <v>11.15</v>
      </c>
      <c r="I3309">
        <v>95.78</v>
      </c>
      <c r="J3309">
        <v>44.39</v>
      </c>
      <c r="K3309" s="9">
        <v>45376</v>
      </c>
      <c r="L3309">
        <f xml:space="preserve"> (交易處理資料__3[[#This Row],[售出工時]] * 60) / 5</f>
        <v>59.4</v>
      </c>
      <c r="M3309" t="str">
        <f>VLOOKUP(交易處理資料__3[[#This Row],[人員代號]],團隊分組!$B$1:$C$52,2,FALSE)</f>
        <v>快速保養團隊B</v>
      </c>
      <c r="N3309">
        <f>IF(交易處理資料__3[[#This Row],[上班時間]]=0,0,交易處理資料__3[[#This Row],[售出工時]]/交易處理資料__3[[#This Row],[上班時間]])</f>
        <v>0.44394618834080718</v>
      </c>
      <c r="O3309" s="31" t="str">
        <f>IF(交易處理資料__3[[#This Row],[上班時間]]=0,"否","是")</f>
        <v>是</v>
      </c>
    </row>
    <row r="3310" spans="1:15" hidden="1">
      <c r="A3310" t="s">
        <v>75</v>
      </c>
      <c r="B3310" t="s">
        <v>34</v>
      </c>
      <c r="C3310">
        <v>5.4166666670000003</v>
      </c>
      <c r="D3310">
        <v>3.42</v>
      </c>
      <c r="E3310" s="27">
        <v>158.38206629999999</v>
      </c>
      <c r="F3310">
        <v>9.0399999999999991</v>
      </c>
      <c r="G3310">
        <v>0.57999999999999996</v>
      </c>
      <c r="H3310">
        <v>9.6199999999999992</v>
      </c>
      <c r="I3310">
        <v>93.97</v>
      </c>
      <c r="J3310">
        <v>56.31</v>
      </c>
      <c r="K3310" s="9">
        <v>45376</v>
      </c>
      <c r="L3310">
        <f xml:space="preserve"> (交易處理資料__3[[#This Row],[售出工時]] * 60) / 5</f>
        <v>65.000000004</v>
      </c>
      <c r="M3310" t="str">
        <f>VLOOKUP(交易處理資料__3[[#This Row],[人員代號]],團隊分組!$B$1:$C$52,2,FALSE)</f>
        <v>快速保養團隊A</v>
      </c>
      <c r="N3310">
        <f>IF(交易處理資料__3[[#This Row],[上班時間]]=0,0,交易處理資料__3[[#This Row],[售出工時]]/交易處理資料__3[[#This Row],[上班時間]])</f>
        <v>0.56306306309771315</v>
      </c>
      <c r="O3310" s="31" t="str">
        <f>IF(交易處理資料__3[[#This Row],[上班時間]]=0,"否","是")</f>
        <v>是</v>
      </c>
    </row>
    <row r="3311" spans="1:15" hidden="1">
      <c r="A3311" t="s">
        <v>75</v>
      </c>
      <c r="B3311" t="s">
        <v>35</v>
      </c>
      <c r="C3311">
        <v>2.25</v>
      </c>
      <c r="D3311">
        <v>5.0999999999999996</v>
      </c>
      <c r="E3311" s="27">
        <v>44.117647060000003</v>
      </c>
      <c r="F3311">
        <v>8.8800000000000008</v>
      </c>
      <c r="G3311">
        <v>1.43</v>
      </c>
      <c r="H3311">
        <v>10.31</v>
      </c>
      <c r="I3311">
        <v>86.13</v>
      </c>
      <c r="J3311">
        <v>21.82</v>
      </c>
      <c r="K3311" s="9">
        <v>45376</v>
      </c>
      <c r="L3311">
        <f xml:space="preserve"> (交易處理資料__3[[#This Row],[售出工時]] * 60) / 5</f>
        <v>27</v>
      </c>
      <c r="M3311" t="str">
        <f>VLOOKUP(交易處理資料__3[[#This Row],[人員代號]],團隊分組!$B$1:$C$52,2,FALSE)</f>
        <v>查修團隊B</v>
      </c>
      <c r="N3311">
        <f>IF(交易處理資料__3[[#This Row],[上班時間]]=0,0,交易處理資料__3[[#This Row],[售出工時]]/交易處理資料__3[[#This Row],[上班時間]])</f>
        <v>0.21823472356935014</v>
      </c>
      <c r="O3311" s="31" t="str">
        <f>IF(交易處理資料__3[[#This Row],[上班時間]]=0,"否","是")</f>
        <v>是</v>
      </c>
    </row>
    <row r="3312" spans="1:15" hidden="1">
      <c r="A3312" t="s">
        <v>75</v>
      </c>
      <c r="B3312" t="s">
        <v>36</v>
      </c>
      <c r="C3312">
        <v>5.3766666670000003</v>
      </c>
      <c r="D3312">
        <v>9.91</v>
      </c>
      <c r="E3312" s="27">
        <v>54.25496132</v>
      </c>
      <c r="F3312">
        <v>10.02</v>
      </c>
      <c r="G3312">
        <v>0.31</v>
      </c>
      <c r="H3312">
        <v>10.33</v>
      </c>
      <c r="I3312">
        <v>97</v>
      </c>
      <c r="J3312">
        <v>52.05</v>
      </c>
      <c r="K3312" s="9">
        <v>45376</v>
      </c>
      <c r="L3312">
        <f xml:space="preserve"> (交易處理資料__3[[#This Row],[售出工時]] * 60) / 5</f>
        <v>64.520000004000011</v>
      </c>
      <c r="M3312" t="str">
        <f>VLOOKUP(交易處理資料__3[[#This Row],[人員代號]],團隊分組!$B$1:$C$52,2,FALSE)</f>
        <v>查修團隊B</v>
      </c>
      <c r="N3312">
        <f>IF(交易處理資料__3[[#This Row],[上班時間]]=0,0,交易處理資料__3[[#This Row],[售出工時]]/交易處理資料__3[[#This Row],[上班時間]])</f>
        <v>0.52049048083252669</v>
      </c>
      <c r="O3312" s="31" t="str">
        <f>IF(交易處理資料__3[[#This Row],[上班時間]]=0,"否","是")</f>
        <v>是</v>
      </c>
    </row>
    <row r="3313" spans="1:15" hidden="1">
      <c r="A3313" t="s">
        <v>75</v>
      </c>
      <c r="B3313" t="s">
        <v>37</v>
      </c>
      <c r="C3313">
        <v>2.39</v>
      </c>
      <c r="D3313">
        <v>4.37</v>
      </c>
      <c r="E3313" s="27">
        <v>54.691075509999997</v>
      </c>
      <c r="F3313">
        <v>8.17</v>
      </c>
      <c r="G3313">
        <v>1.84</v>
      </c>
      <c r="H3313">
        <v>10.01</v>
      </c>
      <c r="I3313">
        <v>81.62</v>
      </c>
      <c r="J3313">
        <v>23.88</v>
      </c>
      <c r="K3313" s="9">
        <v>45376</v>
      </c>
      <c r="L3313">
        <f xml:space="preserve"> (交易處理資料__3[[#This Row],[售出工時]] * 60) / 5</f>
        <v>28.68</v>
      </c>
      <c r="M3313" t="str">
        <f>VLOOKUP(交易處理資料__3[[#This Row],[人員代號]],團隊分組!$B$1:$C$52,2,FALSE)</f>
        <v>查修團隊A</v>
      </c>
      <c r="N3313">
        <f>IF(交易處理資料__3[[#This Row],[上班時間]]=0,0,交易處理資料__3[[#This Row],[售出工時]]/交易處理資料__3[[#This Row],[上班時間]])</f>
        <v>0.23876123876123878</v>
      </c>
      <c r="O3313" s="31" t="str">
        <f>IF(交易處理資料__3[[#This Row],[上班時間]]=0,"否","是")</f>
        <v>是</v>
      </c>
    </row>
    <row r="3314" spans="1:15" hidden="1">
      <c r="A3314" t="s">
        <v>75</v>
      </c>
      <c r="B3314" t="s">
        <v>38</v>
      </c>
      <c r="C3314">
        <v>6.5833333329999997</v>
      </c>
      <c r="D3314">
        <v>4.46</v>
      </c>
      <c r="E3314" s="27">
        <v>147.60837069999999</v>
      </c>
      <c r="F3314">
        <v>8.82</v>
      </c>
      <c r="G3314">
        <v>0.68</v>
      </c>
      <c r="H3314">
        <v>9.5</v>
      </c>
      <c r="I3314">
        <v>92.84</v>
      </c>
      <c r="J3314">
        <v>69.3</v>
      </c>
      <c r="K3314" s="9">
        <v>45376</v>
      </c>
      <c r="L3314">
        <f xml:space="preserve"> (交易處理資料__3[[#This Row],[售出工時]] * 60) / 5</f>
        <v>78.999999996</v>
      </c>
      <c r="M3314" t="str">
        <f>VLOOKUP(交易處理資料__3[[#This Row],[人員代號]],團隊分組!$B$1:$C$52,2,FALSE)</f>
        <v>快速保養團隊A</v>
      </c>
      <c r="N3314">
        <f>IF(交易處理資料__3[[#This Row],[上班時間]]=0,0,交易處理資料__3[[#This Row],[售出工時]]/交易處理資料__3[[#This Row],[上班時間]])</f>
        <v>0.6929824561052631</v>
      </c>
      <c r="O3314" s="31" t="str">
        <f>IF(交易處理資料__3[[#This Row],[上班時間]]=0,"否","是")</f>
        <v>是</v>
      </c>
    </row>
    <row r="3315" spans="1:15" hidden="1">
      <c r="A3315" t="s">
        <v>75</v>
      </c>
      <c r="B3315" t="s">
        <v>39</v>
      </c>
      <c r="C3315">
        <v>2</v>
      </c>
      <c r="D3315">
        <v>7.08</v>
      </c>
      <c r="E3315" s="27">
        <v>28.248587570000002</v>
      </c>
      <c r="F3315">
        <v>8.92</v>
      </c>
      <c r="G3315">
        <v>1.65</v>
      </c>
      <c r="H3315">
        <v>10.57</v>
      </c>
      <c r="I3315">
        <v>84.39</v>
      </c>
      <c r="J3315">
        <v>18.920000000000002</v>
      </c>
      <c r="K3315" s="9">
        <v>45376</v>
      </c>
      <c r="L3315">
        <f xml:space="preserve"> (交易處理資料__3[[#This Row],[售出工時]] * 60) / 5</f>
        <v>24</v>
      </c>
      <c r="M3315" t="str">
        <f>VLOOKUP(交易處理資料__3[[#This Row],[人員代號]],團隊分組!$B$1:$C$52,2,FALSE)</f>
        <v>查修團隊A</v>
      </c>
      <c r="N3315">
        <f>IF(交易處理資料__3[[#This Row],[上班時間]]=0,0,交易處理資料__3[[#This Row],[售出工時]]/交易處理資料__3[[#This Row],[上班時間]])</f>
        <v>0.1892147587511826</v>
      </c>
      <c r="O3315" s="31" t="str">
        <f>IF(交易處理資料__3[[#This Row],[上班時間]]=0,"否","是")</f>
        <v>是</v>
      </c>
    </row>
    <row r="3316" spans="1:15" hidden="1">
      <c r="A3316" t="s">
        <v>75</v>
      </c>
      <c r="B3316" t="s">
        <v>40</v>
      </c>
      <c r="C3316">
        <v>3.923333333</v>
      </c>
      <c r="D3316">
        <v>4.38</v>
      </c>
      <c r="E3316" s="27">
        <v>89.573820400000002</v>
      </c>
      <c r="F3316">
        <v>6.78</v>
      </c>
      <c r="G3316">
        <v>2</v>
      </c>
      <c r="H3316">
        <v>8.7799999999999994</v>
      </c>
      <c r="I3316">
        <v>77.22</v>
      </c>
      <c r="J3316">
        <v>44.68</v>
      </c>
      <c r="K3316" s="9">
        <v>45376</v>
      </c>
      <c r="L3316">
        <f xml:space="preserve"> (交易處理資料__3[[#This Row],[售出工時]] * 60) / 5</f>
        <v>47.079999995999998</v>
      </c>
      <c r="M3316" t="str">
        <f>VLOOKUP(交易處理資料__3[[#This Row],[人員代號]],團隊分組!$B$1:$C$52,2,FALSE)</f>
        <v>查修團隊A</v>
      </c>
      <c r="N3316">
        <f>IF(交易處理資料__3[[#This Row],[上班時間]]=0,0,交易處理資料__3[[#This Row],[售出工時]]/交易處理資料__3[[#This Row],[上班時間]])</f>
        <v>0.44684889897494307</v>
      </c>
      <c r="O3316" s="31" t="str">
        <f>IF(交易處理資料__3[[#This Row],[上班時間]]=0,"否","是")</f>
        <v>是</v>
      </c>
    </row>
    <row r="3317" spans="1:15" hidden="1">
      <c r="A3317" t="s">
        <v>75</v>
      </c>
      <c r="B3317" t="s">
        <v>42</v>
      </c>
      <c r="C3317">
        <v>7.8333333329999997</v>
      </c>
      <c r="D3317">
        <v>7.62</v>
      </c>
      <c r="E3317" s="27">
        <v>102.79965</v>
      </c>
      <c r="F3317">
        <v>6.54</v>
      </c>
      <c r="G3317">
        <v>1.52</v>
      </c>
      <c r="H3317">
        <v>8.06</v>
      </c>
      <c r="I3317">
        <v>81.14</v>
      </c>
      <c r="J3317">
        <v>97.19</v>
      </c>
      <c r="K3317" s="9">
        <v>45376</v>
      </c>
      <c r="L3317">
        <f xml:space="preserve"> (交易處理資料__3[[#This Row],[售出工時]] * 60) / 5</f>
        <v>93.999999996</v>
      </c>
      <c r="M3317" t="str">
        <f>VLOOKUP(交易處理資料__3[[#This Row],[人員代號]],團隊分組!$B$1:$C$52,2,FALSE)</f>
        <v>快速保養團隊A</v>
      </c>
      <c r="N3317">
        <f>IF(交易處理資料__3[[#This Row],[上班時間]]=0,0,交易處理資料__3[[#This Row],[售出工時]]/交易處理資料__3[[#This Row],[上班時間]])</f>
        <v>0.97187758473945396</v>
      </c>
      <c r="O3317" s="31" t="str">
        <f>IF(交易處理資料__3[[#This Row],[上班時間]]=0,"否","是")</f>
        <v>是</v>
      </c>
    </row>
    <row r="3318" spans="1:15" hidden="1">
      <c r="A3318" t="s">
        <v>75</v>
      </c>
      <c r="B3318" t="s">
        <v>43</v>
      </c>
      <c r="C3318">
        <v>2.98</v>
      </c>
      <c r="D3318">
        <v>7.71</v>
      </c>
      <c r="E3318" s="27">
        <v>38.651102459999997</v>
      </c>
      <c r="F3318">
        <v>7.69</v>
      </c>
      <c r="G3318">
        <v>0.24</v>
      </c>
      <c r="H3318">
        <v>7.93</v>
      </c>
      <c r="I3318">
        <v>96.97</v>
      </c>
      <c r="J3318">
        <v>37.58</v>
      </c>
      <c r="K3318" s="9">
        <v>45376</v>
      </c>
      <c r="L3318">
        <f xml:space="preserve"> (交易處理資料__3[[#This Row],[售出工時]] * 60) / 5</f>
        <v>35.760000000000005</v>
      </c>
      <c r="M3318" t="str">
        <f>VLOOKUP(交易處理資料__3[[#This Row],[人員代號]],團隊分組!$B$1:$C$52,2,FALSE)</f>
        <v>查修團隊B</v>
      </c>
      <c r="N3318">
        <f>IF(交易處理資料__3[[#This Row],[上班時間]]=0,0,交易處理資料__3[[#This Row],[售出工時]]/交易處理資料__3[[#This Row],[上班時間]])</f>
        <v>0.37578814627994955</v>
      </c>
      <c r="O3318" s="31" t="str">
        <f>IF(交易處理資料__3[[#This Row],[上班時間]]=0,"否","是")</f>
        <v>是</v>
      </c>
    </row>
    <row r="3319" spans="1:15" hidden="1">
      <c r="A3319" t="s">
        <v>75</v>
      </c>
      <c r="B3319" t="s">
        <v>45</v>
      </c>
      <c r="C3319">
        <v>0</v>
      </c>
      <c r="D3319">
        <v>0</v>
      </c>
      <c r="E3319" s="27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 s="9">
        <v>45376</v>
      </c>
      <c r="L3319">
        <f xml:space="preserve"> (交易處理資料__3[[#This Row],[售出工時]] * 60) / 5</f>
        <v>0</v>
      </c>
      <c r="M3319" t="str">
        <f>VLOOKUP(交易處理資料__3[[#This Row],[人員代號]],團隊分組!$B$1:$C$52,2,FALSE)</f>
        <v>快速保養團隊A</v>
      </c>
      <c r="N3319">
        <f>IF(交易處理資料__3[[#This Row],[上班時間]]=0,0,交易處理資料__3[[#This Row],[售出工時]]/交易處理資料__3[[#This Row],[上班時間]])</f>
        <v>0</v>
      </c>
      <c r="O3319" s="31" t="str">
        <f>IF(交易處理資料__3[[#This Row],[上班時間]]=0,"否","是")</f>
        <v>否</v>
      </c>
    </row>
    <row r="3320" spans="1:15" hidden="1">
      <c r="A3320" t="s">
        <v>75</v>
      </c>
      <c r="B3320" t="s">
        <v>47</v>
      </c>
      <c r="C3320">
        <v>3.1666666669999999</v>
      </c>
      <c r="D3320">
        <v>3.89</v>
      </c>
      <c r="E3320" s="27">
        <v>81.405312769999995</v>
      </c>
      <c r="F3320">
        <v>7.43</v>
      </c>
      <c r="G3320">
        <v>0.73</v>
      </c>
      <c r="H3320">
        <v>8.16</v>
      </c>
      <c r="I3320">
        <v>91.05</v>
      </c>
      <c r="J3320">
        <v>38.81</v>
      </c>
      <c r="K3320" s="9">
        <v>45376</v>
      </c>
      <c r="L3320">
        <f xml:space="preserve"> (交易處理資料__3[[#This Row],[售出工時]] * 60) / 5</f>
        <v>38.000000004</v>
      </c>
      <c r="M3320" t="str">
        <f>VLOOKUP(交易處理資料__3[[#This Row],[人員代號]],團隊分組!$B$1:$C$52,2,FALSE)</f>
        <v>查修團隊B</v>
      </c>
      <c r="N3320">
        <f>IF(交易處理資料__3[[#This Row],[上班時間]]=0,0,交易處理資料__3[[#This Row],[售出工時]]/交易處理資料__3[[#This Row],[上班時間]])</f>
        <v>0.38807189546568627</v>
      </c>
      <c r="O3320" s="31" t="str">
        <f>IF(交易處理資料__3[[#This Row],[上班時間]]=0,"否","是")</f>
        <v>是</v>
      </c>
    </row>
    <row r="3321" spans="1:15" hidden="1">
      <c r="A3321" t="s">
        <v>75</v>
      </c>
      <c r="B3321" t="s">
        <v>48</v>
      </c>
      <c r="C3321">
        <v>1.606666667</v>
      </c>
      <c r="D3321">
        <v>4.5599999999999996</v>
      </c>
      <c r="E3321" s="27">
        <v>35.233918129999999</v>
      </c>
      <c r="F3321">
        <v>4.9000000000000004</v>
      </c>
      <c r="G3321">
        <v>3.84</v>
      </c>
      <c r="H3321">
        <v>8.74</v>
      </c>
      <c r="I3321">
        <v>56.06</v>
      </c>
      <c r="J3321">
        <v>18.38</v>
      </c>
      <c r="K3321" s="9">
        <v>45376</v>
      </c>
      <c r="L3321">
        <f xml:space="preserve"> (交易處理資料__3[[#This Row],[售出工時]] * 60) / 5</f>
        <v>19.280000004000001</v>
      </c>
      <c r="M3321" t="str">
        <f>VLOOKUP(交易處理資料__3[[#This Row],[人員代號]],團隊分組!$B$1:$C$52,2,FALSE)</f>
        <v>查修團隊A</v>
      </c>
      <c r="N3321">
        <f>IF(交易處理資料__3[[#This Row],[上班時間]]=0,0,交易處理資料__3[[#This Row],[售出工時]]/交易處理資料__3[[#This Row],[上班時間]])</f>
        <v>0.18382913810068649</v>
      </c>
      <c r="O3321" s="31" t="str">
        <f>IF(交易處理資料__3[[#This Row],[上班時間]]=0,"否","是")</f>
        <v>是</v>
      </c>
    </row>
    <row r="3322" spans="1:15" hidden="1">
      <c r="A3322" t="s">
        <v>75</v>
      </c>
      <c r="B3322" t="s">
        <v>49</v>
      </c>
      <c r="C3322">
        <v>0</v>
      </c>
      <c r="D3322">
        <v>0</v>
      </c>
      <c r="E3322" s="27">
        <v>0</v>
      </c>
      <c r="F3322">
        <v>7.61</v>
      </c>
      <c r="G3322">
        <v>0.86</v>
      </c>
      <c r="H3322">
        <v>8.4700000000000006</v>
      </c>
      <c r="I3322">
        <v>89.85</v>
      </c>
      <c r="J3322">
        <v>0</v>
      </c>
      <c r="K3322" s="9">
        <v>45376</v>
      </c>
      <c r="L3322">
        <f xml:space="preserve"> (交易處理資料__3[[#This Row],[售出工時]] * 60) / 5</f>
        <v>0</v>
      </c>
      <c r="M3322" t="str">
        <f>VLOOKUP(交易處理資料__3[[#This Row],[人員代號]],團隊分組!$B$1:$C$52,2,FALSE)</f>
        <v>查修團隊A</v>
      </c>
      <c r="N3322">
        <f>IF(交易處理資料__3[[#This Row],[上班時間]]=0,0,交易處理資料__3[[#This Row],[售出工時]]/交易處理資料__3[[#This Row],[上班時間]])</f>
        <v>0</v>
      </c>
      <c r="O3322" s="31" t="str">
        <f>IF(交易處理資料__3[[#This Row],[上班時間]]=0,"否","是")</f>
        <v>是</v>
      </c>
    </row>
    <row r="3323" spans="1:15" hidden="1">
      <c r="A3323" t="s">
        <v>75</v>
      </c>
      <c r="B3323" t="s">
        <v>50</v>
      </c>
      <c r="C3323">
        <v>5.52</v>
      </c>
      <c r="D3323">
        <v>4.71</v>
      </c>
      <c r="E3323" s="27">
        <v>117.1974522</v>
      </c>
      <c r="F3323">
        <v>7.64</v>
      </c>
      <c r="G3323">
        <v>0.39</v>
      </c>
      <c r="H3323">
        <v>8.0299999999999994</v>
      </c>
      <c r="I3323">
        <v>95.14</v>
      </c>
      <c r="J3323">
        <v>68.739999999999995</v>
      </c>
      <c r="K3323" s="9">
        <v>45376</v>
      </c>
      <c r="L3323">
        <f xml:space="preserve"> (交易處理資料__3[[#This Row],[售出工時]] * 60) / 5</f>
        <v>66.239999999999995</v>
      </c>
      <c r="M3323" t="str">
        <f>VLOOKUP(交易處理資料__3[[#This Row],[人員代號]],團隊分組!$B$1:$C$52,2,FALSE)</f>
        <v>快速保養團隊B</v>
      </c>
      <c r="N3323">
        <f>IF(交易處理資料__3[[#This Row],[上班時間]]=0,0,交易處理資料__3[[#This Row],[售出工時]]/交易處理資料__3[[#This Row],[上班時間]])</f>
        <v>0.68742216687422164</v>
      </c>
      <c r="O3323" s="31" t="str">
        <f>IF(交易處理資料__3[[#This Row],[上班時間]]=0,"否","是")</f>
        <v>是</v>
      </c>
    </row>
    <row r="3324" spans="1:15" hidden="1">
      <c r="A3324" t="s">
        <v>75</v>
      </c>
      <c r="B3324" t="s">
        <v>51</v>
      </c>
      <c r="C3324">
        <v>0</v>
      </c>
      <c r="D3324">
        <v>0</v>
      </c>
      <c r="E3324" s="27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 s="9">
        <v>45376</v>
      </c>
      <c r="L3324">
        <f xml:space="preserve"> (交易處理資料__3[[#This Row],[售出工時]] * 60) / 5</f>
        <v>0</v>
      </c>
      <c r="M3324" t="str">
        <f>VLOOKUP(交易處理資料__3[[#This Row],[人員代號]],團隊分組!$B$1:$C$52,2,FALSE)</f>
        <v>無效數據</v>
      </c>
      <c r="N3324">
        <f>IF(交易處理資料__3[[#This Row],[上班時間]]=0,0,交易處理資料__3[[#This Row],[售出工時]]/交易處理資料__3[[#This Row],[上班時間]])</f>
        <v>0</v>
      </c>
      <c r="O3324" s="31" t="str">
        <f>IF(交易處理資料__3[[#This Row],[上班時間]]=0,"否","是")</f>
        <v>否</v>
      </c>
    </row>
    <row r="3325" spans="1:15" hidden="1">
      <c r="A3325" t="s">
        <v>75</v>
      </c>
      <c r="B3325" t="s">
        <v>52</v>
      </c>
      <c r="C3325">
        <v>1.8333333329999999</v>
      </c>
      <c r="D3325">
        <v>4.75</v>
      </c>
      <c r="E3325" s="27">
        <v>38.596491229999998</v>
      </c>
      <c r="F3325">
        <v>6.85</v>
      </c>
      <c r="G3325">
        <v>1.29</v>
      </c>
      <c r="H3325">
        <v>8.14</v>
      </c>
      <c r="I3325">
        <v>84.15</v>
      </c>
      <c r="J3325">
        <v>22.52</v>
      </c>
      <c r="K3325" s="9">
        <v>45376</v>
      </c>
      <c r="L3325">
        <f xml:space="preserve"> (交易處理資料__3[[#This Row],[售出工時]] * 60) / 5</f>
        <v>21.999999996</v>
      </c>
      <c r="M3325" t="str">
        <f>VLOOKUP(交易處理資料__3[[#This Row],[人員代號]],團隊分組!$B$1:$C$52,2,FALSE)</f>
        <v>查修團隊B</v>
      </c>
      <c r="N3325">
        <f>IF(交易處理資料__3[[#This Row],[上班時間]]=0,0,交易處理資料__3[[#This Row],[售出工時]]/交易處理資料__3[[#This Row],[上班時間]])</f>
        <v>0.22522522518427515</v>
      </c>
      <c r="O3325" s="31" t="str">
        <f>IF(交易處理資料__3[[#This Row],[上班時間]]=0,"否","是")</f>
        <v>是</v>
      </c>
    </row>
    <row r="3326" spans="1:15" hidden="1">
      <c r="A3326" t="s">
        <v>75</v>
      </c>
      <c r="B3326" t="s">
        <v>53</v>
      </c>
      <c r="C3326">
        <v>5</v>
      </c>
      <c r="D3326">
        <v>5.56</v>
      </c>
      <c r="E3326" s="27">
        <v>89.928057550000005</v>
      </c>
      <c r="F3326">
        <v>8.9</v>
      </c>
      <c r="G3326">
        <v>1.5</v>
      </c>
      <c r="H3326">
        <v>10.4</v>
      </c>
      <c r="I3326">
        <v>85.58</v>
      </c>
      <c r="J3326">
        <v>48.08</v>
      </c>
      <c r="K3326" s="9">
        <v>45376</v>
      </c>
      <c r="L3326">
        <f xml:space="preserve"> (交易處理資料__3[[#This Row],[售出工時]] * 60) / 5</f>
        <v>60</v>
      </c>
      <c r="M3326" t="str">
        <f>VLOOKUP(交易處理資料__3[[#This Row],[人員代號]],團隊分組!$B$1:$C$52,2,FALSE)</f>
        <v>查修團隊A</v>
      </c>
      <c r="N3326">
        <f>IF(交易處理資料__3[[#This Row],[上班時間]]=0,0,交易處理資料__3[[#This Row],[售出工時]]/交易處理資料__3[[#This Row],[上班時間]])</f>
        <v>0.48076923076923073</v>
      </c>
      <c r="O3326" s="31" t="str">
        <f>IF(交易處理資料__3[[#This Row],[上班時間]]=0,"否","是")</f>
        <v>是</v>
      </c>
    </row>
    <row r="3327" spans="1:15" hidden="1">
      <c r="A3327" s="10" t="s">
        <v>73</v>
      </c>
      <c r="B3327" t="s">
        <v>2</v>
      </c>
      <c r="C3327">
        <v>1.1100000000000001</v>
      </c>
      <c r="D3327">
        <v>3.93</v>
      </c>
      <c r="E3327" s="27">
        <v>28.24427481</v>
      </c>
      <c r="F3327">
        <v>10.83</v>
      </c>
      <c r="G3327">
        <v>0.18</v>
      </c>
      <c r="H3327">
        <v>11.01</v>
      </c>
      <c r="I3327">
        <v>98.37</v>
      </c>
      <c r="J3327">
        <v>10.08</v>
      </c>
      <c r="K3327" s="9">
        <v>45377</v>
      </c>
      <c r="L3327">
        <f xml:space="preserve"> (交易處理資料__3[[#This Row],[售出工時]] * 60) / 5</f>
        <v>13.320000000000002</v>
      </c>
      <c r="M3327" t="str">
        <f>VLOOKUP(交易處理資料__3[[#This Row],[人員代號]],團隊分組!$B$1:$C$52,2,FALSE)</f>
        <v>噴漆維修組</v>
      </c>
      <c r="N3327">
        <f>IF(交易處理資料__3[[#This Row],[上班時間]]=0,0,交易處理資料__3[[#This Row],[售出工時]]/交易處理資料__3[[#This Row],[上班時間]])</f>
        <v>0.10081743869209811</v>
      </c>
      <c r="O3327" s="31" t="str">
        <f>IF(交易處理資料__3[[#This Row],[上班時間]]=0,"否","是")</f>
        <v>是</v>
      </c>
    </row>
    <row r="3328" spans="1:15" hidden="1">
      <c r="A3328" s="10" t="s">
        <v>73</v>
      </c>
      <c r="B3328" t="s">
        <v>3</v>
      </c>
      <c r="C3328">
        <v>1.1100000000000001</v>
      </c>
      <c r="D3328">
        <v>3.93</v>
      </c>
      <c r="E3328" s="27">
        <v>28.24427481</v>
      </c>
      <c r="F3328">
        <v>10.83</v>
      </c>
      <c r="G3328">
        <v>0.18</v>
      </c>
      <c r="H3328">
        <v>11.01</v>
      </c>
      <c r="I3328">
        <v>98.37</v>
      </c>
      <c r="J3328">
        <v>10.08</v>
      </c>
      <c r="K3328" s="9">
        <v>45377</v>
      </c>
      <c r="L3328">
        <f xml:space="preserve"> (交易處理資料__3[[#This Row],[售出工時]] * 60) / 5</f>
        <v>13.320000000000002</v>
      </c>
      <c r="M3328" t="str">
        <f>VLOOKUP(交易處理資料__3[[#This Row],[人員代號]],團隊分組!$B$1:$C$52,2,FALSE)</f>
        <v>噴漆維修組</v>
      </c>
      <c r="N3328">
        <f>IF(交易處理資料__3[[#This Row],[上班時間]]=0,0,交易處理資料__3[[#This Row],[售出工時]]/交易處理資料__3[[#This Row],[上班時間]])</f>
        <v>0.10081743869209811</v>
      </c>
      <c r="O3328" s="31" t="str">
        <f>IF(交易處理資料__3[[#This Row],[上班時間]]=0,"否","是")</f>
        <v>是</v>
      </c>
    </row>
    <row r="3329" spans="1:15" hidden="1">
      <c r="A3329" s="10" t="s">
        <v>73</v>
      </c>
      <c r="B3329" t="s">
        <v>4</v>
      </c>
      <c r="C3329">
        <v>2.46</v>
      </c>
      <c r="D3329">
        <v>5.1100000000000003</v>
      </c>
      <c r="E3329" s="27">
        <v>48.140900199999997</v>
      </c>
      <c r="F3329">
        <v>9.35</v>
      </c>
      <c r="G3329">
        <v>0.73</v>
      </c>
      <c r="H3329">
        <v>10.08</v>
      </c>
      <c r="I3329">
        <v>92.76</v>
      </c>
      <c r="J3329">
        <v>24.4</v>
      </c>
      <c r="K3329" s="9">
        <v>45377</v>
      </c>
      <c r="L3329">
        <f xml:space="preserve"> (交易處理資料__3[[#This Row],[售出工時]] * 60) / 5</f>
        <v>29.52</v>
      </c>
      <c r="M3329" t="str">
        <f>VLOOKUP(交易處理資料__3[[#This Row],[人員代號]],團隊分組!$B$1:$C$52,2,FALSE)</f>
        <v>噴漆維修組</v>
      </c>
      <c r="N3329">
        <f>IF(交易處理資料__3[[#This Row],[上班時間]]=0,0,交易處理資料__3[[#This Row],[售出工時]]/交易處理資料__3[[#This Row],[上班時間]])</f>
        <v>0.24404761904761904</v>
      </c>
      <c r="O3329" s="31" t="str">
        <f>IF(交易處理資料__3[[#This Row],[上班時間]]=0,"否","是")</f>
        <v>是</v>
      </c>
    </row>
    <row r="3330" spans="1:15" hidden="1">
      <c r="A3330" s="10" t="s">
        <v>73</v>
      </c>
      <c r="B3330" t="s">
        <v>9</v>
      </c>
      <c r="C3330">
        <v>3.93</v>
      </c>
      <c r="D3330">
        <v>3.43</v>
      </c>
      <c r="E3330" s="27">
        <v>114.5772595</v>
      </c>
      <c r="F3330">
        <v>9.43</v>
      </c>
      <c r="G3330">
        <v>0.66</v>
      </c>
      <c r="H3330">
        <v>10.09</v>
      </c>
      <c r="I3330">
        <v>93.46</v>
      </c>
      <c r="J3330">
        <v>38.950000000000003</v>
      </c>
      <c r="K3330" s="9">
        <v>45377</v>
      </c>
      <c r="L3330">
        <f xml:space="preserve"> (交易處理資料__3[[#This Row],[售出工時]] * 60) / 5</f>
        <v>47.160000000000004</v>
      </c>
      <c r="M3330" t="str">
        <f>VLOOKUP(交易處理資料__3[[#This Row],[人員代號]],團隊分組!$B$1:$C$52,2,FALSE)</f>
        <v>噴漆維修組</v>
      </c>
      <c r="N3330">
        <f>IF(交易處理資料__3[[#This Row],[上班時間]]=0,0,交易處理資料__3[[#This Row],[售出工時]]/交易處理資料__3[[#This Row],[上班時間]])</f>
        <v>0.38949454905847375</v>
      </c>
      <c r="O3330" s="31" t="str">
        <f>IF(交易處理資料__3[[#This Row],[上班時間]]=0,"否","是")</f>
        <v>是</v>
      </c>
    </row>
    <row r="3331" spans="1:15" hidden="1">
      <c r="A3331" t="s">
        <v>74</v>
      </c>
      <c r="B3331" t="s">
        <v>11</v>
      </c>
      <c r="C3331">
        <v>10.75</v>
      </c>
      <c r="D3331">
        <v>6.5</v>
      </c>
      <c r="E3331" s="27">
        <v>165.3846154</v>
      </c>
      <c r="F3331">
        <v>5.19</v>
      </c>
      <c r="G3331">
        <v>2.91</v>
      </c>
      <c r="H3331">
        <v>8.1</v>
      </c>
      <c r="I3331">
        <v>64.069999999999993</v>
      </c>
      <c r="J3331">
        <v>132.72</v>
      </c>
      <c r="K3331" s="9">
        <v>45377</v>
      </c>
      <c r="L3331">
        <f xml:space="preserve"> (交易處理資料__3[[#This Row],[售出工時]] * 60) / 5</f>
        <v>129</v>
      </c>
      <c r="M3331" t="str">
        <f>VLOOKUP(交易處理資料__3[[#This Row],[人員代號]],團隊分組!$B$1:$C$52,2,FALSE)</f>
        <v>鈑金維修組</v>
      </c>
      <c r="N3331">
        <f>IF(交易處理資料__3[[#This Row],[上班時間]]=0,0,交易處理資料__3[[#This Row],[售出工時]]/交易處理資料__3[[#This Row],[上班時間]])</f>
        <v>1.3271604938271606</v>
      </c>
      <c r="O3331" s="31" t="str">
        <f>IF(交易處理資料__3[[#This Row],[上班時間]]=0,"否","是")</f>
        <v>是</v>
      </c>
    </row>
    <row r="3332" spans="1:15" hidden="1">
      <c r="A3332" t="s">
        <v>74</v>
      </c>
      <c r="B3332" t="s">
        <v>12</v>
      </c>
      <c r="C3332">
        <v>8</v>
      </c>
      <c r="D3332">
        <v>7.14</v>
      </c>
      <c r="E3332" s="27">
        <v>112.0448179</v>
      </c>
      <c r="F3332">
        <v>9.98</v>
      </c>
      <c r="G3332">
        <v>0.67</v>
      </c>
      <c r="H3332">
        <v>10.65</v>
      </c>
      <c r="I3332">
        <v>93.71</v>
      </c>
      <c r="J3332">
        <v>75.12</v>
      </c>
      <c r="K3332" s="9">
        <v>45377</v>
      </c>
      <c r="L3332">
        <f xml:space="preserve"> (交易處理資料__3[[#This Row],[售出工時]] * 60) / 5</f>
        <v>96</v>
      </c>
      <c r="M3332" t="str">
        <f>VLOOKUP(交易處理資料__3[[#This Row],[人員代號]],團隊分組!$B$1:$C$52,2,FALSE)</f>
        <v>鈑金維修組</v>
      </c>
      <c r="N3332">
        <f>IF(交易處理資料__3[[#This Row],[上班時間]]=0,0,交易處理資料__3[[#This Row],[售出工時]]/交易處理資料__3[[#This Row],[上班時間]])</f>
        <v>0.75117370892018775</v>
      </c>
      <c r="O3332" s="31" t="str">
        <f>IF(交易處理資料__3[[#This Row],[上班時間]]=0,"否","是")</f>
        <v>是</v>
      </c>
    </row>
    <row r="3333" spans="1:15" hidden="1">
      <c r="A3333" t="s">
        <v>74</v>
      </c>
      <c r="B3333" t="s">
        <v>13</v>
      </c>
      <c r="C3333">
        <v>3.92</v>
      </c>
      <c r="D3333">
        <v>5.92</v>
      </c>
      <c r="E3333" s="27">
        <v>66.216216220000007</v>
      </c>
      <c r="F3333">
        <v>7.5</v>
      </c>
      <c r="G3333">
        <v>0.61</v>
      </c>
      <c r="H3333">
        <v>8.11</v>
      </c>
      <c r="I3333">
        <v>92.48</v>
      </c>
      <c r="J3333">
        <v>48.34</v>
      </c>
      <c r="K3333" s="9">
        <v>45377</v>
      </c>
      <c r="L3333">
        <f xml:space="preserve"> (交易處理資料__3[[#This Row],[售出工時]] * 60) / 5</f>
        <v>47.04</v>
      </c>
      <c r="M3333" t="str">
        <f>VLOOKUP(交易處理資料__3[[#This Row],[人員代號]],團隊分組!$B$1:$C$52,2,FALSE)</f>
        <v>鈑金維修組</v>
      </c>
      <c r="N3333">
        <f>IF(交易處理資料__3[[#This Row],[上班時間]]=0,0,交易處理資料__3[[#This Row],[售出工時]]/交易處理資料__3[[#This Row],[上班時間]])</f>
        <v>0.48335388409371149</v>
      </c>
      <c r="O3333" s="31" t="str">
        <f>IF(交易處理資料__3[[#This Row],[上班時間]]=0,"否","是")</f>
        <v>是</v>
      </c>
    </row>
    <row r="3334" spans="1:15" hidden="1">
      <c r="A3334" t="s">
        <v>75</v>
      </c>
      <c r="B3334" t="s">
        <v>17</v>
      </c>
      <c r="C3334">
        <v>10.5</v>
      </c>
      <c r="D3334">
        <v>5.1100000000000003</v>
      </c>
      <c r="E3334" s="27">
        <v>205.4794521</v>
      </c>
      <c r="F3334">
        <v>8.52</v>
      </c>
      <c r="G3334">
        <v>0.5</v>
      </c>
      <c r="H3334">
        <v>9.02</v>
      </c>
      <c r="I3334">
        <v>94.46</v>
      </c>
      <c r="J3334">
        <v>116.41</v>
      </c>
      <c r="K3334" s="9">
        <v>45377</v>
      </c>
      <c r="L3334">
        <f xml:space="preserve"> (交易處理資料__3[[#This Row],[售出工時]] * 60) / 5</f>
        <v>126</v>
      </c>
      <c r="M3334" t="str">
        <f>VLOOKUP(交易處理資料__3[[#This Row],[人員代號]],團隊分組!$B$1:$C$52,2,FALSE)</f>
        <v>快速保養團隊A</v>
      </c>
      <c r="N3334">
        <f>IF(交易處理資料__3[[#This Row],[上班時間]]=0,0,交易處理資料__3[[#This Row],[售出工時]]/交易處理資料__3[[#This Row],[上班時間]])</f>
        <v>1.164079822616408</v>
      </c>
      <c r="O3334" s="31" t="str">
        <f>IF(交易處理資料__3[[#This Row],[上班時間]]=0,"否","是")</f>
        <v>是</v>
      </c>
    </row>
    <row r="3335" spans="1:15" hidden="1">
      <c r="A3335" t="s">
        <v>75</v>
      </c>
      <c r="B3335" t="s">
        <v>19</v>
      </c>
      <c r="C3335">
        <v>0</v>
      </c>
      <c r="D3335">
        <v>0</v>
      </c>
      <c r="E3335" s="27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 s="9">
        <v>45377</v>
      </c>
      <c r="L3335">
        <f xml:space="preserve"> (交易處理資料__3[[#This Row],[售出工時]] * 60) / 5</f>
        <v>0</v>
      </c>
      <c r="M3335" t="str">
        <f>VLOOKUP(交易處理資料__3[[#This Row],[人員代號]],團隊分組!$B$1:$C$52,2,FALSE)</f>
        <v>查修團隊A</v>
      </c>
      <c r="N3335">
        <f>IF(交易處理資料__3[[#This Row],[上班時間]]=0,0,交易處理資料__3[[#This Row],[售出工時]]/交易處理資料__3[[#This Row],[上班時間]])</f>
        <v>0</v>
      </c>
      <c r="O3335" s="31" t="str">
        <f>IF(交易處理資料__3[[#This Row],[上班時間]]=0,"否","是")</f>
        <v>否</v>
      </c>
    </row>
    <row r="3336" spans="1:15" hidden="1">
      <c r="A3336" t="s">
        <v>75</v>
      </c>
      <c r="B3336" t="s">
        <v>20</v>
      </c>
      <c r="C3336">
        <v>0.2</v>
      </c>
      <c r="D3336">
        <v>0.83</v>
      </c>
      <c r="E3336" s="27">
        <v>24.09638554</v>
      </c>
      <c r="F3336">
        <v>8.57</v>
      </c>
      <c r="G3336">
        <v>1.83</v>
      </c>
      <c r="H3336">
        <v>10.4</v>
      </c>
      <c r="I3336">
        <v>82.4</v>
      </c>
      <c r="J3336">
        <v>1.92</v>
      </c>
      <c r="K3336" s="9">
        <v>45377</v>
      </c>
      <c r="L3336">
        <f xml:space="preserve"> (交易處理資料__3[[#This Row],[售出工時]] * 60) / 5</f>
        <v>2.4</v>
      </c>
      <c r="M3336" t="str">
        <f>VLOOKUP(交易處理資料__3[[#This Row],[人員代號]],團隊分組!$B$1:$C$52,2,FALSE)</f>
        <v>查修團隊B</v>
      </c>
      <c r="N3336">
        <f>IF(交易處理資料__3[[#This Row],[上班時間]]=0,0,交易處理資料__3[[#This Row],[售出工時]]/交易處理資料__3[[#This Row],[上班時間]])</f>
        <v>1.9230769230769232E-2</v>
      </c>
      <c r="O3336" s="31" t="str">
        <f>IF(交易處理資料__3[[#This Row],[上班時間]]=0,"否","是")</f>
        <v>是</v>
      </c>
    </row>
    <row r="3337" spans="1:15" hidden="1">
      <c r="A3337" t="s">
        <v>75</v>
      </c>
      <c r="B3337" t="s">
        <v>21</v>
      </c>
      <c r="C3337">
        <v>1</v>
      </c>
      <c r="D3337">
        <v>0.06</v>
      </c>
      <c r="E3337" s="27">
        <v>1666.666667</v>
      </c>
      <c r="F3337">
        <v>7.31</v>
      </c>
      <c r="G3337">
        <v>1.05</v>
      </c>
      <c r="H3337">
        <v>8.36</v>
      </c>
      <c r="I3337">
        <v>87.44</v>
      </c>
      <c r="J3337">
        <v>11.96</v>
      </c>
      <c r="K3337" s="9">
        <v>45377</v>
      </c>
      <c r="L3337">
        <f xml:space="preserve"> (交易處理資料__3[[#This Row],[售出工時]] * 60) / 5</f>
        <v>12</v>
      </c>
      <c r="M3337" t="str">
        <f>VLOOKUP(交易處理資料__3[[#This Row],[人員代號]],團隊分組!$B$1:$C$52,2,FALSE)</f>
        <v>查修團隊B</v>
      </c>
      <c r="N3337">
        <f>IF(交易處理資料__3[[#This Row],[上班時間]]=0,0,交易處理資料__3[[#This Row],[售出工時]]/交易處理資料__3[[#This Row],[上班時間]])</f>
        <v>0.11961722488038279</v>
      </c>
      <c r="O3337" s="31" t="str">
        <f>IF(交易處理資料__3[[#This Row],[上班時間]]=0,"否","是")</f>
        <v>是</v>
      </c>
    </row>
    <row r="3338" spans="1:15" hidden="1">
      <c r="A3338" t="s">
        <v>75</v>
      </c>
      <c r="B3338" t="s">
        <v>22</v>
      </c>
      <c r="C3338">
        <v>13.473333330000001</v>
      </c>
      <c r="D3338">
        <v>6.59</v>
      </c>
      <c r="E3338" s="27">
        <v>204.45118869999999</v>
      </c>
      <c r="F3338">
        <v>9.69</v>
      </c>
      <c r="G3338">
        <v>0.8</v>
      </c>
      <c r="H3338">
        <v>10.49</v>
      </c>
      <c r="I3338">
        <v>92.37</v>
      </c>
      <c r="J3338">
        <v>128.44</v>
      </c>
      <c r="K3338" s="9">
        <v>45377</v>
      </c>
      <c r="L3338">
        <f xml:space="preserve"> (交易處理資料__3[[#This Row],[售出工時]] * 60) / 5</f>
        <v>161.67999996</v>
      </c>
      <c r="M3338" t="str">
        <f>VLOOKUP(交易處理資料__3[[#This Row],[人員代號]],團隊分組!$B$1:$C$52,2,FALSE)</f>
        <v>快速保養團隊A</v>
      </c>
      <c r="N3338">
        <f>IF(交易處理資料__3[[#This Row],[上班時間]]=0,0,交易處理資料__3[[#This Row],[售出工時]]/交易處理資料__3[[#This Row],[上班時間]])</f>
        <v>1.284397838894185</v>
      </c>
      <c r="O3338" s="31" t="str">
        <f>IF(交易處理資料__3[[#This Row],[上班時間]]=0,"否","是")</f>
        <v>是</v>
      </c>
    </row>
    <row r="3339" spans="1:15" hidden="1">
      <c r="A3339" t="s">
        <v>75</v>
      </c>
      <c r="B3339" t="s">
        <v>23</v>
      </c>
      <c r="C3339">
        <v>7.8133333330000001</v>
      </c>
      <c r="D3339">
        <v>6.89</v>
      </c>
      <c r="E3339" s="27">
        <v>113.4010643</v>
      </c>
      <c r="F3339">
        <v>7.8</v>
      </c>
      <c r="G3339">
        <v>0.75</v>
      </c>
      <c r="H3339">
        <v>8.5500000000000007</v>
      </c>
      <c r="I3339">
        <v>91.23</v>
      </c>
      <c r="J3339">
        <v>91.38</v>
      </c>
      <c r="K3339" s="9">
        <v>45377</v>
      </c>
      <c r="L3339">
        <f xml:space="preserve"> (交易處理資料__3[[#This Row],[售出工時]] * 60) / 5</f>
        <v>93.759999996000005</v>
      </c>
      <c r="M3339" t="str">
        <f>VLOOKUP(交易處理資料__3[[#This Row],[人員代號]],團隊分組!$B$1:$C$52,2,FALSE)</f>
        <v>快速保養團隊B</v>
      </c>
      <c r="N3339">
        <f>IF(交易處理資料__3[[#This Row],[上班時間]]=0,0,交易處理資料__3[[#This Row],[售出工時]]/交易處理資料__3[[#This Row],[上班時間]])</f>
        <v>0.91384015590643264</v>
      </c>
      <c r="O3339" s="31" t="str">
        <f>IF(交易處理資料__3[[#This Row],[上班時間]]=0,"否","是")</f>
        <v>是</v>
      </c>
    </row>
    <row r="3340" spans="1:15" hidden="1">
      <c r="A3340" t="s">
        <v>75</v>
      </c>
      <c r="B3340" t="s">
        <v>24</v>
      </c>
      <c r="C3340">
        <v>8.9166666669999994</v>
      </c>
      <c r="D3340">
        <v>4.82</v>
      </c>
      <c r="E3340" s="27">
        <v>184.99308439999999</v>
      </c>
      <c r="F3340">
        <v>7.38</v>
      </c>
      <c r="G3340">
        <v>0.7</v>
      </c>
      <c r="H3340">
        <v>8.08</v>
      </c>
      <c r="I3340">
        <v>91.34</v>
      </c>
      <c r="J3340">
        <v>110.35</v>
      </c>
      <c r="K3340" s="9">
        <v>45377</v>
      </c>
      <c r="L3340">
        <f xml:space="preserve"> (交易處理資料__3[[#This Row],[售出工時]] * 60) / 5</f>
        <v>107.000000004</v>
      </c>
      <c r="M3340" t="str">
        <f>VLOOKUP(交易處理資料__3[[#This Row],[人員代號]],團隊分組!$B$1:$C$52,2,FALSE)</f>
        <v>快速保養團隊A</v>
      </c>
      <c r="N3340">
        <f>IF(交易處理資料__3[[#This Row],[上班時間]]=0,0,交易處理資料__3[[#This Row],[售出工時]]/交易處理資料__3[[#This Row],[上班時間]])</f>
        <v>1.1035478548267326</v>
      </c>
      <c r="O3340" s="31" t="str">
        <f>IF(交易處理資料__3[[#This Row],[上班時間]]=0,"否","是")</f>
        <v>是</v>
      </c>
    </row>
    <row r="3341" spans="1:15" hidden="1">
      <c r="A3341" t="s">
        <v>75</v>
      </c>
      <c r="B3341" t="s">
        <v>28</v>
      </c>
      <c r="C3341">
        <v>5.1666666670000003</v>
      </c>
      <c r="D3341">
        <v>6.28</v>
      </c>
      <c r="E3341" s="27">
        <v>82.271762210000006</v>
      </c>
      <c r="F3341">
        <v>9.4</v>
      </c>
      <c r="G3341">
        <v>1.1200000000000001</v>
      </c>
      <c r="H3341">
        <v>10.52</v>
      </c>
      <c r="I3341">
        <v>89.35</v>
      </c>
      <c r="J3341">
        <v>49.11</v>
      </c>
      <c r="K3341" s="9">
        <v>45377</v>
      </c>
      <c r="L3341">
        <f xml:space="preserve"> (交易處理資料__3[[#This Row],[售出工時]] * 60) / 5</f>
        <v>62.000000004</v>
      </c>
      <c r="M3341" t="str">
        <f>VLOOKUP(交易處理資料__3[[#This Row],[人員代號]],團隊分組!$B$1:$C$52,2,FALSE)</f>
        <v>快速保養團隊A</v>
      </c>
      <c r="N3341">
        <f>IF(交易處理資料__3[[#This Row],[上班時間]]=0,0,交易處理資料__3[[#This Row],[售出工時]]/交易處理資料__3[[#This Row],[上班時間]])</f>
        <v>0.49112801017110269</v>
      </c>
      <c r="O3341" s="31" t="str">
        <f>IF(交易處理資料__3[[#This Row],[上班時間]]=0,"否","是")</f>
        <v>是</v>
      </c>
    </row>
    <row r="3342" spans="1:15" hidden="1">
      <c r="A3342" t="s">
        <v>75</v>
      </c>
      <c r="B3342" t="s">
        <v>30</v>
      </c>
      <c r="C3342">
        <v>11.483333330000001</v>
      </c>
      <c r="D3342">
        <v>5.0999999999999996</v>
      </c>
      <c r="E3342" s="27">
        <v>225.16339869999999</v>
      </c>
      <c r="F3342">
        <v>7.83</v>
      </c>
      <c r="G3342">
        <v>0.16</v>
      </c>
      <c r="H3342">
        <v>7.99</v>
      </c>
      <c r="I3342">
        <v>98</v>
      </c>
      <c r="J3342">
        <v>143.72</v>
      </c>
      <c r="K3342" s="9">
        <v>45377</v>
      </c>
      <c r="L3342">
        <f xml:space="preserve"> (交易處理資料__3[[#This Row],[售出工時]] * 60) / 5</f>
        <v>137.79999996000001</v>
      </c>
      <c r="M3342" t="str">
        <f>VLOOKUP(交易處理資料__3[[#This Row],[人員代號]],團隊分組!$B$1:$C$52,2,FALSE)</f>
        <v>快速保養團隊B</v>
      </c>
      <c r="N3342">
        <f>IF(交易處理資料__3[[#This Row],[上班時間]]=0,0,交易處理資料__3[[#This Row],[售出工時]]/交易處理資料__3[[#This Row],[上班時間]])</f>
        <v>1.4372131827284105</v>
      </c>
      <c r="O3342" s="31" t="str">
        <f>IF(交易處理資料__3[[#This Row],[上班時間]]=0,"否","是")</f>
        <v>是</v>
      </c>
    </row>
    <row r="3343" spans="1:15" hidden="1">
      <c r="A3343" t="s">
        <v>75</v>
      </c>
      <c r="B3343" t="s">
        <v>32</v>
      </c>
      <c r="C3343">
        <v>7.28</v>
      </c>
      <c r="D3343">
        <v>5.19</v>
      </c>
      <c r="E3343" s="27">
        <v>140.26974949999999</v>
      </c>
      <c r="F3343">
        <v>7.76</v>
      </c>
      <c r="G3343">
        <v>0.76</v>
      </c>
      <c r="H3343">
        <v>8.52</v>
      </c>
      <c r="I3343">
        <v>91.08</v>
      </c>
      <c r="J3343">
        <v>85.45</v>
      </c>
      <c r="K3343" s="9">
        <v>45377</v>
      </c>
      <c r="L3343">
        <f xml:space="preserve"> (交易處理資料__3[[#This Row],[售出工時]] * 60) / 5</f>
        <v>87.36</v>
      </c>
      <c r="M3343" t="str">
        <f>VLOOKUP(交易處理資料__3[[#This Row],[人員代號]],團隊分組!$B$1:$C$52,2,FALSE)</f>
        <v>快速保養團隊B</v>
      </c>
      <c r="N3343">
        <f>IF(交易處理資料__3[[#This Row],[上班時間]]=0,0,交易處理資料__3[[#This Row],[售出工時]]/交易處理資料__3[[#This Row],[上班時間]])</f>
        <v>0.85446009389671373</v>
      </c>
      <c r="O3343" s="31" t="str">
        <f>IF(交易處理資料__3[[#This Row],[上班時間]]=0,"否","是")</f>
        <v>是</v>
      </c>
    </row>
    <row r="3344" spans="1:15" hidden="1">
      <c r="A3344" t="s">
        <v>75</v>
      </c>
      <c r="B3344" t="s">
        <v>34</v>
      </c>
      <c r="C3344">
        <v>21.166666670000001</v>
      </c>
      <c r="D3344">
        <v>9.1999999999999993</v>
      </c>
      <c r="E3344" s="27">
        <v>230.07246380000001</v>
      </c>
      <c r="F3344">
        <v>7.56</v>
      </c>
      <c r="G3344">
        <v>2.74</v>
      </c>
      <c r="H3344">
        <v>10.3</v>
      </c>
      <c r="I3344">
        <v>73.400000000000006</v>
      </c>
      <c r="J3344">
        <v>205.5</v>
      </c>
      <c r="K3344" s="9">
        <v>45377</v>
      </c>
      <c r="L3344">
        <f xml:space="preserve"> (交易處理資料__3[[#This Row],[售出工時]] * 60) / 5</f>
        <v>254.00000004000003</v>
      </c>
      <c r="M3344" t="str">
        <f>VLOOKUP(交易處理資料__3[[#This Row],[人員代號]],團隊分組!$B$1:$C$52,2,FALSE)</f>
        <v>快速保養團隊A</v>
      </c>
      <c r="N3344">
        <f>IF(交易處理資料__3[[#This Row],[上班時間]]=0,0,交易處理資料__3[[#This Row],[售出工時]]/交易處理資料__3[[#This Row],[上班時間]])</f>
        <v>2.0550161815533983</v>
      </c>
      <c r="O3344" s="31" t="str">
        <f>IF(交易處理資料__3[[#This Row],[上班時間]]=0,"否","是")</f>
        <v>是</v>
      </c>
    </row>
    <row r="3345" spans="1:15" hidden="1">
      <c r="A3345" t="s">
        <v>75</v>
      </c>
      <c r="B3345" t="s">
        <v>35</v>
      </c>
      <c r="C3345">
        <v>0</v>
      </c>
      <c r="D3345">
        <v>0</v>
      </c>
      <c r="E3345" s="27">
        <v>0</v>
      </c>
      <c r="F3345">
        <v>8.57</v>
      </c>
      <c r="G3345">
        <v>1.83</v>
      </c>
      <c r="H3345">
        <v>10.4</v>
      </c>
      <c r="I3345">
        <v>82.4</v>
      </c>
      <c r="J3345">
        <v>0</v>
      </c>
      <c r="K3345" s="9">
        <v>45377</v>
      </c>
      <c r="L3345">
        <f xml:space="preserve"> (交易處理資料__3[[#This Row],[售出工時]] * 60) / 5</f>
        <v>0</v>
      </c>
      <c r="M3345" t="str">
        <f>VLOOKUP(交易處理資料__3[[#This Row],[人員代號]],團隊分組!$B$1:$C$52,2,FALSE)</f>
        <v>查修團隊B</v>
      </c>
      <c r="N3345">
        <f>IF(交易處理資料__3[[#This Row],[上班時間]]=0,0,交易處理資料__3[[#This Row],[售出工時]]/交易處理資料__3[[#This Row],[上班時間]])</f>
        <v>0</v>
      </c>
      <c r="O3345" s="31" t="str">
        <f>IF(交易處理資料__3[[#This Row],[上班時間]]=0,"否","是")</f>
        <v>是</v>
      </c>
    </row>
    <row r="3346" spans="1:15" hidden="1">
      <c r="A3346" t="s">
        <v>75</v>
      </c>
      <c r="B3346" t="s">
        <v>36</v>
      </c>
      <c r="C3346">
        <v>2.4133333330000002</v>
      </c>
      <c r="D3346">
        <v>7.88</v>
      </c>
      <c r="E3346" s="27">
        <v>30.626057530000001</v>
      </c>
      <c r="F3346">
        <v>6.92</v>
      </c>
      <c r="G3346">
        <v>1.24</v>
      </c>
      <c r="H3346">
        <v>8.16</v>
      </c>
      <c r="I3346">
        <v>84.8</v>
      </c>
      <c r="J3346">
        <v>29.58</v>
      </c>
      <c r="K3346" s="9">
        <v>45377</v>
      </c>
      <c r="L3346">
        <f xml:space="preserve"> (交易處理資料__3[[#This Row],[售出工時]] * 60) / 5</f>
        <v>28.959999996000004</v>
      </c>
      <c r="M3346" t="str">
        <f>VLOOKUP(交易處理資料__3[[#This Row],[人員代號]],團隊分組!$B$1:$C$52,2,FALSE)</f>
        <v>查修團隊B</v>
      </c>
      <c r="N3346">
        <f>IF(交易處理資料__3[[#This Row],[上班時間]]=0,0,交易處理資料__3[[#This Row],[售出工時]]/交易處理資料__3[[#This Row],[上班時間]])</f>
        <v>0.29575163394607845</v>
      </c>
      <c r="O3346" s="31" t="str">
        <f>IF(交易處理資料__3[[#This Row],[上班時間]]=0,"否","是")</f>
        <v>是</v>
      </c>
    </row>
    <row r="3347" spans="1:15" hidden="1">
      <c r="A3347" t="s">
        <v>75</v>
      </c>
      <c r="B3347" t="s">
        <v>37</v>
      </c>
      <c r="C3347">
        <v>4.3899999999999997</v>
      </c>
      <c r="D3347">
        <v>7.51</v>
      </c>
      <c r="E3347" s="27">
        <v>58.455392809999999</v>
      </c>
      <c r="F3347">
        <v>8.41</v>
      </c>
      <c r="G3347">
        <v>1.52</v>
      </c>
      <c r="H3347">
        <v>9.93</v>
      </c>
      <c r="I3347">
        <v>84.69</v>
      </c>
      <c r="J3347">
        <v>44.21</v>
      </c>
      <c r="K3347" s="9">
        <v>45377</v>
      </c>
      <c r="L3347">
        <f xml:space="preserve"> (交易處理資料__3[[#This Row],[售出工時]] * 60) / 5</f>
        <v>52.679999999999993</v>
      </c>
      <c r="M3347" t="str">
        <f>VLOOKUP(交易處理資料__3[[#This Row],[人員代號]],團隊分組!$B$1:$C$52,2,FALSE)</f>
        <v>查修團隊A</v>
      </c>
      <c r="N3347">
        <f>IF(交易處理資料__3[[#This Row],[上班時間]]=0,0,交易處理資料__3[[#This Row],[售出工時]]/交易處理資料__3[[#This Row],[上班時間]])</f>
        <v>0.44209466263846925</v>
      </c>
      <c r="O3347" s="31" t="str">
        <f>IF(交易處理資料__3[[#This Row],[上班時間]]=0,"否","是")</f>
        <v>是</v>
      </c>
    </row>
    <row r="3348" spans="1:15" hidden="1">
      <c r="A3348" t="s">
        <v>75</v>
      </c>
      <c r="B3348" t="s">
        <v>38</v>
      </c>
      <c r="C3348">
        <v>13.286666670000001</v>
      </c>
      <c r="D3348">
        <v>5.84</v>
      </c>
      <c r="E3348" s="27">
        <v>227.5114155</v>
      </c>
      <c r="F3348">
        <v>8.67</v>
      </c>
      <c r="G3348">
        <v>1.0900000000000001</v>
      </c>
      <c r="H3348">
        <v>9.76</v>
      </c>
      <c r="I3348">
        <v>88.83</v>
      </c>
      <c r="J3348">
        <v>136.13</v>
      </c>
      <c r="K3348" s="9">
        <v>45377</v>
      </c>
      <c r="L3348">
        <f xml:space="preserve"> (交易處理資料__3[[#This Row],[售出工時]] * 60) / 5</f>
        <v>159.44000004000003</v>
      </c>
      <c r="M3348" t="str">
        <f>VLOOKUP(交易處理資料__3[[#This Row],[人員代號]],團隊分組!$B$1:$C$52,2,FALSE)</f>
        <v>快速保養團隊A</v>
      </c>
      <c r="N3348">
        <f>IF(交易處理資料__3[[#This Row],[上班時間]]=0,0,交易處理資料__3[[#This Row],[售出工時]]/交易處理資料__3[[#This Row],[上班時間]])</f>
        <v>1.3613387981557379</v>
      </c>
      <c r="O3348" s="31" t="str">
        <f>IF(交易處理資料__3[[#This Row],[上班時間]]=0,"否","是")</f>
        <v>是</v>
      </c>
    </row>
    <row r="3349" spans="1:15" hidden="1">
      <c r="A3349" t="s">
        <v>75</v>
      </c>
      <c r="B3349" t="s">
        <v>40</v>
      </c>
      <c r="C3349">
        <v>0</v>
      </c>
      <c r="D3349">
        <v>0</v>
      </c>
      <c r="E3349" s="27">
        <v>0</v>
      </c>
      <c r="F3349">
        <v>9.27</v>
      </c>
      <c r="G3349">
        <v>0.65</v>
      </c>
      <c r="H3349">
        <v>9.92</v>
      </c>
      <c r="I3349">
        <v>93.45</v>
      </c>
      <c r="J3349">
        <v>0</v>
      </c>
      <c r="K3349" s="9">
        <v>45377</v>
      </c>
      <c r="L3349">
        <f xml:space="preserve"> (交易處理資料__3[[#This Row],[售出工時]] * 60) / 5</f>
        <v>0</v>
      </c>
      <c r="M3349" t="str">
        <f>VLOOKUP(交易處理資料__3[[#This Row],[人員代號]],團隊分組!$B$1:$C$52,2,FALSE)</f>
        <v>查修團隊A</v>
      </c>
      <c r="N3349">
        <f>IF(交易處理資料__3[[#This Row],[上班時間]]=0,0,交易處理資料__3[[#This Row],[售出工時]]/交易處理資料__3[[#This Row],[上班時間]])</f>
        <v>0</v>
      </c>
      <c r="O3349" s="31" t="str">
        <f>IF(交易處理資料__3[[#This Row],[上班時間]]=0,"否","是")</f>
        <v>是</v>
      </c>
    </row>
    <row r="3350" spans="1:15" hidden="1">
      <c r="A3350" t="s">
        <v>75</v>
      </c>
      <c r="B3350" t="s">
        <v>41</v>
      </c>
      <c r="C3350">
        <v>5.8533333330000001</v>
      </c>
      <c r="D3350">
        <v>3.37</v>
      </c>
      <c r="E3350" s="27">
        <v>173.6894164</v>
      </c>
      <c r="F3350">
        <v>8.66</v>
      </c>
      <c r="G3350">
        <v>0.64</v>
      </c>
      <c r="H3350">
        <v>9.3000000000000007</v>
      </c>
      <c r="I3350">
        <v>93.12</v>
      </c>
      <c r="J3350">
        <v>62.94</v>
      </c>
      <c r="K3350" s="9">
        <v>45377</v>
      </c>
      <c r="L3350">
        <f xml:space="preserve"> (交易處理資料__3[[#This Row],[售出工時]] * 60) / 5</f>
        <v>70.239999996000009</v>
      </c>
      <c r="M3350" t="str">
        <f>VLOOKUP(交易處理資料__3[[#This Row],[人員代號]],團隊分組!$B$1:$C$52,2,FALSE)</f>
        <v>快速保養團隊A</v>
      </c>
      <c r="N3350">
        <f>IF(交易處理資料__3[[#This Row],[上班時間]]=0,0,交易處理資料__3[[#This Row],[售出工時]]/交易處理資料__3[[#This Row],[上班時間]])</f>
        <v>0.62939068096774187</v>
      </c>
      <c r="O3350" s="31" t="str">
        <f>IF(交易處理資料__3[[#This Row],[上班時間]]=0,"否","是")</f>
        <v>是</v>
      </c>
    </row>
    <row r="3351" spans="1:15" hidden="1">
      <c r="A3351" t="s">
        <v>75</v>
      </c>
      <c r="B3351" t="s">
        <v>42</v>
      </c>
      <c r="C3351">
        <v>6.4166666670000003</v>
      </c>
      <c r="D3351">
        <v>5.04</v>
      </c>
      <c r="E3351" s="27">
        <v>127.31481479999999</v>
      </c>
      <c r="F3351">
        <v>5.66</v>
      </c>
      <c r="G3351">
        <v>2.33</v>
      </c>
      <c r="H3351">
        <v>7.99</v>
      </c>
      <c r="I3351">
        <v>70.84</v>
      </c>
      <c r="J3351">
        <v>80.31</v>
      </c>
      <c r="K3351" s="9">
        <v>45377</v>
      </c>
      <c r="L3351">
        <f xml:space="preserve"> (交易處理資料__3[[#This Row],[售出工時]] * 60) / 5</f>
        <v>77.000000004</v>
      </c>
      <c r="M3351" t="str">
        <f>VLOOKUP(交易處理資料__3[[#This Row],[人員代號]],團隊分組!$B$1:$C$52,2,FALSE)</f>
        <v>快速保養團隊A</v>
      </c>
      <c r="N3351">
        <f>IF(交易處理資料__3[[#This Row],[上班時間]]=0,0,交易處理資料__3[[#This Row],[售出工時]]/交易處理資料__3[[#This Row],[上班時間]])</f>
        <v>0.80308719236545689</v>
      </c>
      <c r="O3351" s="31" t="str">
        <f>IF(交易處理資料__3[[#This Row],[上班時間]]=0,"否","是")</f>
        <v>是</v>
      </c>
    </row>
    <row r="3352" spans="1:15" hidden="1">
      <c r="A3352" t="s">
        <v>75</v>
      </c>
      <c r="B3352" t="s">
        <v>43</v>
      </c>
      <c r="C3352">
        <v>1.503333333</v>
      </c>
      <c r="D3352">
        <v>4.34</v>
      </c>
      <c r="E3352" s="27">
        <v>34.639016900000001</v>
      </c>
      <c r="F3352">
        <v>9.49</v>
      </c>
      <c r="G3352">
        <v>0.73</v>
      </c>
      <c r="H3352">
        <v>10.220000000000001</v>
      </c>
      <c r="I3352">
        <v>92.86</v>
      </c>
      <c r="J3352">
        <v>14.71</v>
      </c>
      <c r="K3352" s="9">
        <v>45377</v>
      </c>
      <c r="L3352">
        <f xml:space="preserve"> (交易處理資料__3[[#This Row],[售出工時]] * 60) / 5</f>
        <v>18.039999995999999</v>
      </c>
      <c r="M3352" t="str">
        <f>VLOOKUP(交易處理資料__3[[#This Row],[人員代號]],團隊分組!$B$1:$C$52,2,FALSE)</f>
        <v>查修團隊B</v>
      </c>
      <c r="N3352">
        <f>IF(交易處理資料__3[[#This Row],[上班時間]]=0,0,交易處理資料__3[[#This Row],[售出工時]]/交易處理資料__3[[#This Row],[上班時間]])</f>
        <v>0.14709719500978474</v>
      </c>
      <c r="O3352" s="31" t="str">
        <f>IF(交易處理資料__3[[#This Row],[上班時間]]=0,"否","是")</f>
        <v>是</v>
      </c>
    </row>
    <row r="3353" spans="1:15" hidden="1">
      <c r="A3353" t="s">
        <v>75</v>
      </c>
      <c r="B3353" t="s">
        <v>46</v>
      </c>
      <c r="C3353">
        <v>1.6666666670000001</v>
      </c>
      <c r="D3353">
        <v>1.61</v>
      </c>
      <c r="E3353" s="27">
        <v>103.5196687</v>
      </c>
      <c r="F3353">
        <v>9.64</v>
      </c>
      <c r="G3353">
        <v>0.59</v>
      </c>
      <c r="H3353">
        <v>10.23</v>
      </c>
      <c r="I3353">
        <v>94.23</v>
      </c>
      <c r="J3353">
        <v>16.29</v>
      </c>
      <c r="K3353" s="9">
        <v>45377</v>
      </c>
      <c r="L3353">
        <f xml:space="preserve"> (交易處理資料__3[[#This Row],[售出工時]] * 60) / 5</f>
        <v>20.000000004</v>
      </c>
      <c r="M3353" t="str">
        <f>VLOOKUP(交易處理資料__3[[#This Row],[人員代號]],團隊分組!$B$1:$C$52,2,FALSE)</f>
        <v>查修團隊B</v>
      </c>
      <c r="N3353">
        <f>IF(交易處理資料__3[[#This Row],[上班時間]]=0,0,交易處理資料__3[[#This Row],[售出工時]]/交易處理資料__3[[#This Row],[上班時間]])</f>
        <v>0.16291951779081135</v>
      </c>
      <c r="O3353" s="31" t="str">
        <f>IF(交易處理資料__3[[#This Row],[上班時間]]=0,"否","是")</f>
        <v>是</v>
      </c>
    </row>
    <row r="3354" spans="1:15" hidden="1">
      <c r="A3354" t="s">
        <v>75</v>
      </c>
      <c r="B3354" t="s">
        <v>47</v>
      </c>
      <c r="C3354">
        <v>4.63</v>
      </c>
      <c r="D3354">
        <v>5.84</v>
      </c>
      <c r="E3354" s="27">
        <v>79.280821919999994</v>
      </c>
      <c r="F3354">
        <v>7.06</v>
      </c>
      <c r="G3354">
        <v>0.95</v>
      </c>
      <c r="H3354">
        <v>8.01</v>
      </c>
      <c r="I3354">
        <v>88.14</v>
      </c>
      <c r="J3354">
        <v>57.8</v>
      </c>
      <c r="K3354" s="9">
        <v>45377</v>
      </c>
      <c r="L3354">
        <f xml:space="preserve"> (交易處理資料__3[[#This Row],[售出工時]] * 60) / 5</f>
        <v>55.56</v>
      </c>
      <c r="M3354" t="str">
        <f>VLOOKUP(交易處理資料__3[[#This Row],[人員代號]],團隊分組!$B$1:$C$52,2,FALSE)</f>
        <v>查修團隊B</v>
      </c>
      <c r="N3354">
        <f>IF(交易處理資料__3[[#This Row],[上班時間]]=0,0,交易處理資料__3[[#This Row],[售出工時]]/交易處理資料__3[[#This Row],[上班時間]])</f>
        <v>0.57802746566791507</v>
      </c>
      <c r="O3354" s="31" t="str">
        <f>IF(交易處理資料__3[[#This Row],[上班時間]]=0,"否","是")</f>
        <v>是</v>
      </c>
    </row>
    <row r="3355" spans="1:15" hidden="1">
      <c r="A3355" t="s">
        <v>75</v>
      </c>
      <c r="B3355" t="s">
        <v>48</v>
      </c>
      <c r="C3355">
        <v>2.8933333330000002</v>
      </c>
      <c r="D3355">
        <v>8.61</v>
      </c>
      <c r="E3355" s="27">
        <v>33.60433604</v>
      </c>
      <c r="F3355">
        <v>7.55</v>
      </c>
      <c r="G3355">
        <v>1.43</v>
      </c>
      <c r="H3355">
        <v>8.98</v>
      </c>
      <c r="I3355">
        <v>84.08</v>
      </c>
      <c r="J3355">
        <v>32.22</v>
      </c>
      <c r="K3355" s="9">
        <v>45377</v>
      </c>
      <c r="L3355">
        <f xml:space="preserve"> (交易處理資料__3[[#This Row],[售出工時]] * 60) / 5</f>
        <v>34.719999995999999</v>
      </c>
      <c r="M3355" t="str">
        <f>VLOOKUP(交易處理資料__3[[#This Row],[人員代號]],團隊分組!$B$1:$C$52,2,FALSE)</f>
        <v>查修團隊A</v>
      </c>
      <c r="N3355">
        <f>IF(交易處理資料__3[[#This Row],[上班時間]]=0,0,交易處理資料__3[[#This Row],[售出工時]]/交易處理資料__3[[#This Row],[上班時間]])</f>
        <v>0.32219747583518932</v>
      </c>
      <c r="O3355" s="31" t="str">
        <f>IF(交易處理資料__3[[#This Row],[上班時間]]=0,"否","是")</f>
        <v>是</v>
      </c>
    </row>
    <row r="3356" spans="1:15" hidden="1">
      <c r="A3356" t="s">
        <v>75</v>
      </c>
      <c r="B3356" t="s">
        <v>51</v>
      </c>
      <c r="C3356">
        <v>0</v>
      </c>
      <c r="D3356">
        <v>0</v>
      </c>
      <c r="E3356" s="27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 s="9">
        <v>45377</v>
      </c>
      <c r="L3356">
        <f xml:space="preserve"> (交易處理資料__3[[#This Row],[售出工時]] * 60) / 5</f>
        <v>0</v>
      </c>
      <c r="M3356" t="str">
        <f>VLOOKUP(交易處理資料__3[[#This Row],[人員代號]],團隊分組!$B$1:$C$52,2,FALSE)</f>
        <v>無效數據</v>
      </c>
      <c r="N3356">
        <f>IF(交易處理資料__3[[#This Row],[上班時間]]=0,0,交易處理資料__3[[#This Row],[售出工時]]/交易處理資料__3[[#This Row],[上班時間]])</f>
        <v>0</v>
      </c>
      <c r="O3356" s="31" t="str">
        <f>IF(交易處理資料__3[[#This Row],[上班時間]]=0,"否","是")</f>
        <v>否</v>
      </c>
    </row>
    <row r="3357" spans="1:15" hidden="1">
      <c r="A3357" t="s">
        <v>75</v>
      </c>
      <c r="B3357" t="s">
        <v>52</v>
      </c>
      <c r="C3357">
        <v>4.1666666670000003</v>
      </c>
      <c r="D3357">
        <v>3.84</v>
      </c>
      <c r="E3357" s="27">
        <v>108.50694439999999</v>
      </c>
      <c r="F3357">
        <v>7.63</v>
      </c>
      <c r="G3357">
        <v>0.54</v>
      </c>
      <c r="H3357">
        <v>8.17</v>
      </c>
      <c r="I3357">
        <v>93.39</v>
      </c>
      <c r="J3357">
        <v>51</v>
      </c>
      <c r="K3357" s="9">
        <v>45377</v>
      </c>
      <c r="L3357">
        <f xml:space="preserve"> (交易處理資料__3[[#This Row],[售出工時]] * 60) / 5</f>
        <v>50.000000004</v>
      </c>
      <c r="M3357" t="str">
        <f>VLOOKUP(交易處理資料__3[[#This Row],[人員代號]],團隊分組!$B$1:$C$52,2,FALSE)</f>
        <v>查修團隊B</v>
      </c>
      <c r="N3357">
        <f>IF(交易處理資料__3[[#This Row],[上班時間]]=0,0,交易處理資料__3[[#This Row],[售出工時]]/交易處理資料__3[[#This Row],[上班時間]])</f>
        <v>0.50999592007343941</v>
      </c>
      <c r="O3357" s="31" t="str">
        <f>IF(交易處理資料__3[[#This Row],[上班時間]]=0,"否","是")</f>
        <v>是</v>
      </c>
    </row>
    <row r="3358" spans="1:15" hidden="1">
      <c r="A3358" t="s">
        <v>75</v>
      </c>
      <c r="B3358" t="s">
        <v>53</v>
      </c>
      <c r="C3358">
        <v>0</v>
      </c>
      <c r="D3358">
        <v>0</v>
      </c>
      <c r="E3358" s="27">
        <v>0</v>
      </c>
      <c r="F3358">
        <v>9.35</v>
      </c>
      <c r="G3358">
        <v>0.6</v>
      </c>
      <c r="H3358">
        <v>9.9499999999999993</v>
      </c>
      <c r="I3358">
        <v>93.97</v>
      </c>
      <c r="J3358">
        <v>0</v>
      </c>
      <c r="K3358" s="9">
        <v>45377</v>
      </c>
      <c r="L3358">
        <f xml:space="preserve"> (交易處理資料__3[[#This Row],[售出工時]] * 60) / 5</f>
        <v>0</v>
      </c>
      <c r="M3358" t="str">
        <f>VLOOKUP(交易處理資料__3[[#This Row],[人員代號]],團隊分組!$B$1:$C$52,2,FALSE)</f>
        <v>查修團隊A</v>
      </c>
      <c r="N3358">
        <f>IF(交易處理資料__3[[#This Row],[上班時間]]=0,0,交易處理資料__3[[#This Row],[售出工時]]/交易處理資料__3[[#This Row],[上班時間]])</f>
        <v>0</v>
      </c>
      <c r="O3358" s="31" t="str">
        <f>IF(交易處理資料__3[[#This Row],[上班時間]]=0,"否","是")</f>
        <v>是</v>
      </c>
    </row>
    <row r="3359" spans="1:15" hidden="1">
      <c r="A3359" s="10" t="s">
        <v>73</v>
      </c>
      <c r="B3359" t="s">
        <v>1</v>
      </c>
      <c r="C3359">
        <v>0</v>
      </c>
      <c r="D3359">
        <v>0</v>
      </c>
      <c r="E3359" s="27">
        <v>0</v>
      </c>
      <c r="F3359">
        <v>9.25</v>
      </c>
      <c r="G3359">
        <v>0.85</v>
      </c>
      <c r="H3359">
        <v>10.1</v>
      </c>
      <c r="I3359">
        <v>91.58</v>
      </c>
      <c r="J3359">
        <v>0</v>
      </c>
      <c r="K3359" s="9">
        <v>45378</v>
      </c>
      <c r="L3359">
        <f xml:space="preserve"> (交易處理資料__3[[#This Row],[售出工時]] * 60) / 5</f>
        <v>0</v>
      </c>
      <c r="M3359" t="str">
        <f>VLOOKUP(交易處理資料__3[[#This Row],[人員代號]],團隊分組!$B$1:$C$52,2,FALSE)</f>
        <v>噴漆維修組</v>
      </c>
      <c r="N3359">
        <f>IF(交易處理資料__3[[#This Row],[上班時間]]=0,0,交易處理資料__3[[#This Row],[售出工時]]/交易處理資料__3[[#This Row],[上班時間]])</f>
        <v>0</v>
      </c>
      <c r="O3359" s="31" t="str">
        <f>IF(交易處理資料__3[[#This Row],[上班時間]]=0,"否","是")</f>
        <v>是</v>
      </c>
    </row>
    <row r="3360" spans="1:15" hidden="1">
      <c r="A3360" s="10" t="s">
        <v>73</v>
      </c>
      <c r="B3360" t="s">
        <v>2</v>
      </c>
      <c r="C3360">
        <v>2.4500000000000002</v>
      </c>
      <c r="D3360">
        <v>7.88</v>
      </c>
      <c r="E3360" s="27">
        <v>31.091370560000001</v>
      </c>
      <c r="F3360">
        <v>10.45</v>
      </c>
      <c r="G3360">
        <v>0.14000000000000001</v>
      </c>
      <c r="H3360">
        <v>10.59</v>
      </c>
      <c r="I3360">
        <v>98.68</v>
      </c>
      <c r="J3360">
        <v>23.14</v>
      </c>
      <c r="K3360" s="9">
        <v>45378</v>
      </c>
      <c r="L3360">
        <f xml:space="preserve"> (交易處理資料__3[[#This Row],[售出工時]] * 60) / 5</f>
        <v>29.4</v>
      </c>
      <c r="M3360" t="str">
        <f>VLOOKUP(交易處理資料__3[[#This Row],[人員代號]],團隊分組!$B$1:$C$52,2,FALSE)</f>
        <v>噴漆維修組</v>
      </c>
      <c r="N3360">
        <f>IF(交易處理資料__3[[#This Row],[上班時間]]=0,0,交易處理資料__3[[#This Row],[售出工時]]/交易處理資料__3[[#This Row],[上班時間]])</f>
        <v>0.23135033050047216</v>
      </c>
      <c r="O3360" s="31" t="str">
        <f>IF(交易處理資料__3[[#This Row],[上班時間]]=0,"否","是")</f>
        <v>是</v>
      </c>
    </row>
    <row r="3361" spans="1:15" hidden="1">
      <c r="A3361" s="10" t="s">
        <v>73</v>
      </c>
      <c r="B3361" t="s">
        <v>3</v>
      </c>
      <c r="C3361">
        <v>2.1800000000000002</v>
      </c>
      <c r="D3361">
        <v>5.78</v>
      </c>
      <c r="E3361" s="27">
        <v>37.716262980000003</v>
      </c>
      <c r="F3361">
        <v>10.47</v>
      </c>
      <c r="G3361">
        <v>0.14000000000000001</v>
      </c>
      <c r="H3361">
        <v>10.61</v>
      </c>
      <c r="I3361">
        <v>98.68</v>
      </c>
      <c r="J3361">
        <v>20.55</v>
      </c>
      <c r="K3361" s="9">
        <v>45378</v>
      </c>
      <c r="L3361">
        <f xml:space="preserve"> (交易處理資料__3[[#This Row],[售出工時]] * 60) / 5</f>
        <v>26.160000000000004</v>
      </c>
      <c r="M3361" t="str">
        <f>VLOOKUP(交易處理資料__3[[#This Row],[人員代號]],團隊分組!$B$1:$C$52,2,FALSE)</f>
        <v>噴漆維修組</v>
      </c>
      <c r="N3361">
        <f>IF(交易處理資料__3[[#This Row],[上班時間]]=0,0,交易處理資料__3[[#This Row],[售出工時]]/交易處理資料__3[[#This Row],[上班時間]])</f>
        <v>0.20546654099905751</v>
      </c>
      <c r="O3361" s="31" t="str">
        <f>IF(交易處理資料__3[[#This Row],[上班時間]]=0,"否","是")</f>
        <v>是</v>
      </c>
    </row>
    <row r="3362" spans="1:15" hidden="1">
      <c r="A3362" s="10" t="s">
        <v>73</v>
      </c>
      <c r="B3362" t="s">
        <v>4</v>
      </c>
      <c r="C3362">
        <v>0</v>
      </c>
      <c r="D3362">
        <v>0</v>
      </c>
      <c r="E3362" s="27">
        <v>0</v>
      </c>
      <c r="F3362">
        <v>9.23</v>
      </c>
      <c r="G3362">
        <v>1.32</v>
      </c>
      <c r="H3362">
        <v>10.55</v>
      </c>
      <c r="I3362">
        <v>87.49</v>
      </c>
      <c r="J3362">
        <v>0</v>
      </c>
      <c r="K3362" s="9">
        <v>45378</v>
      </c>
      <c r="L3362">
        <f xml:space="preserve"> (交易處理資料__3[[#This Row],[售出工時]] * 60) / 5</f>
        <v>0</v>
      </c>
      <c r="M3362" t="str">
        <f>VLOOKUP(交易處理資料__3[[#This Row],[人員代號]],團隊分組!$B$1:$C$52,2,FALSE)</f>
        <v>噴漆維修組</v>
      </c>
      <c r="N3362">
        <f>IF(交易處理資料__3[[#This Row],[上班時間]]=0,0,交易處理資料__3[[#This Row],[售出工時]]/交易處理資料__3[[#This Row],[上班時間]])</f>
        <v>0</v>
      </c>
      <c r="O3362" s="31" t="str">
        <f>IF(交易處理資料__3[[#This Row],[上班時間]]=0,"否","是")</f>
        <v>是</v>
      </c>
    </row>
    <row r="3363" spans="1:15" hidden="1">
      <c r="A3363" s="10" t="s">
        <v>73</v>
      </c>
      <c r="B3363" t="s">
        <v>5</v>
      </c>
      <c r="C3363">
        <v>5.4</v>
      </c>
      <c r="D3363">
        <v>5.14</v>
      </c>
      <c r="E3363" s="27">
        <v>105.0583658</v>
      </c>
      <c r="F3363">
        <v>9.64</v>
      </c>
      <c r="G3363">
        <v>0.03</v>
      </c>
      <c r="H3363">
        <v>9.67</v>
      </c>
      <c r="I3363">
        <v>99.69</v>
      </c>
      <c r="J3363">
        <v>55.84</v>
      </c>
      <c r="K3363" s="9">
        <v>45378</v>
      </c>
      <c r="L3363">
        <f xml:space="preserve"> (交易處理資料__3[[#This Row],[售出工時]] * 60) / 5</f>
        <v>64.8</v>
      </c>
      <c r="M3363" t="str">
        <f>VLOOKUP(交易處理資料__3[[#This Row],[人員代號]],團隊分組!$B$1:$C$52,2,FALSE)</f>
        <v>噴漆維修組</v>
      </c>
      <c r="N3363">
        <f>IF(交易處理資料__3[[#This Row],[上班時間]]=0,0,交易處理資料__3[[#This Row],[售出工時]]/交易處理資料__3[[#This Row],[上班時間]])</f>
        <v>0.55842812823164434</v>
      </c>
      <c r="O3363" s="31" t="str">
        <f>IF(交易處理資料__3[[#This Row],[上班時間]]=0,"否","是")</f>
        <v>是</v>
      </c>
    </row>
    <row r="3364" spans="1:15" hidden="1">
      <c r="A3364" s="10" t="s">
        <v>73</v>
      </c>
      <c r="B3364" t="s">
        <v>7</v>
      </c>
      <c r="C3364">
        <v>5.36</v>
      </c>
      <c r="D3364">
        <v>5.12</v>
      </c>
      <c r="E3364" s="27">
        <v>104.6875</v>
      </c>
      <c r="F3364">
        <v>10.5</v>
      </c>
      <c r="G3364">
        <v>0.15</v>
      </c>
      <c r="H3364">
        <v>10.65</v>
      </c>
      <c r="I3364">
        <v>98.59</v>
      </c>
      <c r="J3364">
        <v>50.33</v>
      </c>
      <c r="K3364" s="9">
        <v>45378</v>
      </c>
      <c r="L3364">
        <f xml:space="preserve"> (交易處理資料__3[[#This Row],[售出工時]] * 60) / 5</f>
        <v>64.320000000000007</v>
      </c>
      <c r="M3364" t="str">
        <f>VLOOKUP(交易處理資料__3[[#This Row],[人員代號]],團隊分組!$B$1:$C$52,2,FALSE)</f>
        <v>噴漆維修組</v>
      </c>
      <c r="N3364">
        <f>IF(交易處理資料__3[[#This Row],[上班時間]]=0,0,交易處理資料__3[[#This Row],[售出工時]]/交易處理資料__3[[#This Row],[上班時間]])</f>
        <v>0.50328638497652578</v>
      </c>
      <c r="O3364" s="31" t="str">
        <f>IF(交易處理資料__3[[#This Row],[上班時間]]=0,"否","是")</f>
        <v>是</v>
      </c>
    </row>
    <row r="3365" spans="1:15" hidden="1">
      <c r="A3365" s="10" t="s">
        <v>73</v>
      </c>
      <c r="B3365" t="s">
        <v>8</v>
      </c>
      <c r="C3365">
        <v>0</v>
      </c>
      <c r="D3365">
        <v>0</v>
      </c>
      <c r="E3365" s="27">
        <v>0</v>
      </c>
      <c r="F3365">
        <v>7.8</v>
      </c>
      <c r="G3365">
        <v>0.35</v>
      </c>
      <c r="H3365">
        <v>8.15</v>
      </c>
      <c r="I3365">
        <v>95.71</v>
      </c>
      <c r="J3365">
        <v>0</v>
      </c>
      <c r="K3365" s="9">
        <v>45378</v>
      </c>
      <c r="L3365">
        <f xml:space="preserve"> (交易處理資料__3[[#This Row],[售出工時]] * 60) / 5</f>
        <v>0</v>
      </c>
      <c r="M3365" t="str">
        <f>VLOOKUP(交易處理資料__3[[#This Row],[人員代號]],團隊分組!$B$1:$C$52,2,FALSE)</f>
        <v>噴漆維修組</v>
      </c>
      <c r="N3365">
        <f>IF(交易處理資料__3[[#This Row],[上班時間]]=0,0,交易處理資料__3[[#This Row],[售出工時]]/交易處理資料__3[[#This Row],[上班時間]])</f>
        <v>0</v>
      </c>
      <c r="O3365" s="31" t="str">
        <f>IF(交易處理資料__3[[#This Row],[上班時間]]=0,"否","是")</f>
        <v>是</v>
      </c>
    </row>
    <row r="3366" spans="1:15" hidden="1">
      <c r="A3366" s="10" t="s">
        <v>73</v>
      </c>
      <c r="B3366" t="s">
        <v>9</v>
      </c>
      <c r="C3366">
        <v>0</v>
      </c>
      <c r="D3366">
        <v>0</v>
      </c>
      <c r="E3366" s="27">
        <v>0</v>
      </c>
      <c r="F3366">
        <v>9.25</v>
      </c>
      <c r="G3366">
        <v>1.31</v>
      </c>
      <c r="H3366">
        <v>10.56</v>
      </c>
      <c r="I3366">
        <v>87.59</v>
      </c>
      <c r="J3366">
        <v>0</v>
      </c>
      <c r="K3366" s="9">
        <v>45378</v>
      </c>
      <c r="L3366">
        <f xml:space="preserve"> (交易處理資料__3[[#This Row],[售出工時]] * 60) / 5</f>
        <v>0</v>
      </c>
      <c r="M3366" t="str">
        <f>VLOOKUP(交易處理資料__3[[#This Row],[人員代號]],團隊分組!$B$1:$C$52,2,FALSE)</f>
        <v>噴漆維修組</v>
      </c>
      <c r="N3366">
        <f>IF(交易處理資料__3[[#This Row],[上班時間]]=0,0,交易處理資料__3[[#This Row],[售出工時]]/交易處理資料__3[[#This Row],[上班時間]])</f>
        <v>0</v>
      </c>
      <c r="O3366" s="31" t="str">
        <f>IF(交易處理資料__3[[#This Row],[上班時間]]=0,"否","是")</f>
        <v>是</v>
      </c>
    </row>
    <row r="3367" spans="1:15" hidden="1">
      <c r="A3367" t="s">
        <v>74</v>
      </c>
      <c r="B3367" t="s">
        <v>11</v>
      </c>
      <c r="C3367">
        <v>0</v>
      </c>
      <c r="D3367">
        <v>0</v>
      </c>
      <c r="E3367" s="27">
        <v>0</v>
      </c>
      <c r="F3367">
        <v>4.08</v>
      </c>
      <c r="G3367">
        <v>4</v>
      </c>
      <c r="H3367">
        <v>8.08</v>
      </c>
      <c r="I3367">
        <v>50.5</v>
      </c>
      <c r="J3367">
        <v>0</v>
      </c>
      <c r="K3367" s="9">
        <v>45378</v>
      </c>
      <c r="L3367">
        <f xml:space="preserve"> (交易處理資料__3[[#This Row],[售出工時]] * 60) / 5</f>
        <v>0</v>
      </c>
      <c r="M3367" t="str">
        <f>VLOOKUP(交易處理資料__3[[#This Row],[人員代號]],團隊分組!$B$1:$C$52,2,FALSE)</f>
        <v>鈑金維修組</v>
      </c>
      <c r="N3367">
        <f>IF(交易處理資料__3[[#This Row],[上班時間]]=0,0,交易處理資料__3[[#This Row],[售出工時]]/交易處理資料__3[[#This Row],[上班時間]])</f>
        <v>0</v>
      </c>
      <c r="O3367" s="31" t="str">
        <f>IF(交易處理資料__3[[#This Row],[上班時間]]=0,"否","是")</f>
        <v>是</v>
      </c>
    </row>
    <row r="3368" spans="1:15" hidden="1">
      <c r="A3368" t="s">
        <v>74</v>
      </c>
      <c r="B3368" t="s">
        <v>12</v>
      </c>
      <c r="C3368">
        <v>2.75</v>
      </c>
      <c r="D3368">
        <v>2.48</v>
      </c>
      <c r="E3368" s="27">
        <v>110.88709679999999</v>
      </c>
      <c r="F3368">
        <v>8.4499999999999993</v>
      </c>
      <c r="G3368">
        <v>1.97</v>
      </c>
      <c r="H3368">
        <v>10.42</v>
      </c>
      <c r="I3368">
        <v>81.09</v>
      </c>
      <c r="J3368">
        <v>26.39</v>
      </c>
      <c r="K3368" s="9">
        <v>45378</v>
      </c>
      <c r="L3368">
        <f xml:space="preserve"> (交易處理資料__3[[#This Row],[售出工時]] * 60) / 5</f>
        <v>33</v>
      </c>
      <c r="M3368" t="str">
        <f>VLOOKUP(交易處理資料__3[[#This Row],[人員代號]],團隊分組!$B$1:$C$52,2,FALSE)</f>
        <v>鈑金維修組</v>
      </c>
      <c r="N3368">
        <f>IF(交易處理資料__3[[#This Row],[上班時間]]=0,0,交易處理資料__3[[#This Row],[售出工時]]/交易處理資料__3[[#This Row],[上班時間]])</f>
        <v>0.26391554702495201</v>
      </c>
      <c r="O3368" s="31" t="str">
        <f>IF(交易處理資料__3[[#This Row],[上班時間]]=0,"否","是")</f>
        <v>是</v>
      </c>
    </row>
    <row r="3369" spans="1:15" hidden="1">
      <c r="A3369" t="s">
        <v>74</v>
      </c>
      <c r="B3369" t="s">
        <v>14</v>
      </c>
      <c r="C3369">
        <v>5.26</v>
      </c>
      <c r="D3369">
        <v>5.58</v>
      </c>
      <c r="E3369" s="27">
        <v>94.26523297</v>
      </c>
      <c r="F3369">
        <v>6.98</v>
      </c>
      <c r="G3369">
        <v>1.19</v>
      </c>
      <c r="H3369">
        <v>8.17</v>
      </c>
      <c r="I3369">
        <v>85.43</v>
      </c>
      <c r="J3369">
        <v>64.38</v>
      </c>
      <c r="K3369" s="9">
        <v>45378</v>
      </c>
      <c r="L3369">
        <f xml:space="preserve"> (交易處理資料__3[[#This Row],[售出工時]] * 60) / 5</f>
        <v>63.11999999999999</v>
      </c>
      <c r="M3369" t="str">
        <f>VLOOKUP(交易處理資料__3[[#This Row],[人員代號]],團隊分組!$B$1:$C$52,2,FALSE)</f>
        <v>鈑金維修組</v>
      </c>
      <c r="N3369">
        <f>IF(交易處理資料__3[[#This Row],[上班時間]]=0,0,交易處理資料__3[[#This Row],[售出工時]]/交易處理資料__3[[#This Row],[上班時間]])</f>
        <v>0.64381884944920442</v>
      </c>
      <c r="O3369" s="31" t="str">
        <f>IF(交易處理資料__3[[#This Row],[上班時間]]=0,"否","是")</f>
        <v>是</v>
      </c>
    </row>
    <row r="3370" spans="1:15" hidden="1">
      <c r="A3370" t="s">
        <v>75</v>
      </c>
      <c r="B3370" t="s">
        <v>17</v>
      </c>
      <c r="C3370">
        <v>13.16666667</v>
      </c>
      <c r="D3370">
        <v>5.22</v>
      </c>
      <c r="E3370" s="27">
        <v>252.2349936</v>
      </c>
      <c r="F3370">
        <v>7.36</v>
      </c>
      <c r="G3370">
        <v>0.72</v>
      </c>
      <c r="H3370">
        <v>8.08</v>
      </c>
      <c r="I3370">
        <v>91.09</v>
      </c>
      <c r="J3370">
        <v>162.94999999999999</v>
      </c>
      <c r="K3370" s="9">
        <v>45378</v>
      </c>
      <c r="L3370">
        <f xml:space="preserve"> (交易處理資料__3[[#This Row],[售出工時]] * 60) / 5</f>
        <v>158.00000003999997</v>
      </c>
      <c r="M3370" t="str">
        <f>VLOOKUP(交易處理資料__3[[#This Row],[人員代號]],團隊分組!$B$1:$C$52,2,FALSE)</f>
        <v>快速保養團隊A</v>
      </c>
      <c r="N3370">
        <f>IF(交易處理資料__3[[#This Row],[上班時間]]=0,0,交易處理資料__3[[#This Row],[售出工時]]/交易處理資料__3[[#This Row],[上班時間]])</f>
        <v>1.6295379542079207</v>
      </c>
      <c r="O3370" s="31" t="str">
        <f>IF(交易處理資料__3[[#This Row],[上班時間]]=0,"否","是")</f>
        <v>是</v>
      </c>
    </row>
    <row r="3371" spans="1:15" hidden="1">
      <c r="A3371" t="s">
        <v>75</v>
      </c>
      <c r="B3371" t="s">
        <v>18</v>
      </c>
      <c r="C3371">
        <v>0</v>
      </c>
      <c r="D3371">
        <v>0</v>
      </c>
      <c r="E3371" s="27">
        <v>0</v>
      </c>
      <c r="F3371">
        <v>8.4700000000000006</v>
      </c>
      <c r="G3371">
        <v>0.32</v>
      </c>
      <c r="H3371">
        <v>8.7899999999999991</v>
      </c>
      <c r="I3371">
        <v>96.36</v>
      </c>
      <c r="J3371">
        <v>0</v>
      </c>
      <c r="K3371" s="9">
        <v>45378</v>
      </c>
      <c r="L3371">
        <f xml:space="preserve"> (交易處理資料__3[[#This Row],[售出工時]] * 60) / 5</f>
        <v>0</v>
      </c>
      <c r="M3371" t="str">
        <f>VLOOKUP(交易處理資料__3[[#This Row],[人員代號]],團隊分組!$B$1:$C$52,2,FALSE)</f>
        <v>查修團隊B</v>
      </c>
      <c r="N3371">
        <f>IF(交易處理資料__3[[#This Row],[上班時間]]=0,0,交易處理資料__3[[#This Row],[售出工時]]/交易處理資料__3[[#This Row],[上班時間]])</f>
        <v>0</v>
      </c>
      <c r="O3371" s="31" t="str">
        <f>IF(交易處理資料__3[[#This Row],[上班時間]]=0,"否","是")</f>
        <v>是</v>
      </c>
    </row>
    <row r="3372" spans="1:15" hidden="1">
      <c r="A3372" t="s">
        <v>75</v>
      </c>
      <c r="B3372" t="s">
        <v>19</v>
      </c>
      <c r="C3372">
        <v>0.72</v>
      </c>
      <c r="D3372">
        <v>1.07</v>
      </c>
      <c r="E3372" s="27">
        <v>67.289719629999993</v>
      </c>
      <c r="F3372">
        <v>7.73</v>
      </c>
      <c r="G3372">
        <v>0.08</v>
      </c>
      <c r="H3372">
        <v>7.81</v>
      </c>
      <c r="I3372">
        <v>98.98</v>
      </c>
      <c r="J3372">
        <v>9.2200000000000006</v>
      </c>
      <c r="K3372" s="9">
        <v>45378</v>
      </c>
      <c r="L3372">
        <f xml:space="preserve"> (交易處理資料__3[[#This Row],[售出工時]] * 60) / 5</f>
        <v>8.6399999999999988</v>
      </c>
      <c r="M3372" t="str">
        <f>VLOOKUP(交易處理資料__3[[#This Row],[人員代號]],團隊分組!$B$1:$C$52,2,FALSE)</f>
        <v>查修團隊A</v>
      </c>
      <c r="N3372">
        <f>IF(交易處理資料__3[[#This Row],[上班時間]]=0,0,交易處理資料__3[[#This Row],[售出工時]]/交易處理資料__3[[#This Row],[上班時間]])</f>
        <v>9.2189500640204869E-2</v>
      </c>
      <c r="O3372" s="31" t="str">
        <f>IF(交易處理資料__3[[#This Row],[上班時間]]=0,"否","是")</f>
        <v>是</v>
      </c>
    </row>
    <row r="3373" spans="1:15" hidden="1">
      <c r="A3373" t="s">
        <v>75</v>
      </c>
      <c r="B3373" t="s">
        <v>21</v>
      </c>
      <c r="C3373">
        <v>8.25</v>
      </c>
      <c r="D3373">
        <v>8.06</v>
      </c>
      <c r="E3373" s="27">
        <v>102.3573201</v>
      </c>
      <c r="F3373">
        <v>6.72</v>
      </c>
      <c r="G3373">
        <v>1.53</v>
      </c>
      <c r="H3373">
        <v>8.25</v>
      </c>
      <c r="I3373">
        <v>81.45</v>
      </c>
      <c r="J3373">
        <v>100</v>
      </c>
      <c r="K3373" s="9">
        <v>45378</v>
      </c>
      <c r="L3373">
        <f xml:space="preserve"> (交易處理資料__3[[#This Row],[售出工時]] * 60) / 5</f>
        <v>99</v>
      </c>
      <c r="M3373" t="str">
        <f>VLOOKUP(交易處理資料__3[[#This Row],[人員代號]],團隊分組!$B$1:$C$52,2,FALSE)</f>
        <v>查修團隊B</v>
      </c>
      <c r="N3373">
        <f>IF(交易處理資料__3[[#This Row],[上班時間]]=0,0,交易處理資料__3[[#This Row],[售出工時]]/交易處理資料__3[[#This Row],[上班時間]])</f>
        <v>1</v>
      </c>
      <c r="O3373" s="31" t="str">
        <f>IF(交易處理資料__3[[#This Row],[上班時間]]=0,"否","是")</f>
        <v>是</v>
      </c>
    </row>
    <row r="3374" spans="1:15" hidden="1">
      <c r="A3374" t="s">
        <v>75</v>
      </c>
      <c r="B3374" t="s">
        <v>22</v>
      </c>
      <c r="C3374">
        <v>8.5</v>
      </c>
      <c r="D3374">
        <v>3.96</v>
      </c>
      <c r="E3374" s="27">
        <v>214.6464646</v>
      </c>
      <c r="F3374">
        <v>9.26</v>
      </c>
      <c r="G3374">
        <v>0.2</v>
      </c>
      <c r="H3374">
        <v>9.4600000000000009</v>
      </c>
      <c r="I3374">
        <v>97.89</v>
      </c>
      <c r="J3374">
        <v>89.85</v>
      </c>
      <c r="K3374" s="9">
        <v>45378</v>
      </c>
      <c r="L3374">
        <f xml:space="preserve"> (交易處理資料__3[[#This Row],[售出工時]] * 60) / 5</f>
        <v>102</v>
      </c>
      <c r="M3374" t="str">
        <f>VLOOKUP(交易處理資料__3[[#This Row],[人員代號]],團隊分組!$B$1:$C$52,2,FALSE)</f>
        <v>快速保養團隊A</v>
      </c>
      <c r="N3374">
        <f>IF(交易處理資料__3[[#This Row],[上班時間]]=0,0,交易處理資料__3[[#This Row],[售出工時]]/交易處理資料__3[[#This Row],[上班時間]])</f>
        <v>0.89852008456659616</v>
      </c>
      <c r="O3374" s="31" t="str">
        <f>IF(交易處理資料__3[[#This Row],[上班時間]]=0,"否","是")</f>
        <v>是</v>
      </c>
    </row>
    <row r="3375" spans="1:15" hidden="1">
      <c r="A3375" t="s">
        <v>75</v>
      </c>
      <c r="B3375" t="s">
        <v>25</v>
      </c>
      <c r="C3375">
        <v>5</v>
      </c>
      <c r="D3375">
        <v>5.6</v>
      </c>
      <c r="E3375" s="27">
        <v>89.285714290000001</v>
      </c>
      <c r="F3375">
        <v>5.94</v>
      </c>
      <c r="G3375">
        <v>1.9</v>
      </c>
      <c r="H3375">
        <v>7.84</v>
      </c>
      <c r="I3375">
        <v>75.77</v>
      </c>
      <c r="J3375">
        <v>63.78</v>
      </c>
      <c r="K3375" s="9">
        <v>45378</v>
      </c>
      <c r="L3375">
        <f xml:space="preserve"> (交易處理資料__3[[#This Row],[售出工時]] * 60) / 5</f>
        <v>60</v>
      </c>
      <c r="M3375" t="str">
        <f>VLOOKUP(交易處理資料__3[[#This Row],[人員代號]],團隊分組!$B$1:$C$52,2,FALSE)</f>
        <v>查修團隊A</v>
      </c>
      <c r="N3375">
        <f>IF(交易處理資料__3[[#This Row],[上班時間]]=0,0,交易處理資料__3[[#This Row],[售出工時]]/交易處理資料__3[[#This Row],[上班時間]])</f>
        <v>0.63775510204081631</v>
      </c>
      <c r="O3375" s="31" t="str">
        <f>IF(交易處理資料__3[[#This Row],[上班時間]]=0,"否","是")</f>
        <v>是</v>
      </c>
    </row>
    <row r="3376" spans="1:15" hidden="1">
      <c r="A3376" t="s">
        <v>75</v>
      </c>
      <c r="B3376" t="s">
        <v>27</v>
      </c>
      <c r="C3376">
        <v>2.5</v>
      </c>
      <c r="D3376">
        <v>3.53</v>
      </c>
      <c r="E3376" s="27">
        <v>70.821529749999996</v>
      </c>
      <c r="F3376">
        <v>10.07</v>
      </c>
      <c r="G3376">
        <v>0.5</v>
      </c>
      <c r="H3376">
        <v>10.57</v>
      </c>
      <c r="I3376">
        <v>95.27</v>
      </c>
      <c r="J3376">
        <v>23.65</v>
      </c>
      <c r="K3376" s="9">
        <v>45378</v>
      </c>
      <c r="L3376">
        <f xml:space="preserve"> (交易處理資料__3[[#This Row],[售出工時]] * 60) / 5</f>
        <v>30</v>
      </c>
      <c r="M3376" t="str">
        <f>VLOOKUP(交易處理資料__3[[#This Row],[人員代號]],團隊分組!$B$1:$C$52,2,FALSE)</f>
        <v>快速保養團隊B</v>
      </c>
      <c r="N3376">
        <f>IF(交易處理資料__3[[#This Row],[上班時間]]=0,0,交易處理資料__3[[#This Row],[售出工時]]/交易處理資料__3[[#This Row],[上班時間]])</f>
        <v>0.23651844843897823</v>
      </c>
      <c r="O3376" s="31" t="str">
        <f>IF(交易處理資料__3[[#This Row],[上班時間]]=0,"否","是")</f>
        <v>是</v>
      </c>
    </row>
    <row r="3377" spans="1:15" hidden="1">
      <c r="A3377" t="s">
        <v>75</v>
      </c>
      <c r="B3377" t="s">
        <v>28</v>
      </c>
      <c r="C3377">
        <v>6.5</v>
      </c>
      <c r="D3377">
        <v>4.58</v>
      </c>
      <c r="E3377" s="27">
        <v>141.92139739999999</v>
      </c>
      <c r="F3377">
        <v>9.2200000000000006</v>
      </c>
      <c r="G3377">
        <v>0.35</v>
      </c>
      <c r="H3377">
        <v>9.57</v>
      </c>
      <c r="I3377">
        <v>96.34</v>
      </c>
      <c r="J3377">
        <v>67.92</v>
      </c>
      <c r="K3377" s="9">
        <v>45378</v>
      </c>
      <c r="L3377">
        <f xml:space="preserve"> (交易處理資料__3[[#This Row],[售出工時]] * 60) / 5</f>
        <v>78</v>
      </c>
      <c r="M3377" t="str">
        <f>VLOOKUP(交易處理資料__3[[#This Row],[人員代號]],團隊分組!$B$1:$C$52,2,FALSE)</f>
        <v>快速保養團隊A</v>
      </c>
      <c r="N3377">
        <f>IF(交易處理資料__3[[#This Row],[上班時間]]=0,0,交易處理資料__3[[#This Row],[售出工時]]/交易處理資料__3[[#This Row],[上班時間]])</f>
        <v>0.67920585161964475</v>
      </c>
      <c r="O3377" s="31" t="str">
        <f>IF(交易處理資料__3[[#This Row],[上班時間]]=0,"否","是")</f>
        <v>是</v>
      </c>
    </row>
    <row r="3378" spans="1:15" hidden="1">
      <c r="A3378" t="s">
        <v>75</v>
      </c>
      <c r="B3378" t="s">
        <v>32</v>
      </c>
      <c r="C3378">
        <v>9.8766666670000003</v>
      </c>
      <c r="D3378">
        <v>6.3</v>
      </c>
      <c r="E3378" s="27">
        <v>156.7724868</v>
      </c>
      <c r="F3378">
        <v>7.27</v>
      </c>
      <c r="G3378">
        <v>1.36</v>
      </c>
      <c r="H3378">
        <v>8.6300000000000008</v>
      </c>
      <c r="I3378">
        <v>84.24</v>
      </c>
      <c r="J3378">
        <v>114.45</v>
      </c>
      <c r="K3378" s="9">
        <v>45378</v>
      </c>
      <c r="L3378">
        <f xml:space="preserve"> (交易處理資料__3[[#This Row],[售出工時]] * 60) / 5</f>
        <v>118.52000000400001</v>
      </c>
      <c r="M3378" t="str">
        <f>VLOOKUP(交易處理資料__3[[#This Row],[人員代號]],團隊分組!$B$1:$C$52,2,FALSE)</f>
        <v>快速保養團隊B</v>
      </c>
      <c r="N3378">
        <f>IF(交易處理資料__3[[#This Row],[上班時間]]=0,0,交易處理資料__3[[#This Row],[售出工時]]/交易處理資料__3[[#This Row],[上班時間]])</f>
        <v>1.1444573194669756</v>
      </c>
      <c r="O3378" s="31" t="str">
        <f>IF(交易處理資料__3[[#This Row],[上班時間]]=0,"否","是")</f>
        <v>是</v>
      </c>
    </row>
    <row r="3379" spans="1:15">
      <c r="A3379" t="s">
        <v>75</v>
      </c>
      <c r="B3379" t="s">
        <v>33</v>
      </c>
      <c r="C3379">
        <v>9.2433333330000007</v>
      </c>
      <c r="D3379">
        <v>7.79</v>
      </c>
      <c r="E3379" s="27">
        <v>118.65639710000001</v>
      </c>
      <c r="F3379">
        <v>6.79</v>
      </c>
      <c r="G3379">
        <v>1.28</v>
      </c>
      <c r="H3379">
        <v>8.07</v>
      </c>
      <c r="I3379">
        <v>84.14</v>
      </c>
      <c r="J3379">
        <v>114.54</v>
      </c>
      <c r="K3379" s="9">
        <v>45378</v>
      </c>
      <c r="L3379">
        <f xml:space="preserve"> (交易處理資料__3[[#This Row],[售出工時]] * 60) / 5</f>
        <v>110.919999996</v>
      </c>
      <c r="M3379" t="str">
        <f>VLOOKUP(交易處理資料__3[[#This Row],[人員代號]],團隊分組!$B$1:$C$52,2,FALSE)</f>
        <v>快速保養團隊B</v>
      </c>
      <c r="N3379">
        <f>IF(交易處理資料__3[[#This Row],[上班時間]]=0,0,交易處理資料__3[[#This Row],[售出工時]]/交易處理資料__3[[#This Row],[上班時間]])</f>
        <v>1.1453944650557621</v>
      </c>
      <c r="O3379" s="31" t="str">
        <f>IF(交易處理資料__3[[#This Row],[上班時間]]=0,"否","是")</f>
        <v>是</v>
      </c>
    </row>
    <row r="3380" spans="1:15" hidden="1">
      <c r="A3380" t="s">
        <v>75</v>
      </c>
      <c r="B3380" t="s">
        <v>34</v>
      </c>
      <c r="C3380">
        <v>8.5133333330000003</v>
      </c>
      <c r="D3380">
        <v>6.75</v>
      </c>
      <c r="E3380" s="27">
        <v>126.1234568</v>
      </c>
      <c r="F3380">
        <v>7.16</v>
      </c>
      <c r="G3380">
        <v>0.87</v>
      </c>
      <c r="H3380">
        <v>8.0299999999999994</v>
      </c>
      <c r="I3380">
        <v>89.17</v>
      </c>
      <c r="J3380">
        <v>106.02</v>
      </c>
      <c r="K3380" s="9">
        <v>45378</v>
      </c>
      <c r="L3380">
        <f xml:space="preserve"> (交易處理資料__3[[#This Row],[售出工時]] * 60) / 5</f>
        <v>102.159999996</v>
      </c>
      <c r="M3380" t="str">
        <f>VLOOKUP(交易處理資料__3[[#This Row],[人員代號]],團隊分組!$B$1:$C$52,2,FALSE)</f>
        <v>快速保養團隊A</v>
      </c>
      <c r="N3380">
        <f>IF(交易處理資料__3[[#This Row],[上班時間]]=0,0,交易處理資料__3[[#This Row],[售出工時]]/交易處理資料__3[[#This Row],[上班時間]])</f>
        <v>1.0601909505603986</v>
      </c>
      <c r="O3380" s="31" t="str">
        <f>IF(交易處理資料__3[[#This Row],[上班時間]]=0,"否","是")</f>
        <v>是</v>
      </c>
    </row>
    <row r="3381" spans="1:15" hidden="1">
      <c r="A3381" t="s">
        <v>75</v>
      </c>
      <c r="B3381" t="s">
        <v>36</v>
      </c>
      <c r="C3381">
        <v>1.1333333329999999</v>
      </c>
      <c r="D3381">
        <v>4.8899999999999997</v>
      </c>
      <c r="E3381" s="27">
        <v>23.176550779999999</v>
      </c>
      <c r="F3381">
        <v>7.55</v>
      </c>
      <c r="G3381">
        <v>1.66</v>
      </c>
      <c r="H3381">
        <v>9.2100000000000009</v>
      </c>
      <c r="I3381">
        <v>81.98</v>
      </c>
      <c r="J3381">
        <v>12.31</v>
      </c>
      <c r="K3381" s="9">
        <v>45378</v>
      </c>
      <c r="L3381">
        <f xml:space="preserve"> (交易處理資料__3[[#This Row],[售出工時]] * 60) / 5</f>
        <v>13.599999995999999</v>
      </c>
      <c r="M3381" t="str">
        <f>VLOOKUP(交易處理資料__3[[#This Row],[人員代號]],團隊分組!$B$1:$C$52,2,FALSE)</f>
        <v>查修團隊B</v>
      </c>
      <c r="N3381">
        <f>IF(交易處理資料__3[[#This Row],[上班時間]]=0,0,交易處理資料__3[[#This Row],[售出工時]]/交易處理資料__3[[#This Row],[上班時間]])</f>
        <v>0.1230546507057546</v>
      </c>
      <c r="O3381" s="31" t="str">
        <f>IF(交易處理資料__3[[#This Row],[上班時間]]=0,"否","是")</f>
        <v>是</v>
      </c>
    </row>
    <row r="3382" spans="1:15" hidden="1">
      <c r="A3382" t="s">
        <v>75</v>
      </c>
      <c r="B3382" t="s">
        <v>37</v>
      </c>
      <c r="C3382">
        <v>4.25</v>
      </c>
      <c r="D3382">
        <v>4.28</v>
      </c>
      <c r="E3382" s="27">
        <v>99.299065420000005</v>
      </c>
      <c r="F3382">
        <v>6.73</v>
      </c>
      <c r="G3382">
        <v>1.04</v>
      </c>
      <c r="H3382">
        <v>7.77</v>
      </c>
      <c r="I3382">
        <v>86.62</v>
      </c>
      <c r="J3382">
        <v>54.7</v>
      </c>
      <c r="K3382" s="9">
        <v>45378</v>
      </c>
      <c r="L3382">
        <f xml:space="preserve"> (交易處理資料__3[[#This Row],[售出工時]] * 60) / 5</f>
        <v>51</v>
      </c>
      <c r="M3382" t="str">
        <f>VLOOKUP(交易處理資料__3[[#This Row],[人員代號]],團隊分組!$B$1:$C$52,2,FALSE)</f>
        <v>查修團隊A</v>
      </c>
      <c r="N3382">
        <f>IF(交易處理資料__3[[#This Row],[上班時間]]=0,0,交易處理資料__3[[#This Row],[售出工時]]/交易處理資料__3[[#This Row],[上班時間]])</f>
        <v>0.54697554697554696</v>
      </c>
      <c r="O3382" s="31" t="str">
        <f>IF(交易處理資料__3[[#This Row],[上班時間]]=0,"否","是")</f>
        <v>是</v>
      </c>
    </row>
    <row r="3383" spans="1:15" hidden="1">
      <c r="A3383" t="s">
        <v>75</v>
      </c>
      <c r="B3383" t="s">
        <v>38</v>
      </c>
      <c r="C3383">
        <v>14.10333333</v>
      </c>
      <c r="D3383">
        <v>7.78</v>
      </c>
      <c r="E3383" s="27">
        <v>181.2767781</v>
      </c>
      <c r="F3383">
        <v>8.3800000000000008</v>
      </c>
      <c r="G3383">
        <v>1.36</v>
      </c>
      <c r="H3383">
        <v>9.74</v>
      </c>
      <c r="I3383">
        <v>86.04</v>
      </c>
      <c r="J3383">
        <v>144.80000000000001</v>
      </c>
      <c r="K3383" s="9">
        <v>45378</v>
      </c>
      <c r="L3383">
        <f xml:space="preserve"> (交易處理資料__3[[#This Row],[售出工時]] * 60) / 5</f>
        <v>169.23999996000001</v>
      </c>
      <c r="M3383" t="str">
        <f>VLOOKUP(交易處理資料__3[[#This Row],[人員代號]],團隊分組!$B$1:$C$52,2,FALSE)</f>
        <v>快速保養團隊A</v>
      </c>
      <c r="N3383">
        <f>IF(交易處理資料__3[[#This Row],[上班時間]]=0,0,交易處理資料__3[[#This Row],[售出工時]]/交易處理資料__3[[#This Row],[上班時間]])</f>
        <v>1.4479808347022587</v>
      </c>
      <c r="O3383" s="31" t="str">
        <f>IF(交易處理資料__3[[#This Row],[上班時間]]=0,"否","是")</f>
        <v>是</v>
      </c>
    </row>
    <row r="3384" spans="1:15" hidden="1">
      <c r="A3384" t="s">
        <v>75</v>
      </c>
      <c r="B3384" t="s">
        <v>39</v>
      </c>
      <c r="C3384">
        <v>0</v>
      </c>
      <c r="D3384">
        <v>0</v>
      </c>
      <c r="E3384" s="27">
        <v>0</v>
      </c>
      <c r="F3384">
        <v>8.27</v>
      </c>
      <c r="G3384">
        <v>1.41</v>
      </c>
      <c r="H3384">
        <v>9.68</v>
      </c>
      <c r="I3384">
        <v>85.43</v>
      </c>
      <c r="J3384">
        <v>0</v>
      </c>
      <c r="K3384" s="9">
        <v>45378</v>
      </c>
      <c r="L3384">
        <f xml:space="preserve"> (交易處理資料__3[[#This Row],[售出工時]] * 60) / 5</f>
        <v>0</v>
      </c>
      <c r="M3384" t="str">
        <f>VLOOKUP(交易處理資料__3[[#This Row],[人員代號]],團隊分組!$B$1:$C$52,2,FALSE)</f>
        <v>查修團隊A</v>
      </c>
      <c r="N3384">
        <f>IF(交易處理資料__3[[#This Row],[上班時間]]=0,0,交易處理資料__3[[#This Row],[售出工時]]/交易處理資料__3[[#This Row],[上班時間]])</f>
        <v>0</v>
      </c>
      <c r="O3384" s="31" t="str">
        <f>IF(交易處理資料__3[[#This Row],[上班時間]]=0,"否","是")</f>
        <v>是</v>
      </c>
    </row>
    <row r="3385" spans="1:15" hidden="1">
      <c r="A3385" t="s">
        <v>75</v>
      </c>
      <c r="B3385" t="s">
        <v>40</v>
      </c>
      <c r="C3385">
        <v>2</v>
      </c>
      <c r="D3385">
        <v>7.82</v>
      </c>
      <c r="E3385" s="27">
        <v>25.575447570000001</v>
      </c>
      <c r="F3385">
        <v>7.33</v>
      </c>
      <c r="G3385">
        <v>2.4500000000000002</v>
      </c>
      <c r="H3385">
        <v>9.7799999999999994</v>
      </c>
      <c r="I3385">
        <v>74.95</v>
      </c>
      <c r="J3385">
        <v>20.45</v>
      </c>
      <c r="K3385" s="9">
        <v>45378</v>
      </c>
      <c r="L3385">
        <f xml:space="preserve"> (交易處理資料__3[[#This Row],[售出工時]] * 60) / 5</f>
        <v>24</v>
      </c>
      <c r="M3385" t="str">
        <f>VLOOKUP(交易處理資料__3[[#This Row],[人員代號]],團隊分組!$B$1:$C$52,2,FALSE)</f>
        <v>查修團隊A</v>
      </c>
      <c r="N3385">
        <f>IF(交易處理資料__3[[#This Row],[上班時間]]=0,0,交易處理資料__3[[#This Row],[售出工時]]/交易處理資料__3[[#This Row],[上班時間]])</f>
        <v>0.20449897750511248</v>
      </c>
      <c r="O3385" s="31" t="str">
        <f>IF(交易處理資料__3[[#This Row],[上班時間]]=0,"否","是")</f>
        <v>是</v>
      </c>
    </row>
    <row r="3386" spans="1:15" hidden="1">
      <c r="A3386" t="s">
        <v>75</v>
      </c>
      <c r="B3386" t="s">
        <v>41</v>
      </c>
      <c r="C3386">
        <v>17.333333329999999</v>
      </c>
      <c r="D3386">
        <v>8.33</v>
      </c>
      <c r="E3386" s="27">
        <v>208.08323329999999</v>
      </c>
      <c r="F3386">
        <v>8.15</v>
      </c>
      <c r="G3386">
        <v>0.82</v>
      </c>
      <c r="H3386">
        <v>8.9700000000000006</v>
      </c>
      <c r="I3386">
        <v>90.86</v>
      </c>
      <c r="J3386">
        <v>193.24</v>
      </c>
      <c r="K3386" s="9">
        <v>45378</v>
      </c>
      <c r="L3386">
        <f xml:space="preserve"> (交易處理資料__3[[#This Row],[售出工時]] * 60) / 5</f>
        <v>207.99999995999997</v>
      </c>
      <c r="M3386" t="str">
        <f>VLOOKUP(交易處理資料__3[[#This Row],[人員代號]],團隊分組!$B$1:$C$52,2,FALSE)</f>
        <v>快速保養團隊A</v>
      </c>
      <c r="N3386">
        <f>IF(交易處理資料__3[[#This Row],[上班時間]]=0,0,交易處理資料__3[[#This Row],[售出工時]]/交易處理資料__3[[#This Row],[上班時間]])</f>
        <v>1.9323671493868448</v>
      </c>
      <c r="O3386" s="31" t="str">
        <f>IF(交易處理資料__3[[#This Row],[上班時間]]=0,"否","是")</f>
        <v>是</v>
      </c>
    </row>
    <row r="3387" spans="1:15" hidden="1">
      <c r="A3387" t="s">
        <v>75</v>
      </c>
      <c r="B3387" t="s">
        <v>42</v>
      </c>
      <c r="C3387">
        <v>10.83333333</v>
      </c>
      <c r="D3387">
        <v>6.23</v>
      </c>
      <c r="E3387" s="27">
        <v>173.88978059999999</v>
      </c>
      <c r="F3387">
        <v>7.17</v>
      </c>
      <c r="G3387">
        <v>0.88</v>
      </c>
      <c r="H3387">
        <v>8.0500000000000007</v>
      </c>
      <c r="I3387">
        <v>89.07</v>
      </c>
      <c r="J3387">
        <v>134.58000000000001</v>
      </c>
      <c r="K3387" s="9">
        <v>45378</v>
      </c>
      <c r="L3387">
        <f xml:space="preserve"> (交易處理資料__3[[#This Row],[售出工時]] * 60) / 5</f>
        <v>129.99999996000003</v>
      </c>
      <c r="M3387" t="str">
        <f>VLOOKUP(交易處理資料__3[[#This Row],[人員代號]],團隊分組!$B$1:$C$52,2,FALSE)</f>
        <v>快速保養團隊A</v>
      </c>
      <c r="N3387">
        <f>IF(交易處理資料__3[[#This Row],[上班時間]]=0,0,交易處理資料__3[[#This Row],[售出工時]]/交易處理資料__3[[#This Row],[上班時間]])</f>
        <v>1.3457556931677017</v>
      </c>
      <c r="O3387" s="31" t="str">
        <f>IF(交易處理資料__3[[#This Row],[上班時間]]=0,"否","是")</f>
        <v>是</v>
      </c>
    </row>
    <row r="3388" spans="1:15" hidden="1">
      <c r="A3388" t="s">
        <v>75</v>
      </c>
      <c r="B3388" t="s">
        <v>43</v>
      </c>
      <c r="C3388">
        <v>3.43</v>
      </c>
      <c r="D3388">
        <v>6.74</v>
      </c>
      <c r="E3388" s="27">
        <v>50.890207719999999</v>
      </c>
      <c r="F3388">
        <v>7.35</v>
      </c>
      <c r="G3388">
        <v>0.85</v>
      </c>
      <c r="H3388">
        <v>8.1999999999999993</v>
      </c>
      <c r="I3388">
        <v>89.63</v>
      </c>
      <c r="J3388">
        <v>41.83</v>
      </c>
      <c r="K3388" s="9">
        <v>45378</v>
      </c>
      <c r="L3388">
        <f xml:space="preserve"> (交易處理資料__3[[#This Row],[售出工時]] * 60) / 5</f>
        <v>41.160000000000004</v>
      </c>
      <c r="M3388" t="str">
        <f>VLOOKUP(交易處理資料__3[[#This Row],[人員代號]],團隊分組!$B$1:$C$52,2,FALSE)</f>
        <v>查修團隊B</v>
      </c>
      <c r="N3388">
        <f>IF(交易處理資料__3[[#This Row],[上班時間]]=0,0,交易處理資料__3[[#This Row],[售出工時]]/交易處理資料__3[[#This Row],[上班時間]])</f>
        <v>0.41829268292682931</v>
      </c>
      <c r="O3388" s="31" t="str">
        <f>IF(交易處理資料__3[[#This Row],[上班時間]]=0,"否","是")</f>
        <v>是</v>
      </c>
    </row>
    <row r="3389" spans="1:15" hidden="1">
      <c r="A3389" t="s">
        <v>75</v>
      </c>
      <c r="B3389" t="s">
        <v>45</v>
      </c>
      <c r="C3389">
        <v>12.08333333</v>
      </c>
      <c r="D3389">
        <v>4.0599999999999996</v>
      </c>
      <c r="E3389" s="27">
        <v>297.61904759999999</v>
      </c>
      <c r="F3389">
        <v>8.32</v>
      </c>
      <c r="G3389">
        <v>0.74</v>
      </c>
      <c r="H3389">
        <v>9.06</v>
      </c>
      <c r="I3389">
        <v>91.83</v>
      </c>
      <c r="J3389">
        <v>133.37</v>
      </c>
      <c r="K3389" s="9">
        <v>45378</v>
      </c>
      <c r="L3389">
        <f xml:space="preserve"> (交易處理資料__3[[#This Row],[售出工時]] * 60) / 5</f>
        <v>144.99999996000003</v>
      </c>
      <c r="M3389" t="str">
        <f>VLOOKUP(交易處理資料__3[[#This Row],[人員代號]],團隊分組!$B$1:$C$52,2,FALSE)</f>
        <v>快速保養團隊A</v>
      </c>
      <c r="N3389">
        <f>IF(交易處理資料__3[[#This Row],[上班時間]]=0,0,交易處理資料__3[[#This Row],[售出工時]]/交易處理資料__3[[#This Row],[上班時間]])</f>
        <v>1.3337012505518764</v>
      </c>
      <c r="O3389" s="31" t="str">
        <f>IF(交易處理資料__3[[#This Row],[上班時間]]=0,"否","是")</f>
        <v>是</v>
      </c>
    </row>
    <row r="3390" spans="1:15" hidden="1">
      <c r="A3390" t="s">
        <v>75</v>
      </c>
      <c r="B3390" t="s">
        <v>46</v>
      </c>
      <c r="C3390">
        <v>4.5</v>
      </c>
      <c r="D3390">
        <v>7.28</v>
      </c>
      <c r="E3390" s="27">
        <v>61.813186809999998</v>
      </c>
      <c r="F3390">
        <v>8.5299999999999994</v>
      </c>
      <c r="G3390">
        <v>1</v>
      </c>
      <c r="H3390">
        <v>9.5299999999999994</v>
      </c>
      <c r="I3390">
        <v>89.51</v>
      </c>
      <c r="J3390">
        <v>47.22</v>
      </c>
      <c r="K3390" s="9">
        <v>45378</v>
      </c>
      <c r="L3390">
        <f xml:space="preserve"> (交易處理資料__3[[#This Row],[售出工時]] * 60) / 5</f>
        <v>54</v>
      </c>
      <c r="M3390" t="str">
        <f>VLOOKUP(交易處理資料__3[[#This Row],[人員代號]],團隊分組!$B$1:$C$52,2,FALSE)</f>
        <v>查修團隊B</v>
      </c>
      <c r="N3390">
        <f>IF(交易處理資料__3[[#This Row],[上班時間]]=0,0,交易處理資料__3[[#This Row],[售出工時]]/交易處理資料__3[[#This Row],[上班時間]])</f>
        <v>0.47219307450157399</v>
      </c>
      <c r="O3390" s="31" t="str">
        <f>IF(交易處理資料__3[[#This Row],[上班時間]]=0,"否","是")</f>
        <v>是</v>
      </c>
    </row>
    <row r="3391" spans="1:15" hidden="1">
      <c r="A3391" t="s">
        <v>75</v>
      </c>
      <c r="B3391" t="s">
        <v>48</v>
      </c>
      <c r="C3391">
        <v>0.33333333300000001</v>
      </c>
      <c r="D3391">
        <v>0.32</v>
      </c>
      <c r="E3391" s="27">
        <v>104.16666669999999</v>
      </c>
      <c r="F3391">
        <v>8.81</v>
      </c>
      <c r="G3391">
        <v>0.27</v>
      </c>
      <c r="H3391">
        <v>9.08</v>
      </c>
      <c r="I3391">
        <v>97.03</v>
      </c>
      <c r="J3391">
        <v>3.67</v>
      </c>
      <c r="K3391" s="9">
        <v>45378</v>
      </c>
      <c r="L3391">
        <f xml:space="preserve"> (交易處理資料__3[[#This Row],[售出工時]] * 60) / 5</f>
        <v>3.9999999960000006</v>
      </c>
      <c r="M3391" t="str">
        <f>VLOOKUP(交易處理資料__3[[#This Row],[人員代號]],團隊分組!$B$1:$C$52,2,FALSE)</f>
        <v>查修團隊A</v>
      </c>
      <c r="N3391">
        <f>IF(交易處理資料__3[[#This Row],[上班時間]]=0,0,交易處理資料__3[[#This Row],[售出工時]]/交易處理資料__3[[#This Row],[上班時間]])</f>
        <v>3.6710719493392073E-2</v>
      </c>
      <c r="O3391" s="31" t="str">
        <f>IF(交易處理資料__3[[#This Row],[上班時間]]=0,"否","是")</f>
        <v>是</v>
      </c>
    </row>
    <row r="3392" spans="1:15" hidden="1">
      <c r="A3392" t="s">
        <v>75</v>
      </c>
      <c r="B3392" t="s">
        <v>49</v>
      </c>
      <c r="C3392">
        <v>4.1966666669999997</v>
      </c>
      <c r="D3392">
        <v>4.1100000000000003</v>
      </c>
      <c r="E3392" s="27">
        <v>102.108678</v>
      </c>
      <c r="F3392">
        <v>7.72</v>
      </c>
      <c r="G3392">
        <v>0.06</v>
      </c>
      <c r="H3392">
        <v>7.78</v>
      </c>
      <c r="I3392">
        <v>99.23</v>
      </c>
      <c r="J3392">
        <v>53.94</v>
      </c>
      <c r="K3392" s="9">
        <v>45378</v>
      </c>
      <c r="L3392">
        <f xml:space="preserve"> (交易處理資料__3[[#This Row],[售出工時]] * 60) / 5</f>
        <v>50.360000003999993</v>
      </c>
      <c r="M3392" t="str">
        <f>VLOOKUP(交易處理資料__3[[#This Row],[人員代號]],團隊分組!$B$1:$C$52,2,FALSE)</f>
        <v>查修團隊A</v>
      </c>
      <c r="N3392">
        <f>IF(交易處理資料__3[[#This Row],[上班時間]]=0,0,交易處理資料__3[[#This Row],[售出工時]]/交易處理資料__3[[#This Row],[上班時間]])</f>
        <v>0.53941730938303334</v>
      </c>
      <c r="O3392" s="31" t="str">
        <f>IF(交易處理資料__3[[#This Row],[上班時間]]=0,"否","是")</f>
        <v>是</v>
      </c>
    </row>
    <row r="3393" spans="1:15" hidden="1">
      <c r="A3393" t="s">
        <v>75</v>
      </c>
      <c r="B3393" t="s">
        <v>52</v>
      </c>
      <c r="C3393">
        <v>4.6666666670000003</v>
      </c>
      <c r="D3393">
        <v>6.4</v>
      </c>
      <c r="E3393" s="27">
        <v>72.916666669999998</v>
      </c>
      <c r="F3393">
        <v>7.28</v>
      </c>
      <c r="G3393">
        <v>0.81</v>
      </c>
      <c r="H3393">
        <v>8.09</v>
      </c>
      <c r="I3393">
        <v>89.99</v>
      </c>
      <c r="J3393">
        <v>57.68</v>
      </c>
      <c r="K3393" s="9">
        <v>45378</v>
      </c>
      <c r="L3393">
        <f xml:space="preserve"> (交易處理資料__3[[#This Row],[售出工時]] * 60) / 5</f>
        <v>56.000000004</v>
      </c>
      <c r="M3393" t="str">
        <f>VLOOKUP(交易處理資料__3[[#This Row],[人員代號]],團隊分組!$B$1:$C$52,2,FALSE)</f>
        <v>查修團隊B</v>
      </c>
      <c r="N3393">
        <f>IF(交易處理資料__3[[#This Row],[上班時間]]=0,0,交易處理資料__3[[#This Row],[售出工時]]/交易處理資料__3[[#This Row],[上班時間]])</f>
        <v>0.57684384017305323</v>
      </c>
      <c r="O3393" s="31" t="str">
        <f>IF(交易處理資料__3[[#This Row],[上班時間]]=0,"否","是")</f>
        <v>是</v>
      </c>
    </row>
    <row r="3394" spans="1:15" hidden="1">
      <c r="A3394" t="s">
        <v>75</v>
      </c>
      <c r="B3394" t="s">
        <v>53</v>
      </c>
      <c r="C3394">
        <v>5.0666666669999998</v>
      </c>
      <c r="D3394">
        <v>5.31</v>
      </c>
      <c r="E3394" s="27">
        <v>95.417451349999993</v>
      </c>
      <c r="F3394">
        <v>8.7899999999999991</v>
      </c>
      <c r="G3394">
        <v>0.92</v>
      </c>
      <c r="H3394">
        <v>9.7100000000000009</v>
      </c>
      <c r="I3394">
        <v>90.53</v>
      </c>
      <c r="J3394">
        <v>52.18</v>
      </c>
      <c r="K3394" s="9">
        <v>45378</v>
      </c>
      <c r="L3394">
        <f xml:space="preserve"> (交易處理資料__3[[#This Row],[售出工時]] * 60) / 5</f>
        <v>60.800000004000005</v>
      </c>
      <c r="M3394" t="str">
        <f>VLOOKUP(交易處理資料__3[[#This Row],[人員代號]],團隊分組!$B$1:$C$52,2,FALSE)</f>
        <v>查修團隊A</v>
      </c>
      <c r="N3394">
        <f>IF(交易處理資料__3[[#This Row],[上班時間]]=0,0,交易處理資料__3[[#This Row],[售出工時]]/交易處理資料__3[[#This Row],[上班時間]])</f>
        <v>0.5217988328527291</v>
      </c>
      <c r="O3394" s="31" t="str">
        <f>IF(交易處理資料__3[[#This Row],[上班時間]]=0,"否","是")</f>
        <v>是</v>
      </c>
    </row>
    <row r="3395" spans="1:15" hidden="1">
      <c r="A3395" s="10" t="s">
        <v>73</v>
      </c>
      <c r="B3395" t="s">
        <v>2</v>
      </c>
      <c r="C3395">
        <v>1.03</v>
      </c>
      <c r="D3395">
        <v>4.37</v>
      </c>
      <c r="E3395" s="27">
        <v>23.569794049999999</v>
      </c>
      <c r="F3395">
        <v>7.66</v>
      </c>
      <c r="G3395">
        <v>0.11</v>
      </c>
      <c r="H3395">
        <v>7.77</v>
      </c>
      <c r="I3395">
        <v>98.58</v>
      </c>
      <c r="J3395">
        <v>13.26</v>
      </c>
      <c r="K3395" s="9">
        <v>45379</v>
      </c>
      <c r="L3395">
        <f xml:space="preserve"> (交易處理資料__3[[#This Row],[售出工時]] * 60) / 5</f>
        <v>12.360000000000001</v>
      </c>
      <c r="M3395" t="str">
        <f>VLOOKUP(交易處理資料__3[[#This Row],[人員代號]],團隊分組!$B$1:$C$52,2,FALSE)</f>
        <v>噴漆維修組</v>
      </c>
      <c r="N3395">
        <f>IF(交易處理資料__3[[#This Row],[上班時間]]=0,0,交易處理資料__3[[#This Row],[售出工時]]/交易處理資料__3[[#This Row],[上班時間]])</f>
        <v>0.13256113256113258</v>
      </c>
      <c r="O3395" s="31" t="str">
        <f>IF(交易處理資料__3[[#This Row],[上班時間]]=0,"否","是")</f>
        <v>是</v>
      </c>
    </row>
    <row r="3396" spans="1:15" hidden="1">
      <c r="A3396" s="10" t="s">
        <v>73</v>
      </c>
      <c r="B3396" t="s">
        <v>3</v>
      </c>
      <c r="C3396">
        <v>1.03</v>
      </c>
      <c r="D3396">
        <v>4.3499999999999996</v>
      </c>
      <c r="E3396" s="27">
        <v>23.67816092</v>
      </c>
      <c r="F3396">
        <v>7.66</v>
      </c>
      <c r="G3396">
        <v>0.11</v>
      </c>
      <c r="H3396">
        <v>7.77</v>
      </c>
      <c r="I3396">
        <v>98.58</v>
      </c>
      <c r="J3396">
        <v>13.26</v>
      </c>
      <c r="K3396" s="9">
        <v>45379</v>
      </c>
      <c r="L3396">
        <f xml:space="preserve"> (交易處理資料__3[[#This Row],[售出工時]] * 60) / 5</f>
        <v>12.360000000000001</v>
      </c>
      <c r="M3396" t="str">
        <f>VLOOKUP(交易處理資料__3[[#This Row],[人員代號]],團隊分組!$B$1:$C$52,2,FALSE)</f>
        <v>噴漆維修組</v>
      </c>
      <c r="N3396">
        <f>IF(交易處理資料__3[[#This Row],[上班時間]]=0,0,交易處理資料__3[[#This Row],[售出工時]]/交易處理資料__3[[#This Row],[上班時間]])</f>
        <v>0.13256113256113258</v>
      </c>
      <c r="O3396" s="31" t="str">
        <f>IF(交易處理資料__3[[#This Row],[上班時間]]=0,"否","是")</f>
        <v>是</v>
      </c>
    </row>
    <row r="3397" spans="1:15" hidden="1">
      <c r="A3397" s="10" t="s">
        <v>73</v>
      </c>
      <c r="B3397" t="s">
        <v>6</v>
      </c>
      <c r="C3397">
        <v>1.02</v>
      </c>
      <c r="D3397">
        <v>4.33</v>
      </c>
      <c r="E3397" s="27">
        <v>23.556581990000002</v>
      </c>
      <c r="F3397">
        <v>7.68</v>
      </c>
      <c r="G3397">
        <v>0.1</v>
      </c>
      <c r="H3397">
        <v>7.78</v>
      </c>
      <c r="I3397">
        <v>98.71</v>
      </c>
      <c r="J3397">
        <v>13.11</v>
      </c>
      <c r="K3397" s="9">
        <v>45379</v>
      </c>
      <c r="L3397">
        <f xml:space="preserve"> (交易處理資料__3[[#This Row],[售出工時]] * 60) / 5</f>
        <v>12.24</v>
      </c>
      <c r="M3397" t="str">
        <f>VLOOKUP(交易處理資料__3[[#This Row],[人員代號]],團隊分組!$B$1:$C$52,2,FALSE)</f>
        <v>噴漆維修組</v>
      </c>
      <c r="N3397">
        <f>IF(交易處理資料__3[[#This Row],[上班時間]]=0,0,交易處理資料__3[[#This Row],[售出工時]]/交易處理資料__3[[#This Row],[上班時間]])</f>
        <v>0.13110539845758354</v>
      </c>
      <c r="O3397" s="31" t="str">
        <f>IF(交易處理資料__3[[#This Row],[上班時間]]=0,"否","是")</f>
        <v>是</v>
      </c>
    </row>
    <row r="3398" spans="1:15" hidden="1">
      <c r="A3398" s="10" t="s">
        <v>73</v>
      </c>
      <c r="B3398" t="s">
        <v>8</v>
      </c>
      <c r="C3398">
        <v>0</v>
      </c>
      <c r="D3398">
        <v>0</v>
      </c>
      <c r="E3398" s="27">
        <v>0</v>
      </c>
      <c r="F3398">
        <v>7.54</v>
      </c>
      <c r="G3398">
        <v>0.5</v>
      </c>
      <c r="H3398">
        <v>8.0399999999999991</v>
      </c>
      <c r="I3398">
        <v>93.78</v>
      </c>
      <c r="J3398">
        <v>0</v>
      </c>
      <c r="K3398" s="9">
        <v>45379</v>
      </c>
      <c r="L3398">
        <f xml:space="preserve"> (交易處理資料__3[[#This Row],[售出工時]] * 60) / 5</f>
        <v>0</v>
      </c>
      <c r="M3398" t="str">
        <f>VLOOKUP(交易處理資料__3[[#This Row],[人員代號]],團隊分組!$B$1:$C$52,2,FALSE)</f>
        <v>噴漆維修組</v>
      </c>
      <c r="N3398">
        <f>IF(交易處理資料__3[[#This Row],[上班時間]]=0,0,交易處理資料__3[[#This Row],[售出工時]]/交易處理資料__3[[#This Row],[上班時間]])</f>
        <v>0</v>
      </c>
      <c r="O3398" s="31" t="str">
        <f>IF(交易處理資料__3[[#This Row],[上班時間]]=0,"否","是")</f>
        <v>是</v>
      </c>
    </row>
    <row r="3399" spans="1:15" hidden="1">
      <c r="A3399" s="10" t="s">
        <v>73</v>
      </c>
      <c r="B3399" t="s">
        <v>9</v>
      </c>
      <c r="C3399">
        <v>0</v>
      </c>
      <c r="D3399">
        <v>0</v>
      </c>
      <c r="E3399" s="27">
        <v>0</v>
      </c>
      <c r="F3399">
        <v>9.83</v>
      </c>
      <c r="G3399">
        <v>0.73</v>
      </c>
      <c r="H3399">
        <v>10.56</v>
      </c>
      <c r="I3399">
        <v>93.09</v>
      </c>
      <c r="J3399">
        <v>0</v>
      </c>
      <c r="K3399" s="9">
        <v>45379</v>
      </c>
      <c r="L3399">
        <f xml:space="preserve"> (交易處理資料__3[[#This Row],[售出工時]] * 60) / 5</f>
        <v>0</v>
      </c>
      <c r="M3399" t="str">
        <f>VLOOKUP(交易處理資料__3[[#This Row],[人員代號]],團隊分組!$B$1:$C$52,2,FALSE)</f>
        <v>噴漆維修組</v>
      </c>
      <c r="N3399">
        <f>IF(交易處理資料__3[[#This Row],[上班時間]]=0,0,交易處理資料__3[[#This Row],[售出工時]]/交易處理資料__3[[#This Row],[上班時間]])</f>
        <v>0</v>
      </c>
      <c r="O3399" s="31" t="str">
        <f>IF(交易處理資料__3[[#This Row],[上班時間]]=0,"否","是")</f>
        <v>是</v>
      </c>
    </row>
    <row r="3400" spans="1:15" hidden="1">
      <c r="A3400" t="s">
        <v>74</v>
      </c>
      <c r="B3400" t="s">
        <v>11</v>
      </c>
      <c r="C3400">
        <v>6.8333333329999997</v>
      </c>
      <c r="D3400">
        <v>1.57</v>
      </c>
      <c r="E3400" s="27">
        <v>435.2441614</v>
      </c>
      <c r="F3400">
        <v>3.2</v>
      </c>
      <c r="G3400">
        <v>4.82</v>
      </c>
      <c r="H3400">
        <v>8.02</v>
      </c>
      <c r="I3400">
        <v>39.9</v>
      </c>
      <c r="J3400">
        <v>85.2</v>
      </c>
      <c r="K3400" s="9">
        <v>45379</v>
      </c>
      <c r="L3400">
        <f xml:space="preserve"> (交易處理資料__3[[#This Row],[售出工時]] * 60) / 5</f>
        <v>81.999999996</v>
      </c>
      <c r="M3400" t="str">
        <f>VLOOKUP(交易處理資料__3[[#This Row],[人員代號]],團隊分組!$B$1:$C$52,2,FALSE)</f>
        <v>鈑金維修組</v>
      </c>
      <c r="N3400">
        <f>IF(交易處理資料__3[[#This Row],[上班時間]]=0,0,交易處理資料__3[[#This Row],[售出工時]]/交易處理資料__3[[#This Row],[上班時間]])</f>
        <v>0.85203657518703246</v>
      </c>
      <c r="O3400" s="31" t="str">
        <f>IF(交易處理資料__3[[#This Row],[上班時間]]=0,"否","是")</f>
        <v>是</v>
      </c>
    </row>
    <row r="3401" spans="1:15" hidden="1">
      <c r="A3401" t="s">
        <v>74</v>
      </c>
      <c r="B3401" t="s">
        <v>12</v>
      </c>
      <c r="C3401">
        <v>8.1666666669999994</v>
      </c>
      <c r="D3401">
        <v>4.5199999999999996</v>
      </c>
      <c r="E3401" s="27">
        <v>180.67846610000001</v>
      </c>
      <c r="F3401">
        <v>3.56</v>
      </c>
      <c r="G3401">
        <v>4.45</v>
      </c>
      <c r="H3401">
        <v>8.01</v>
      </c>
      <c r="I3401">
        <v>44.44</v>
      </c>
      <c r="J3401">
        <v>101.96</v>
      </c>
      <c r="K3401" s="9">
        <v>45379</v>
      </c>
      <c r="L3401">
        <f xml:space="preserve"> (交易處理資料__3[[#This Row],[售出工時]] * 60) / 5</f>
        <v>98.000000003999986</v>
      </c>
      <c r="M3401" t="str">
        <f>VLOOKUP(交易處理資料__3[[#This Row],[人員代號]],團隊分組!$B$1:$C$52,2,FALSE)</f>
        <v>鈑金維修組</v>
      </c>
      <c r="N3401">
        <f>IF(交易處理資料__3[[#This Row],[上班時間]]=0,0,交易處理資料__3[[#This Row],[售出工時]]/交易處理資料__3[[#This Row],[上班時間]])</f>
        <v>1.0195588847690387</v>
      </c>
      <c r="O3401" s="31" t="str">
        <f>IF(交易處理資料__3[[#This Row],[上班時間]]=0,"否","是")</f>
        <v>是</v>
      </c>
    </row>
    <row r="3402" spans="1:15" hidden="1">
      <c r="A3402" t="s">
        <v>75</v>
      </c>
      <c r="B3402" t="s">
        <v>18</v>
      </c>
      <c r="C3402">
        <v>0</v>
      </c>
      <c r="D3402">
        <v>0</v>
      </c>
      <c r="E3402" s="27">
        <v>0</v>
      </c>
      <c r="F3402">
        <v>8.9</v>
      </c>
      <c r="G3402">
        <v>0.17</v>
      </c>
      <c r="H3402">
        <v>9.07</v>
      </c>
      <c r="I3402">
        <v>98.13</v>
      </c>
      <c r="J3402">
        <v>0</v>
      </c>
      <c r="K3402" s="9">
        <v>45379</v>
      </c>
      <c r="L3402">
        <f xml:space="preserve"> (交易處理資料__3[[#This Row],[售出工時]] * 60) / 5</f>
        <v>0</v>
      </c>
      <c r="M3402" t="str">
        <f>VLOOKUP(交易處理資料__3[[#This Row],[人員代號]],團隊分組!$B$1:$C$52,2,FALSE)</f>
        <v>查修團隊B</v>
      </c>
      <c r="N3402">
        <f>IF(交易處理資料__3[[#This Row],[上班時間]]=0,0,交易處理資料__3[[#This Row],[售出工時]]/交易處理資料__3[[#This Row],[上班時間]])</f>
        <v>0</v>
      </c>
      <c r="O3402" s="31" t="str">
        <f>IF(交易處理資料__3[[#This Row],[上班時間]]=0,"否","是")</f>
        <v>是</v>
      </c>
    </row>
    <row r="3403" spans="1:15" hidden="1">
      <c r="A3403" t="s">
        <v>75</v>
      </c>
      <c r="B3403" t="s">
        <v>20</v>
      </c>
      <c r="C3403">
        <v>0</v>
      </c>
      <c r="D3403">
        <v>0</v>
      </c>
      <c r="E3403" s="27">
        <v>0</v>
      </c>
      <c r="F3403">
        <v>0</v>
      </c>
      <c r="G3403">
        <v>9.2200000000000006</v>
      </c>
      <c r="H3403">
        <v>9.2200000000000006</v>
      </c>
      <c r="I3403">
        <v>0</v>
      </c>
      <c r="J3403">
        <v>0</v>
      </c>
      <c r="K3403" s="9">
        <v>45379</v>
      </c>
      <c r="L3403">
        <f xml:space="preserve"> (交易處理資料__3[[#This Row],[售出工時]] * 60) / 5</f>
        <v>0</v>
      </c>
      <c r="M3403" t="str">
        <f>VLOOKUP(交易處理資料__3[[#This Row],[人員代號]],團隊分組!$B$1:$C$52,2,FALSE)</f>
        <v>查修團隊B</v>
      </c>
      <c r="N3403">
        <f>IF(交易處理資料__3[[#This Row],[上班時間]]=0,0,交易處理資料__3[[#This Row],[售出工時]]/交易處理資料__3[[#This Row],[上班時間]])</f>
        <v>0</v>
      </c>
      <c r="O3403" s="31" t="str">
        <f>IF(交易處理資料__3[[#This Row],[上班時間]]=0,"否","是")</f>
        <v>是</v>
      </c>
    </row>
    <row r="3404" spans="1:15" hidden="1">
      <c r="A3404" t="s">
        <v>75</v>
      </c>
      <c r="B3404" t="s">
        <v>22</v>
      </c>
      <c r="C3404">
        <v>5.1366666670000001</v>
      </c>
      <c r="D3404">
        <v>5.61</v>
      </c>
      <c r="E3404" s="27">
        <v>91.562685680000001</v>
      </c>
      <c r="F3404">
        <v>7.65</v>
      </c>
      <c r="G3404">
        <v>0.62</v>
      </c>
      <c r="H3404">
        <v>8.27</v>
      </c>
      <c r="I3404">
        <v>92.5</v>
      </c>
      <c r="J3404">
        <v>62.11</v>
      </c>
      <c r="K3404" s="9">
        <v>45379</v>
      </c>
      <c r="L3404">
        <f xml:space="preserve"> (交易處理資料__3[[#This Row],[售出工時]] * 60) / 5</f>
        <v>61.640000004000001</v>
      </c>
      <c r="M3404" t="str">
        <f>VLOOKUP(交易處理資料__3[[#This Row],[人員代號]],團隊分組!$B$1:$C$52,2,FALSE)</f>
        <v>快速保養團隊A</v>
      </c>
      <c r="N3404">
        <f>IF(交易處理資料__3[[#This Row],[上班時間]]=0,0,交易處理資料__3[[#This Row],[售出工時]]/交易處理資料__3[[#This Row],[上班時間]])</f>
        <v>0.62112051596130602</v>
      </c>
      <c r="O3404" s="31" t="str">
        <f>IF(交易處理資料__3[[#This Row],[上班時間]]=0,"否","是")</f>
        <v>是</v>
      </c>
    </row>
    <row r="3405" spans="1:15" hidden="1">
      <c r="A3405" t="s">
        <v>75</v>
      </c>
      <c r="B3405" t="s">
        <v>23</v>
      </c>
      <c r="C3405">
        <v>10.41666667</v>
      </c>
      <c r="D3405">
        <v>4.79</v>
      </c>
      <c r="E3405" s="27">
        <v>217.46694500000001</v>
      </c>
      <c r="F3405">
        <v>6.59</v>
      </c>
      <c r="G3405">
        <v>1.71</v>
      </c>
      <c r="H3405">
        <v>8.3000000000000007</v>
      </c>
      <c r="I3405">
        <v>79.400000000000006</v>
      </c>
      <c r="J3405">
        <v>125.5</v>
      </c>
      <c r="K3405" s="9">
        <v>45379</v>
      </c>
      <c r="L3405">
        <f xml:space="preserve"> (交易處理資料__3[[#This Row],[售出工時]] * 60) / 5</f>
        <v>125.00000003999999</v>
      </c>
      <c r="M3405" t="str">
        <f>VLOOKUP(交易處理資料__3[[#This Row],[人員代號]],團隊分組!$B$1:$C$52,2,FALSE)</f>
        <v>快速保養團隊B</v>
      </c>
      <c r="N3405">
        <f>IF(交易處理資料__3[[#This Row],[上班時間]]=0,0,交易處理資料__3[[#This Row],[售出工時]]/交易處理資料__3[[#This Row],[上班時間]])</f>
        <v>1.2550200807228915</v>
      </c>
      <c r="O3405" s="31" t="str">
        <f>IF(交易處理資料__3[[#This Row],[上班時間]]=0,"否","是")</f>
        <v>是</v>
      </c>
    </row>
    <row r="3406" spans="1:15" hidden="1">
      <c r="A3406" t="s">
        <v>75</v>
      </c>
      <c r="B3406" t="s">
        <v>27</v>
      </c>
      <c r="C3406">
        <v>6.3433333330000004</v>
      </c>
      <c r="D3406">
        <v>5.18</v>
      </c>
      <c r="E3406" s="27">
        <v>122.4581725</v>
      </c>
      <c r="F3406">
        <v>7.64</v>
      </c>
      <c r="G3406">
        <v>0.13</v>
      </c>
      <c r="H3406">
        <v>7.77</v>
      </c>
      <c r="I3406">
        <v>98.33</v>
      </c>
      <c r="J3406">
        <v>81.64</v>
      </c>
      <c r="K3406" s="9">
        <v>45379</v>
      </c>
      <c r="L3406">
        <f xml:space="preserve"> (交易處理資料__3[[#This Row],[售出工時]] * 60) / 5</f>
        <v>76.119999996000004</v>
      </c>
      <c r="M3406" t="str">
        <f>VLOOKUP(交易處理資料__3[[#This Row],[人員代號]],團隊分組!$B$1:$C$52,2,FALSE)</f>
        <v>快速保養團隊B</v>
      </c>
      <c r="N3406">
        <f>IF(交易處理資料__3[[#This Row],[上班時間]]=0,0,交易處理資料__3[[#This Row],[售出工時]]/交易處理資料__3[[#This Row],[上班時間]])</f>
        <v>0.81638781634491642</v>
      </c>
      <c r="O3406" s="31" t="str">
        <f>IF(交易處理資料__3[[#This Row],[上班時間]]=0,"否","是")</f>
        <v>是</v>
      </c>
    </row>
    <row r="3407" spans="1:15" hidden="1">
      <c r="A3407" t="s">
        <v>75</v>
      </c>
      <c r="B3407" t="s">
        <v>30</v>
      </c>
      <c r="C3407">
        <v>10.32</v>
      </c>
      <c r="D3407">
        <v>6.17</v>
      </c>
      <c r="E3407" s="27">
        <v>167.26094000000001</v>
      </c>
      <c r="F3407">
        <v>8.9499999999999993</v>
      </c>
      <c r="G3407">
        <v>0.63</v>
      </c>
      <c r="H3407">
        <v>9.58</v>
      </c>
      <c r="I3407">
        <v>93.42</v>
      </c>
      <c r="J3407">
        <v>107.72</v>
      </c>
      <c r="K3407" s="9">
        <v>45379</v>
      </c>
      <c r="L3407">
        <f xml:space="preserve"> (交易處理資料__3[[#This Row],[售出工時]] * 60) / 5</f>
        <v>123.84</v>
      </c>
      <c r="M3407" t="str">
        <f>VLOOKUP(交易處理資料__3[[#This Row],[人員代號]],團隊分組!$B$1:$C$52,2,FALSE)</f>
        <v>快速保養團隊B</v>
      </c>
      <c r="N3407">
        <f>IF(交易處理資料__3[[#This Row],[上班時間]]=0,0,交易處理資料__3[[#This Row],[售出工時]]/交易處理資料__3[[#This Row],[上班時間]])</f>
        <v>1.0772442588726514</v>
      </c>
      <c r="O3407" s="31" t="str">
        <f>IF(交易處理資料__3[[#This Row],[上班時間]]=0,"否","是")</f>
        <v>是</v>
      </c>
    </row>
    <row r="3408" spans="1:15" hidden="1">
      <c r="A3408" t="s">
        <v>75</v>
      </c>
      <c r="B3408" t="s">
        <v>32</v>
      </c>
      <c r="C3408">
        <v>13.5</v>
      </c>
      <c r="D3408">
        <v>6.96</v>
      </c>
      <c r="E3408" s="27">
        <v>193.96551719999999</v>
      </c>
      <c r="F3408">
        <v>7.59</v>
      </c>
      <c r="G3408">
        <v>0.35</v>
      </c>
      <c r="H3408">
        <v>7.94</v>
      </c>
      <c r="I3408">
        <v>95.59</v>
      </c>
      <c r="J3408">
        <v>170.03</v>
      </c>
      <c r="K3408" s="9">
        <v>45379</v>
      </c>
      <c r="L3408">
        <f xml:space="preserve"> (交易處理資料__3[[#This Row],[售出工時]] * 60) / 5</f>
        <v>162</v>
      </c>
      <c r="M3408" t="str">
        <f>VLOOKUP(交易處理資料__3[[#This Row],[人員代號]],團隊分組!$B$1:$C$52,2,FALSE)</f>
        <v>快速保養團隊B</v>
      </c>
      <c r="N3408">
        <f>IF(交易處理資料__3[[#This Row],[上班時間]]=0,0,交易處理資料__3[[#This Row],[售出工時]]/交易處理資料__3[[#This Row],[上班時間]])</f>
        <v>1.7002518891687657</v>
      </c>
      <c r="O3408" s="31" t="str">
        <f>IF(交易處理資料__3[[#This Row],[上班時間]]=0,"否","是")</f>
        <v>是</v>
      </c>
    </row>
    <row r="3409" spans="1:15">
      <c r="A3409" t="s">
        <v>75</v>
      </c>
      <c r="B3409" t="s">
        <v>33</v>
      </c>
      <c r="C3409">
        <v>0</v>
      </c>
      <c r="D3409">
        <v>0</v>
      </c>
      <c r="E3409" s="27">
        <v>0</v>
      </c>
      <c r="F3409">
        <v>5.77</v>
      </c>
      <c r="G3409">
        <v>1.1599999999999999</v>
      </c>
      <c r="H3409">
        <v>6.93</v>
      </c>
      <c r="I3409">
        <v>83.26</v>
      </c>
      <c r="J3409">
        <v>0</v>
      </c>
      <c r="K3409" s="9">
        <v>45379</v>
      </c>
      <c r="L3409">
        <f xml:space="preserve"> (交易處理資料__3[[#This Row],[售出工時]] * 60) / 5</f>
        <v>0</v>
      </c>
      <c r="M3409" t="str">
        <f>VLOOKUP(交易處理資料__3[[#This Row],[人員代號]],團隊分組!$B$1:$C$52,2,FALSE)</f>
        <v>快速保養團隊B</v>
      </c>
      <c r="N3409">
        <f>IF(交易處理資料__3[[#This Row],[上班時間]]=0,0,交易處理資料__3[[#This Row],[售出工時]]/交易處理資料__3[[#This Row],[上班時間]])</f>
        <v>0</v>
      </c>
      <c r="O3409" s="31" t="str">
        <f>IF(交易處理資料__3[[#This Row],[上班時間]]=0,"否","是")</f>
        <v>是</v>
      </c>
    </row>
    <row r="3410" spans="1:15" hidden="1">
      <c r="A3410" t="s">
        <v>75</v>
      </c>
      <c r="B3410" t="s">
        <v>36</v>
      </c>
      <c r="C3410">
        <v>5.5733333329999999</v>
      </c>
      <c r="D3410">
        <v>6.78</v>
      </c>
      <c r="E3410" s="27">
        <v>82.202556540000003</v>
      </c>
      <c r="F3410">
        <v>6.78</v>
      </c>
      <c r="G3410">
        <v>1.95</v>
      </c>
      <c r="H3410">
        <v>8.73</v>
      </c>
      <c r="I3410">
        <v>77.66</v>
      </c>
      <c r="J3410">
        <v>63.84</v>
      </c>
      <c r="K3410" s="9">
        <v>45379</v>
      </c>
      <c r="L3410">
        <f xml:space="preserve"> (交易處理資料__3[[#This Row],[售出工時]] * 60) / 5</f>
        <v>66.879999996000009</v>
      </c>
      <c r="M3410" t="str">
        <f>VLOOKUP(交易處理資料__3[[#This Row],[人員代號]],團隊分組!$B$1:$C$52,2,FALSE)</f>
        <v>查修團隊B</v>
      </c>
      <c r="N3410">
        <f>IF(交易處理資料__3[[#This Row],[上班時間]]=0,0,交易處理資料__3[[#This Row],[售出工時]]/交易處理資料__3[[#This Row],[上班時間]])</f>
        <v>0.63841160744558989</v>
      </c>
      <c r="O3410" s="31" t="str">
        <f>IF(交易處理資料__3[[#This Row],[上班時間]]=0,"否","是")</f>
        <v>是</v>
      </c>
    </row>
    <row r="3411" spans="1:15" hidden="1">
      <c r="A3411" t="s">
        <v>75</v>
      </c>
      <c r="B3411" t="s">
        <v>37</v>
      </c>
      <c r="C3411">
        <v>3.8333333330000001</v>
      </c>
      <c r="D3411">
        <v>5.2</v>
      </c>
      <c r="E3411" s="27">
        <v>73.717948719999995</v>
      </c>
      <c r="F3411">
        <v>9.15</v>
      </c>
      <c r="G3411">
        <v>0.22</v>
      </c>
      <c r="H3411">
        <v>9.3699999999999992</v>
      </c>
      <c r="I3411">
        <v>97.65</v>
      </c>
      <c r="J3411">
        <v>40.909999999999997</v>
      </c>
      <c r="K3411" s="9">
        <v>45379</v>
      </c>
      <c r="L3411">
        <f xml:space="preserve"> (交易處理資料__3[[#This Row],[售出工時]] * 60) / 5</f>
        <v>45.999999996</v>
      </c>
      <c r="M3411" t="str">
        <f>VLOOKUP(交易處理資料__3[[#This Row],[人員代號]],團隊分組!$B$1:$C$52,2,FALSE)</f>
        <v>查修團隊A</v>
      </c>
      <c r="N3411">
        <f>IF(交易處理資料__3[[#This Row],[上班時間]]=0,0,交易處理資料__3[[#This Row],[售出工時]]/交易處理資料__3[[#This Row],[上班時間]])</f>
        <v>0.4091070792956244</v>
      </c>
      <c r="O3411" s="31" t="str">
        <f>IF(交易處理資料__3[[#This Row],[上班時間]]=0,"否","是")</f>
        <v>是</v>
      </c>
    </row>
    <row r="3412" spans="1:15" hidden="1">
      <c r="A3412" t="s">
        <v>75</v>
      </c>
      <c r="B3412" t="s">
        <v>38</v>
      </c>
      <c r="C3412">
        <v>23.213333330000001</v>
      </c>
      <c r="D3412">
        <v>9.08</v>
      </c>
      <c r="E3412" s="27">
        <v>255.6534508</v>
      </c>
      <c r="F3412">
        <v>9.0299999999999994</v>
      </c>
      <c r="G3412">
        <v>0.26</v>
      </c>
      <c r="H3412">
        <v>9.2899999999999991</v>
      </c>
      <c r="I3412">
        <v>97.2</v>
      </c>
      <c r="J3412">
        <v>249.87</v>
      </c>
      <c r="K3412" s="9">
        <v>45379</v>
      </c>
      <c r="L3412">
        <f xml:space="preserve"> (交易處理資料__3[[#This Row],[售出工時]] * 60) / 5</f>
        <v>278.55999996000003</v>
      </c>
      <c r="M3412" t="str">
        <f>VLOOKUP(交易處理資料__3[[#This Row],[人員代號]],團隊分組!$B$1:$C$52,2,FALSE)</f>
        <v>快速保養團隊A</v>
      </c>
      <c r="N3412">
        <f>IF(交易處理資料__3[[#This Row],[上班時間]]=0,0,交易處理資料__3[[#This Row],[售出工時]]/交易處理資料__3[[#This Row],[上班時間]])</f>
        <v>2.498744168998924</v>
      </c>
      <c r="O3412" s="31" t="str">
        <f>IF(交易處理資料__3[[#This Row],[上班時間]]=0,"否","是")</f>
        <v>是</v>
      </c>
    </row>
    <row r="3413" spans="1:15" hidden="1">
      <c r="A3413" t="s">
        <v>75</v>
      </c>
      <c r="B3413" t="s">
        <v>39</v>
      </c>
      <c r="C3413">
        <v>0</v>
      </c>
      <c r="D3413">
        <v>0</v>
      </c>
      <c r="E3413" s="27">
        <v>0</v>
      </c>
      <c r="F3413">
        <v>8.9</v>
      </c>
      <c r="G3413">
        <v>0.97</v>
      </c>
      <c r="H3413">
        <v>9.8699999999999992</v>
      </c>
      <c r="I3413">
        <v>90.17</v>
      </c>
      <c r="J3413">
        <v>0</v>
      </c>
      <c r="K3413" s="9">
        <v>45379</v>
      </c>
      <c r="L3413">
        <f xml:space="preserve"> (交易處理資料__3[[#This Row],[售出工時]] * 60) / 5</f>
        <v>0</v>
      </c>
      <c r="M3413" t="str">
        <f>VLOOKUP(交易處理資料__3[[#This Row],[人員代號]],團隊分組!$B$1:$C$52,2,FALSE)</f>
        <v>查修團隊A</v>
      </c>
      <c r="N3413">
        <f>IF(交易處理資料__3[[#This Row],[上班時間]]=0,0,交易處理資料__3[[#This Row],[售出工時]]/交易處理資料__3[[#This Row],[上班時間]])</f>
        <v>0</v>
      </c>
      <c r="O3413" s="31" t="str">
        <f>IF(交易處理資料__3[[#This Row],[上班時間]]=0,"否","是")</f>
        <v>是</v>
      </c>
    </row>
    <row r="3414" spans="1:15" hidden="1">
      <c r="A3414" t="s">
        <v>75</v>
      </c>
      <c r="B3414" t="s">
        <v>47</v>
      </c>
      <c r="C3414">
        <v>1.9166666670000001</v>
      </c>
      <c r="D3414">
        <v>7.51</v>
      </c>
      <c r="E3414" s="27">
        <v>25.521526850000001</v>
      </c>
      <c r="F3414">
        <v>7.39</v>
      </c>
      <c r="G3414">
        <v>0.81</v>
      </c>
      <c r="H3414">
        <v>8.1999999999999993</v>
      </c>
      <c r="I3414">
        <v>90.12</v>
      </c>
      <c r="J3414">
        <v>23.37</v>
      </c>
      <c r="K3414" s="9">
        <v>45379</v>
      </c>
      <c r="L3414">
        <f xml:space="preserve"> (交易處理資料__3[[#This Row],[售出工時]] * 60) / 5</f>
        <v>23.000000004</v>
      </c>
      <c r="M3414" t="str">
        <f>VLOOKUP(交易處理資料__3[[#This Row],[人員代號]],團隊分組!$B$1:$C$52,2,FALSE)</f>
        <v>查修團隊B</v>
      </c>
      <c r="N3414">
        <f>IF(交易處理資料__3[[#This Row],[上班時間]]=0,0,交易處理資料__3[[#This Row],[售出工時]]/交易處理資料__3[[#This Row],[上班時間]])</f>
        <v>0.23373983743902443</v>
      </c>
      <c r="O3414" s="31" t="str">
        <f>IF(交易處理資料__3[[#This Row],[上班時間]]=0,"否","是")</f>
        <v>是</v>
      </c>
    </row>
    <row r="3415" spans="1:15" hidden="1">
      <c r="A3415" t="s">
        <v>75</v>
      </c>
      <c r="B3415" t="s">
        <v>51</v>
      </c>
      <c r="C3415">
        <v>0</v>
      </c>
      <c r="D3415">
        <v>0</v>
      </c>
      <c r="E3415" s="27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 s="9">
        <v>45379</v>
      </c>
      <c r="L3415">
        <f xml:space="preserve"> (交易處理資料__3[[#This Row],[售出工時]] * 60) / 5</f>
        <v>0</v>
      </c>
      <c r="M3415" t="str">
        <f>VLOOKUP(交易處理資料__3[[#This Row],[人員代號]],團隊分組!$B$1:$C$52,2,FALSE)</f>
        <v>無效數據</v>
      </c>
      <c r="N3415">
        <f>IF(交易處理資料__3[[#This Row],[上班時間]]=0,0,交易處理資料__3[[#This Row],[售出工時]]/交易處理資料__3[[#This Row],[上班時間]])</f>
        <v>0</v>
      </c>
      <c r="O3415" s="31" t="str">
        <f>IF(交易處理資料__3[[#This Row],[上班時間]]=0,"否","是")</f>
        <v>否</v>
      </c>
    </row>
    <row r="3416" spans="1:15" hidden="1">
      <c r="A3416" t="s">
        <v>75</v>
      </c>
      <c r="B3416" t="s">
        <v>52</v>
      </c>
      <c r="C3416">
        <v>3.6666666669999999</v>
      </c>
      <c r="D3416">
        <v>5.64</v>
      </c>
      <c r="E3416" s="27">
        <v>65.011820330000006</v>
      </c>
      <c r="F3416">
        <v>6.52</v>
      </c>
      <c r="G3416">
        <v>1.64</v>
      </c>
      <c r="H3416">
        <v>8.16</v>
      </c>
      <c r="I3416">
        <v>79.900000000000006</v>
      </c>
      <c r="J3416">
        <v>44.93</v>
      </c>
      <c r="K3416" s="9">
        <v>45379</v>
      </c>
      <c r="L3416">
        <f xml:space="preserve"> (交易處理資料__3[[#This Row],[售出工時]] * 60) / 5</f>
        <v>44.000000004</v>
      </c>
      <c r="M3416" t="str">
        <f>VLOOKUP(交易處理資料__3[[#This Row],[人員代號]],團隊分組!$B$1:$C$52,2,FALSE)</f>
        <v>查修團隊B</v>
      </c>
      <c r="N3416">
        <f>IF(交易處理資料__3[[#This Row],[上班時間]]=0,0,交易處理資料__3[[#This Row],[售出工時]]/交易處理資料__3[[#This Row],[上班時間]])</f>
        <v>0.44934640526960784</v>
      </c>
      <c r="O3416" s="31" t="str">
        <f>IF(交易處理資料__3[[#This Row],[上班時間]]=0,"否","是")</f>
        <v>是</v>
      </c>
    </row>
    <row r="3417" spans="1:15" hidden="1">
      <c r="A3417" s="10" t="s">
        <v>73</v>
      </c>
      <c r="B3417" t="s">
        <v>3</v>
      </c>
      <c r="C3417">
        <v>1.59</v>
      </c>
      <c r="D3417">
        <v>5.53</v>
      </c>
      <c r="E3417" s="27">
        <v>28.752260400000001</v>
      </c>
      <c r="F3417">
        <v>7.83</v>
      </c>
      <c r="G3417">
        <v>0.2</v>
      </c>
      <c r="H3417">
        <v>8.0299999999999994</v>
      </c>
      <c r="I3417">
        <v>97.51</v>
      </c>
      <c r="J3417">
        <v>19.8</v>
      </c>
      <c r="K3417" s="9">
        <v>45380</v>
      </c>
      <c r="L3417">
        <f xml:space="preserve"> (交易處理資料__3[[#This Row],[售出工時]] * 60) / 5</f>
        <v>19.080000000000002</v>
      </c>
      <c r="M3417" t="str">
        <f>VLOOKUP(交易處理資料__3[[#This Row],[人員代號]],團隊分組!$B$1:$C$52,2,FALSE)</f>
        <v>噴漆維修組</v>
      </c>
      <c r="N3417">
        <f>IF(交易處理資料__3[[#This Row],[上班時間]]=0,0,交易處理資料__3[[#This Row],[售出工時]]/交易處理資料__3[[#This Row],[上班時間]])</f>
        <v>0.19800747198007473</v>
      </c>
      <c r="O3417" s="31" t="str">
        <f>IF(交易處理資料__3[[#This Row],[上班時間]]=0,"否","是")</f>
        <v>是</v>
      </c>
    </row>
    <row r="3418" spans="1:15" hidden="1">
      <c r="A3418" s="10" t="s">
        <v>73</v>
      </c>
      <c r="B3418" t="s">
        <v>6</v>
      </c>
      <c r="C3418">
        <v>2.74</v>
      </c>
      <c r="D3418">
        <v>7.19</v>
      </c>
      <c r="E3418" s="27">
        <v>38.108484009999998</v>
      </c>
      <c r="F3418">
        <v>7.85</v>
      </c>
      <c r="G3418">
        <v>0.19</v>
      </c>
      <c r="H3418">
        <v>8.0399999999999991</v>
      </c>
      <c r="I3418">
        <v>97.64</v>
      </c>
      <c r="J3418">
        <v>34.08</v>
      </c>
      <c r="K3418" s="9">
        <v>45380</v>
      </c>
      <c r="L3418">
        <f xml:space="preserve"> (交易處理資料__3[[#This Row],[售出工時]] * 60) / 5</f>
        <v>32.880000000000003</v>
      </c>
      <c r="M3418" t="str">
        <f>VLOOKUP(交易處理資料__3[[#This Row],[人員代號]],團隊分組!$B$1:$C$52,2,FALSE)</f>
        <v>噴漆維修組</v>
      </c>
      <c r="N3418">
        <f>IF(交易處理資料__3[[#This Row],[上班時間]]=0,0,交易處理資料__3[[#This Row],[售出工時]]/交易處理資料__3[[#This Row],[上班時間]])</f>
        <v>0.34079601990049757</v>
      </c>
      <c r="O3418" s="31" t="str">
        <f>IF(交易處理資料__3[[#This Row],[上班時間]]=0,"否","是")</f>
        <v>是</v>
      </c>
    </row>
    <row r="3419" spans="1:15" hidden="1">
      <c r="A3419" s="10" t="s">
        <v>73</v>
      </c>
      <c r="B3419" t="s">
        <v>8</v>
      </c>
      <c r="C3419">
        <v>0</v>
      </c>
      <c r="D3419">
        <v>0</v>
      </c>
      <c r="E3419" s="27">
        <v>0</v>
      </c>
      <c r="F3419">
        <v>7.57</v>
      </c>
      <c r="G3419">
        <v>0.48</v>
      </c>
      <c r="H3419">
        <v>8.0500000000000007</v>
      </c>
      <c r="I3419">
        <v>94.04</v>
      </c>
      <c r="J3419">
        <v>0</v>
      </c>
      <c r="K3419" s="9">
        <v>45380</v>
      </c>
      <c r="L3419">
        <f xml:space="preserve"> (交易處理資料__3[[#This Row],[售出工時]] * 60) / 5</f>
        <v>0</v>
      </c>
      <c r="M3419" t="str">
        <f>VLOOKUP(交易處理資料__3[[#This Row],[人員代號]],團隊分組!$B$1:$C$52,2,FALSE)</f>
        <v>噴漆維修組</v>
      </c>
      <c r="N3419">
        <f>IF(交易處理資料__3[[#This Row],[上班時間]]=0,0,交易處理資料__3[[#This Row],[售出工時]]/交易處理資料__3[[#This Row],[上班時間]])</f>
        <v>0</v>
      </c>
      <c r="O3419" s="31" t="str">
        <f>IF(交易處理資料__3[[#This Row],[上班時間]]=0,"否","是")</f>
        <v>是</v>
      </c>
    </row>
    <row r="3420" spans="1:15" hidden="1">
      <c r="A3420" t="s">
        <v>74</v>
      </c>
      <c r="B3420" t="s">
        <v>11</v>
      </c>
      <c r="C3420">
        <v>8.0833333330000006</v>
      </c>
      <c r="D3420">
        <v>1.6</v>
      </c>
      <c r="E3420" s="27">
        <v>505.20833329999999</v>
      </c>
      <c r="F3420">
        <v>4.05</v>
      </c>
      <c r="G3420">
        <v>4.07</v>
      </c>
      <c r="H3420">
        <v>8.1199999999999992</v>
      </c>
      <c r="I3420">
        <v>49.88</v>
      </c>
      <c r="J3420">
        <v>99.55</v>
      </c>
      <c r="K3420" s="9">
        <v>45380</v>
      </c>
      <c r="L3420">
        <f xml:space="preserve"> (交易處理資料__3[[#This Row],[售出工時]] * 60) / 5</f>
        <v>96.999999996000014</v>
      </c>
      <c r="M3420" t="str">
        <f>VLOOKUP(交易處理資料__3[[#This Row],[人員代號]],團隊分組!$B$1:$C$52,2,FALSE)</f>
        <v>鈑金維修組</v>
      </c>
      <c r="N3420">
        <f>IF(交易處理資料__3[[#This Row],[上班時間]]=0,0,交易處理資料__3[[#This Row],[售出工時]]/交易處理資料__3[[#This Row],[上班時間]])</f>
        <v>0.99548440061576371</v>
      </c>
      <c r="O3420" s="31" t="str">
        <f>IF(交易處理資料__3[[#This Row],[上班時間]]=0,"否","是")</f>
        <v>是</v>
      </c>
    </row>
    <row r="3421" spans="1:15" hidden="1">
      <c r="A3421" t="s">
        <v>74</v>
      </c>
      <c r="B3421" t="s">
        <v>14</v>
      </c>
      <c r="C3421">
        <v>2.96</v>
      </c>
      <c r="D3421">
        <v>7.67</v>
      </c>
      <c r="E3421" s="27">
        <v>38.591916560000001</v>
      </c>
      <c r="F3421">
        <v>7.95</v>
      </c>
      <c r="G3421">
        <v>0.21</v>
      </c>
      <c r="H3421">
        <v>8.16</v>
      </c>
      <c r="I3421">
        <v>97.43</v>
      </c>
      <c r="J3421">
        <v>36.270000000000003</v>
      </c>
      <c r="K3421" s="9">
        <v>45380</v>
      </c>
      <c r="L3421">
        <f xml:space="preserve"> (交易處理資料__3[[#This Row],[售出工時]] * 60) / 5</f>
        <v>35.519999999999996</v>
      </c>
      <c r="M3421" t="str">
        <f>VLOOKUP(交易處理資料__3[[#This Row],[人員代號]],團隊分組!$B$1:$C$52,2,FALSE)</f>
        <v>鈑金維修組</v>
      </c>
      <c r="N3421">
        <f>IF(交易處理資料__3[[#This Row],[上班時間]]=0,0,交易處理資料__3[[#This Row],[售出工時]]/交易處理資料__3[[#This Row],[上班時間]])</f>
        <v>0.36274509803921567</v>
      </c>
      <c r="O3421" s="31" t="str">
        <f>IF(交易處理資料__3[[#This Row],[上班時間]]=0,"否","是")</f>
        <v>是</v>
      </c>
    </row>
    <row r="3422" spans="1:15" hidden="1">
      <c r="A3422" t="s">
        <v>75</v>
      </c>
      <c r="B3422" t="s">
        <v>18</v>
      </c>
      <c r="C3422">
        <v>1.3333333329999999</v>
      </c>
      <c r="D3422">
        <v>2.56</v>
      </c>
      <c r="E3422" s="27">
        <v>52.083333330000002</v>
      </c>
      <c r="F3422">
        <v>7.46</v>
      </c>
      <c r="G3422">
        <v>0.7</v>
      </c>
      <c r="H3422">
        <v>8.16</v>
      </c>
      <c r="I3422">
        <v>91.42</v>
      </c>
      <c r="J3422">
        <v>16.34</v>
      </c>
      <c r="K3422" s="9">
        <v>45380</v>
      </c>
      <c r="L3422">
        <f xml:space="preserve"> (交易處理資料__3[[#This Row],[售出工時]] * 60) / 5</f>
        <v>15.999999996</v>
      </c>
      <c r="M3422" t="str">
        <f>VLOOKUP(交易處理資料__3[[#This Row],[人員代號]],團隊分組!$B$1:$C$52,2,FALSE)</f>
        <v>查修團隊B</v>
      </c>
      <c r="N3422">
        <f>IF(交易處理資料__3[[#This Row],[上班時間]]=0,0,交易處理資料__3[[#This Row],[售出工時]]/交易處理資料__3[[#This Row],[上班時間]])</f>
        <v>0.16339869276960783</v>
      </c>
      <c r="O3422" s="31" t="str">
        <f>IF(交易處理資料__3[[#This Row],[上班時間]]=0,"否","是")</f>
        <v>是</v>
      </c>
    </row>
    <row r="3423" spans="1:15" hidden="1">
      <c r="A3423" t="s">
        <v>75</v>
      </c>
      <c r="B3423" t="s">
        <v>19</v>
      </c>
      <c r="C3423">
        <v>2.13</v>
      </c>
      <c r="D3423">
        <v>3.7</v>
      </c>
      <c r="E3423" s="27">
        <v>57.567567570000001</v>
      </c>
      <c r="F3423">
        <v>6.88</v>
      </c>
      <c r="G3423">
        <v>1.19</v>
      </c>
      <c r="H3423">
        <v>8.07</v>
      </c>
      <c r="I3423">
        <v>85.25</v>
      </c>
      <c r="J3423">
        <v>26.39</v>
      </c>
      <c r="K3423" s="9">
        <v>45380</v>
      </c>
      <c r="L3423">
        <f xml:space="preserve"> (交易處理資料__3[[#This Row],[售出工時]] * 60) / 5</f>
        <v>25.56</v>
      </c>
      <c r="M3423" t="str">
        <f>VLOOKUP(交易處理資料__3[[#This Row],[人員代號]],團隊分組!$B$1:$C$52,2,FALSE)</f>
        <v>查修團隊A</v>
      </c>
      <c r="N3423">
        <f>IF(交易處理資料__3[[#This Row],[上班時間]]=0,0,交易處理資料__3[[#This Row],[售出工時]]/交易處理資料__3[[#This Row],[上班時間]])</f>
        <v>0.26394052044609662</v>
      </c>
      <c r="O3423" s="31" t="str">
        <f>IF(交易處理資料__3[[#This Row],[上班時間]]=0,"否","是")</f>
        <v>是</v>
      </c>
    </row>
    <row r="3424" spans="1:15" hidden="1">
      <c r="A3424" t="s">
        <v>75</v>
      </c>
      <c r="B3424" t="s">
        <v>20</v>
      </c>
      <c r="C3424">
        <v>0</v>
      </c>
      <c r="D3424">
        <v>0</v>
      </c>
      <c r="E3424" s="27">
        <v>0</v>
      </c>
      <c r="F3424">
        <v>1.53</v>
      </c>
      <c r="G3424">
        <v>6.63</v>
      </c>
      <c r="H3424">
        <v>8.16</v>
      </c>
      <c r="I3424">
        <v>18.75</v>
      </c>
      <c r="J3424">
        <v>0</v>
      </c>
      <c r="K3424" s="9">
        <v>45380</v>
      </c>
      <c r="L3424">
        <f xml:space="preserve"> (交易處理資料__3[[#This Row],[售出工時]] * 60) / 5</f>
        <v>0</v>
      </c>
      <c r="M3424" t="str">
        <f>VLOOKUP(交易處理資料__3[[#This Row],[人員代號]],團隊分組!$B$1:$C$52,2,FALSE)</f>
        <v>查修團隊B</v>
      </c>
      <c r="N3424">
        <f>IF(交易處理資料__3[[#This Row],[上班時間]]=0,0,交易處理資料__3[[#This Row],[售出工時]]/交易處理資料__3[[#This Row],[上班時間]])</f>
        <v>0</v>
      </c>
      <c r="O3424" s="31" t="str">
        <f>IF(交易處理資料__3[[#This Row],[上班時間]]=0,"否","是")</f>
        <v>是</v>
      </c>
    </row>
    <row r="3425" spans="1:15" hidden="1">
      <c r="A3425" t="s">
        <v>75</v>
      </c>
      <c r="B3425" t="s">
        <v>21</v>
      </c>
      <c r="C3425">
        <v>5.3333333329999997</v>
      </c>
      <c r="D3425">
        <v>5.79</v>
      </c>
      <c r="E3425" s="27">
        <v>92.112838229999994</v>
      </c>
      <c r="F3425">
        <v>7.98</v>
      </c>
      <c r="G3425">
        <v>2.2200000000000002</v>
      </c>
      <c r="H3425">
        <v>10.199999999999999</v>
      </c>
      <c r="I3425">
        <v>78.239999999999995</v>
      </c>
      <c r="J3425">
        <v>52.29</v>
      </c>
      <c r="K3425" s="9">
        <v>45380</v>
      </c>
      <c r="L3425">
        <f xml:space="preserve"> (交易處理資料__3[[#This Row],[售出工時]] * 60) / 5</f>
        <v>63.999999996</v>
      </c>
      <c r="M3425" t="str">
        <f>VLOOKUP(交易處理資料__3[[#This Row],[人員代號]],團隊分組!$B$1:$C$52,2,FALSE)</f>
        <v>查修團隊B</v>
      </c>
      <c r="N3425">
        <f>IF(交易處理資料__3[[#This Row],[上班時間]]=0,0,交易處理資料__3[[#This Row],[售出工時]]/交易處理資料__3[[#This Row],[上班時間]])</f>
        <v>0.52287581696078433</v>
      </c>
      <c r="O3425" s="31" t="str">
        <f>IF(交易處理資料__3[[#This Row],[上班時間]]=0,"否","是")</f>
        <v>是</v>
      </c>
    </row>
    <row r="3426" spans="1:15" hidden="1">
      <c r="A3426" t="s">
        <v>75</v>
      </c>
      <c r="B3426" t="s">
        <v>24</v>
      </c>
      <c r="C3426">
        <v>16.323333330000001</v>
      </c>
      <c r="D3426">
        <v>6.98</v>
      </c>
      <c r="E3426" s="27">
        <v>233.85864369999999</v>
      </c>
      <c r="F3426">
        <v>6.23</v>
      </c>
      <c r="G3426">
        <v>1.75</v>
      </c>
      <c r="H3426">
        <v>7.98</v>
      </c>
      <c r="I3426">
        <v>78.069999999999993</v>
      </c>
      <c r="J3426">
        <v>204.55</v>
      </c>
      <c r="K3426" s="9">
        <v>45380</v>
      </c>
      <c r="L3426">
        <f xml:space="preserve"> (交易處理資料__3[[#This Row],[售出工時]] * 60) / 5</f>
        <v>195.87999996000002</v>
      </c>
      <c r="M3426" t="str">
        <f>VLOOKUP(交易處理資料__3[[#This Row],[人員代號]],團隊分組!$B$1:$C$52,2,FALSE)</f>
        <v>快速保養團隊A</v>
      </c>
      <c r="N3426">
        <f>IF(交易處理資料__3[[#This Row],[上班時間]]=0,0,交易處理資料__3[[#This Row],[售出工時]]/交易處理資料__3[[#This Row],[上班時間]])</f>
        <v>2.0455304924812028</v>
      </c>
      <c r="O3426" s="31" t="str">
        <f>IF(交易處理資料__3[[#This Row],[上班時間]]=0,"否","是")</f>
        <v>是</v>
      </c>
    </row>
    <row r="3427" spans="1:15" hidden="1">
      <c r="A3427" t="s">
        <v>75</v>
      </c>
      <c r="B3427" t="s">
        <v>25</v>
      </c>
      <c r="C3427">
        <v>3.5833333330000001</v>
      </c>
      <c r="D3427">
        <v>5.8</v>
      </c>
      <c r="E3427" s="27">
        <v>61.781609199999998</v>
      </c>
      <c r="F3427">
        <v>6.23</v>
      </c>
      <c r="G3427">
        <v>1.84</v>
      </c>
      <c r="H3427">
        <v>8.07</v>
      </c>
      <c r="I3427">
        <v>77.2</v>
      </c>
      <c r="J3427">
        <v>44.4</v>
      </c>
      <c r="K3427" s="9">
        <v>45380</v>
      </c>
      <c r="L3427">
        <f xml:space="preserve"> (交易處理資料__3[[#This Row],[售出工時]] * 60) / 5</f>
        <v>42.999999996</v>
      </c>
      <c r="M3427" t="str">
        <f>VLOOKUP(交易處理資料__3[[#This Row],[人員代號]],團隊分組!$B$1:$C$52,2,FALSE)</f>
        <v>查修團隊A</v>
      </c>
      <c r="N3427">
        <f>IF(交易處理資料__3[[#This Row],[上班時間]]=0,0,交易處理資料__3[[#This Row],[售出工時]]/交易處理資料__3[[#This Row],[上班時間]])</f>
        <v>0.44403139194547708</v>
      </c>
      <c r="O3427" s="31" t="str">
        <f>IF(交易處理資料__3[[#This Row],[上班時間]]=0,"否","是")</f>
        <v>是</v>
      </c>
    </row>
    <row r="3428" spans="1:15" hidden="1">
      <c r="A3428" t="s">
        <v>75</v>
      </c>
      <c r="B3428" t="s">
        <v>29</v>
      </c>
      <c r="C3428">
        <v>8.5</v>
      </c>
      <c r="D3428">
        <v>5.66</v>
      </c>
      <c r="E3428" s="27">
        <v>150.17667839999999</v>
      </c>
      <c r="F3428">
        <v>6.85</v>
      </c>
      <c r="G3428">
        <v>1.28</v>
      </c>
      <c r="H3428">
        <v>8.1300000000000008</v>
      </c>
      <c r="I3428">
        <v>84.26</v>
      </c>
      <c r="J3428">
        <v>104.55</v>
      </c>
      <c r="K3428" s="9">
        <v>45380</v>
      </c>
      <c r="L3428">
        <f xml:space="preserve"> (交易處理資料__3[[#This Row],[售出工時]] * 60) / 5</f>
        <v>102</v>
      </c>
      <c r="M3428" t="str">
        <f>VLOOKUP(交易處理資料__3[[#This Row],[人員代號]],團隊分組!$B$1:$C$52,2,FALSE)</f>
        <v>查修團隊B</v>
      </c>
      <c r="N3428">
        <f>IF(交易處理資料__3[[#This Row],[上班時間]]=0,0,交易處理資料__3[[#This Row],[售出工時]]/交易處理資料__3[[#This Row],[上班時間]])</f>
        <v>1.0455104551045509</v>
      </c>
      <c r="O3428" s="31" t="str">
        <f>IF(交易處理資料__3[[#This Row],[上班時間]]=0,"否","是")</f>
        <v>是</v>
      </c>
    </row>
    <row r="3429" spans="1:15" hidden="1">
      <c r="A3429" t="s">
        <v>75</v>
      </c>
      <c r="B3429" t="s">
        <v>30</v>
      </c>
      <c r="C3429">
        <v>2.61</v>
      </c>
      <c r="D3429">
        <v>1.62</v>
      </c>
      <c r="E3429" s="27">
        <v>161.11111109999999</v>
      </c>
      <c r="F3429">
        <v>6.19</v>
      </c>
      <c r="G3429">
        <v>1.86</v>
      </c>
      <c r="H3429">
        <v>8.0500000000000007</v>
      </c>
      <c r="I3429">
        <v>76.89</v>
      </c>
      <c r="J3429">
        <v>32.42</v>
      </c>
      <c r="K3429" s="9">
        <v>45380</v>
      </c>
      <c r="L3429">
        <f xml:space="preserve"> (交易處理資料__3[[#This Row],[售出工時]] * 60) / 5</f>
        <v>31.32</v>
      </c>
      <c r="M3429" t="str">
        <f>VLOOKUP(交易處理資料__3[[#This Row],[人員代號]],團隊分組!$B$1:$C$52,2,FALSE)</f>
        <v>快速保養團隊B</v>
      </c>
      <c r="N3429">
        <f>IF(交易處理資料__3[[#This Row],[上班時間]]=0,0,交易處理資料__3[[#This Row],[售出工時]]/交易處理資料__3[[#This Row],[上班時間]])</f>
        <v>0.32422360248447202</v>
      </c>
      <c r="O3429" s="31" t="str">
        <f>IF(交易處理資料__3[[#This Row],[上班時間]]=0,"否","是")</f>
        <v>是</v>
      </c>
    </row>
    <row r="3430" spans="1:15">
      <c r="A3430" t="s">
        <v>75</v>
      </c>
      <c r="B3430" t="s">
        <v>33</v>
      </c>
      <c r="C3430">
        <v>9.9333333330000002</v>
      </c>
      <c r="D3430">
        <v>7.36</v>
      </c>
      <c r="E3430" s="27">
        <v>134.96376810000001</v>
      </c>
      <c r="F3430">
        <v>7.57</v>
      </c>
      <c r="G3430">
        <v>0.67</v>
      </c>
      <c r="H3430">
        <v>8.24</v>
      </c>
      <c r="I3430">
        <v>91.87</v>
      </c>
      <c r="J3430">
        <v>120.55</v>
      </c>
      <c r="K3430" s="9">
        <v>45380</v>
      </c>
      <c r="L3430">
        <f xml:space="preserve"> (交易處理資料__3[[#This Row],[售出工時]] * 60) / 5</f>
        <v>119.199999996</v>
      </c>
      <c r="M3430" t="str">
        <f>VLOOKUP(交易處理資料__3[[#This Row],[人員代號]],團隊分組!$B$1:$C$52,2,FALSE)</f>
        <v>快速保養團隊B</v>
      </c>
      <c r="N3430">
        <f>IF(交易處理資料__3[[#This Row],[上班時間]]=0,0,交易處理資料__3[[#This Row],[售出工時]]/交易處理資料__3[[#This Row],[上班時間]])</f>
        <v>1.2055016180825242</v>
      </c>
      <c r="O3430" s="31" t="str">
        <f>IF(交易處理資料__3[[#This Row],[上班時間]]=0,"否","是")</f>
        <v>是</v>
      </c>
    </row>
    <row r="3431" spans="1:15" hidden="1">
      <c r="A3431" t="s">
        <v>75</v>
      </c>
      <c r="B3431" t="s">
        <v>34</v>
      </c>
      <c r="C3431">
        <v>0</v>
      </c>
      <c r="D3431">
        <v>0</v>
      </c>
      <c r="E3431" s="27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 s="9">
        <v>45380</v>
      </c>
      <c r="L3431">
        <f xml:space="preserve"> (交易處理資料__3[[#This Row],[售出工時]] * 60) / 5</f>
        <v>0</v>
      </c>
      <c r="M3431" t="str">
        <f>VLOOKUP(交易處理資料__3[[#This Row],[人員代號]],團隊分組!$B$1:$C$52,2,FALSE)</f>
        <v>快速保養團隊A</v>
      </c>
      <c r="N3431">
        <f>IF(交易處理資料__3[[#This Row],[上班時間]]=0,0,交易處理資料__3[[#This Row],[售出工時]]/交易處理資料__3[[#This Row],[上班時間]])</f>
        <v>0</v>
      </c>
      <c r="O3431" s="31" t="str">
        <f>IF(交易處理資料__3[[#This Row],[上班時間]]=0,"否","是")</f>
        <v>否</v>
      </c>
    </row>
    <row r="3432" spans="1:15" hidden="1">
      <c r="A3432" t="s">
        <v>75</v>
      </c>
      <c r="B3432" t="s">
        <v>35</v>
      </c>
      <c r="C3432">
        <v>0</v>
      </c>
      <c r="D3432">
        <v>0</v>
      </c>
      <c r="E3432" s="27">
        <v>0</v>
      </c>
      <c r="F3432">
        <v>5.0599999999999996</v>
      </c>
      <c r="G3432">
        <v>2.98</v>
      </c>
      <c r="H3432">
        <v>8.0399999999999991</v>
      </c>
      <c r="I3432">
        <v>62.94</v>
      </c>
      <c r="J3432">
        <v>0</v>
      </c>
      <c r="K3432" s="9">
        <v>45380</v>
      </c>
      <c r="L3432">
        <f xml:space="preserve"> (交易處理資料__3[[#This Row],[售出工時]] * 60) / 5</f>
        <v>0</v>
      </c>
      <c r="M3432" t="str">
        <f>VLOOKUP(交易處理資料__3[[#This Row],[人員代號]],團隊分組!$B$1:$C$52,2,FALSE)</f>
        <v>查修團隊B</v>
      </c>
      <c r="N3432">
        <f>IF(交易處理資料__3[[#This Row],[上班時間]]=0,0,交易處理資料__3[[#This Row],[售出工時]]/交易處理資料__3[[#This Row],[上班時間]])</f>
        <v>0</v>
      </c>
      <c r="O3432" s="31" t="str">
        <f>IF(交易處理資料__3[[#This Row],[上班時間]]=0,"否","是")</f>
        <v>是</v>
      </c>
    </row>
    <row r="3433" spans="1:15" hidden="1">
      <c r="A3433" t="s">
        <v>75</v>
      </c>
      <c r="B3433" t="s">
        <v>36</v>
      </c>
      <c r="C3433">
        <v>1.5</v>
      </c>
      <c r="D3433">
        <v>1.08</v>
      </c>
      <c r="E3433" s="27">
        <v>138.88888890000001</v>
      </c>
      <c r="F3433">
        <v>4.37</v>
      </c>
      <c r="G3433">
        <v>5.82</v>
      </c>
      <c r="H3433">
        <v>10.19</v>
      </c>
      <c r="I3433">
        <v>42.89</v>
      </c>
      <c r="J3433">
        <v>14.72</v>
      </c>
      <c r="K3433" s="9">
        <v>45380</v>
      </c>
      <c r="L3433">
        <f xml:space="preserve"> (交易處理資料__3[[#This Row],[售出工時]] * 60) / 5</f>
        <v>18</v>
      </c>
      <c r="M3433" t="str">
        <f>VLOOKUP(交易處理資料__3[[#This Row],[人員代號]],團隊分組!$B$1:$C$52,2,FALSE)</f>
        <v>查修團隊B</v>
      </c>
      <c r="N3433">
        <f>IF(交易處理資料__3[[#This Row],[上班時間]]=0,0,交易處理資料__3[[#This Row],[售出工時]]/交易處理資料__3[[#This Row],[上班時間]])</f>
        <v>0.14720314033366047</v>
      </c>
      <c r="O3433" s="31" t="str">
        <f>IF(交易處理資料__3[[#This Row],[上班時間]]=0,"否","是")</f>
        <v>是</v>
      </c>
    </row>
    <row r="3434" spans="1:15" hidden="1">
      <c r="A3434" t="s">
        <v>75</v>
      </c>
      <c r="B3434" t="s">
        <v>37</v>
      </c>
      <c r="C3434">
        <v>0</v>
      </c>
      <c r="D3434">
        <v>0</v>
      </c>
      <c r="E3434" s="27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 s="9">
        <v>45380</v>
      </c>
      <c r="L3434">
        <f xml:space="preserve"> (交易處理資料__3[[#This Row],[售出工時]] * 60) / 5</f>
        <v>0</v>
      </c>
      <c r="M3434" t="str">
        <f>VLOOKUP(交易處理資料__3[[#This Row],[人員代號]],團隊分組!$B$1:$C$52,2,FALSE)</f>
        <v>查修團隊A</v>
      </c>
      <c r="N3434">
        <f>IF(交易處理資料__3[[#This Row],[上班時間]]=0,0,交易處理資料__3[[#This Row],[售出工時]]/交易處理資料__3[[#This Row],[上班時間]])</f>
        <v>0</v>
      </c>
      <c r="O3434" s="31" t="str">
        <f>IF(交易處理資料__3[[#This Row],[上班時間]]=0,"否","是")</f>
        <v>否</v>
      </c>
    </row>
    <row r="3435" spans="1:15" hidden="1">
      <c r="A3435" t="s">
        <v>75</v>
      </c>
      <c r="B3435" t="s">
        <v>39</v>
      </c>
      <c r="C3435">
        <v>0</v>
      </c>
      <c r="D3435">
        <v>0</v>
      </c>
      <c r="E3435" s="27">
        <v>0</v>
      </c>
      <c r="F3435">
        <v>7.61</v>
      </c>
      <c r="G3435">
        <v>0.46</v>
      </c>
      <c r="H3435">
        <v>8.07</v>
      </c>
      <c r="I3435">
        <v>94.3</v>
      </c>
      <c r="J3435">
        <v>0</v>
      </c>
      <c r="K3435" s="9">
        <v>45380</v>
      </c>
      <c r="L3435">
        <f xml:space="preserve"> (交易處理資料__3[[#This Row],[售出工時]] * 60) / 5</f>
        <v>0</v>
      </c>
      <c r="M3435" t="str">
        <f>VLOOKUP(交易處理資料__3[[#This Row],[人員代號]],團隊分組!$B$1:$C$52,2,FALSE)</f>
        <v>查修團隊A</v>
      </c>
      <c r="N3435">
        <f>IF(交易處理資料__3[[#This Row],[上班時間]]=0,0,交易處理資料__3[[#This Row],[售出工時]]/交易處理資料__3[[#This Row],[上班時間]])</f>
        <v>0</v>
      </c>
      <c r="O3435" s="31" t="str">
        <f>IF(交易處理資料__3[[#This Row],[上班時間]]=0,"否","是")</f>
        <v>是</v>
      </c>
    </row>
    <row r="3436" spans="1:15" hidden="1">
      <c r="A3436" t="s">
        <v>75</v>
      </c>
      <c r="B3436" t="s">
        <v>40</v>
      </c>
      <c r="C3436">
        <v>2.25</v>
      </c>
      <c r="D3436">
        <v>3.8</v>
      </c>
      <c r="E3436" s="27">
        <v>59.21052632</v>
      </c>
      <c r="F3436">
        <v>6.03</v>
      </c>
      <c r="G3436">
        <v>2.04</v>
      </c>
      <c r="H3436">
        <v>8.07</v>
      </c>
      <c r="I3436">
        <v>74.72</v>
      </c>
      <c r="J3436">
        <v>27.88</v>
      </c>
      <c r="K3436" s="9">
        <v>45380</v>
      </c>
      <c r="L3436">
        <f xml:space="preserve"> (交易處理資料__3[[#This Row],[售出工時]] * 60) / 5</f>
        <v>27</v>
      </c>
      <c r="M3436" t="str">
        <f>VLOOKUP(交易處理資料__3[[#This Row],[人員代號]],團隊分組!$B$1:$C$52,2,FALSE)</f>
        <v>查修團隊A</v>
      </c>
      <c r="N3436">
        <f>IF(交易處理資料__3[[#This Row],[上班時間]]=0,0,交易處理資料__3[[#This Row],[售出工時]]/交易處理資料__3[[#This Row],[上班時間]])</f>
        <v>0.27881040892193309</v>
      </c>
      <c r="O3436" s="31" t="str">
        <f>IF(交易處理資料__3[[#This Row],[上班時間]]=0,"否","是")</f>
        <v>是</v>
      </c>
    </row>
    <row r="3437" spans="1:15" hidden="1">
      <c r="A3437" t="s">
        <v>75</v>
      </c>
      <c r="B3437" t="s">
        <v>41</v>
      </c>
      <c r="C3437">
        <v>14.91666667</v>
      </c>
      <c r="D3437">
        <v>7.57</v>
      </c>
      <c r="E3437" s="27">
        <v>197.04975780000001</v>
      </c>
      <c r="F3437">
        <v>8.92</v>
      </c>
      <c r="G3437">
        <v>0.09</v>
      </c>
      <c r="H3437">
        <v>9.01</v>
      </c>
      <c r="I3437">
        <v>99</v>
      </c>
      <c r="J3437">
        <v>165.56</v>
      </c>
      <c r="K3437" s="9">
        <v>45380</v>
      </c>
      <c r="L3437">
        <f xml:space="preserve"> (交易處理資料__3[[#This Row],[售出工時]] * 60) / 5</f>
        <v>179.00000003999997</v>
      </c>
      <c r="M3437" t="str">
        <f>VLOOKUP(交易處理資料__3[[#This Row],[人員代號]],團隊分組!$B$1:$C$52,2,FALSE)</f>
        <v>快速保養團隊A</v>
      </c>
      <c r="N3437">
        <f>IF(交易處理資料__3[[#This Row],[上班時間]]=0,0,交易處理資料__3[[#This Row],[售出工時]]/交易處理資料__3[[#This Row],[上班時間]])</f>
        <v>1.6555678879023308</v>
      </c>
      <c r="O3437" s="31" t="str">
        <f>IF(交易處理資料__3[[#This Row],[上班時間]]=0,"否","是")</f>
        <v>是</v>
      </c>
    </row>
    <row r="3438" spans="1:15" hidden="1">
      <c r="A3438" t="s">
        <v>75</v>
      </c>
      <c r="B3438" t="s">
        <v>42</v>
      </c>
      <c r="C3438">
        <v>14.91666667</v>
      </c>
      <c r="D3438">
        <v>7.63</v>
      </c>
      <c r="E3438" s="27">
        <v>195.50021839999999</v>
      </c>
      <c r="F3438">
        <v>6.14</v>
      </c>
      <c r="G3438">
        <v>1.75</v>
      </c>
      <c r="H3438">
        <v>7.89</v>
      </c>
      <c r="I3438">
        <v>77.819999999999993</v>
      </c>
      <c r="J3438">
        <v>189.06</v>
      </c>
      <c r="K3438" s="9">
        <v>45380</v>
      </c>
      <c r="L3438">
        <f xml:space="preserve"> (交易處理資料__3[[#This Row],[售出工時]] * 60) / 5</f>
        <v>179.00000003999997</v>
      </c>
      <c r="M3438" t="str">
        <f>VLOOKUP(交易處理資料__3[[#This Row],[人員代號]],團隊分組!$B$1:$C$52,2,FALSE)</f>
        <v>快速保養團隊A</v>
      </c>
      <c r="N3438">
        <f>IF(交易處理資料__3[[#This Row],[上班時間]]=0,0,交易處理資料__3[[#This Row],[售出工時]]/交易處理資料__3[[#This Row],[上班時間]])</f>
        <v>1.8905787921419519</v>
      </c>
      <c r="O3438" s="31" t="str">
        <f>IF(交易處理資料__3[[#This Row],[上班時間]]=0,"否","是")</f>
        <v>是</v>
      </c>
    </row>
    <row r="3439" spans="1:15" hidden="1">
      <c r="A3439" t="s">
        <v>75</v>
      </c>
      <c r="B3439" t="s">
        <v>43</v>
      </c>
      <c r="C3439">
        <v>1</v>
      </c>
      <c r="D3439">
        <v>0.6</v>
      </c>
      <c r="E3439" s="27">
        <v>166.66666670000001</v>
      </c>
      <c r="F3439">
        <v>4.6100000000000003</v>
      </c>
      <c r="G3439">
        <v>3.49</v>
      </c>
      <c r="H3439">
        <v>8.1</v>
      </c>
      <c r="I3439">
        <v>56.91</v>
      </c>
      <c r="J3439">
        <v>12.35</v>
      </c>
      <c r="K3439" s="9">
        <v>45380</v>
      </c>
      <c r="L3439">
        <f xml:space="preserve"> (交易處理資料__3[[#This Row],[售出工時]] * 60) / 5</f>
        <v>12</v>
      </c>
      <c r="M3439" t="str">
        <f>VLOOKUP(交易處理資料__3[[#This Row],[人員代號]],團隊分組!$B$1:$C$52,2,FALSE)</f>
        <v>查修團隊B</v>
      </c>
      <c r="N3439">
        <f>IF(交易處理資料__3[[#This Row],[上班時間]]=0,0,交易處理資料__3[[#This Row],[售出工時]]/交易處理資料__3[[#This Row],[上班時間]])</f>
        <v>0.1234567901234568</v>
      </c>
      <c r="O3439" s="31" t="str">
        <f>IF(交易處理資料__3[[#This Row],[上班時間]]=0,"否","是")</f>
        <v>是</v>
      </c>
    </row>
    <row r="3440" spans="1:15" hidden="1">
      <c r="A3440" t="s">
        <v>75</v>
      </c>
      <c r="B3440" t="s">
        <v>50</v>
      </c>
      <c r="C3440">
        <v>14.91666667</v>
      </c>
      <c r="D3440">
        <v>3.25</v>
      </c>
      <c r="E3440" s="27">
        <v>458.97435899999999</v>
      </c>
      <c r="F3440">
        <v>6.78</v>
      </c>
      <c r="G3440">
        <v>1.19</v>
      </c>
      <c r="H3440">
        <v>7.97</v>
      </c>
      <c r="I3440">
        <v>85.07</v>
      </c>
      <c r="J3440">
        <v>187.16</v>
      </c>
      <c r="K3440" s="9">
        <v>45380</v>
      </c>
      <c r="L3440">
        <f xml:space="preserve"> (交易處理資料__3[[#This Row],[售出工時]] * 60) / 5</f>
        <v>179.00000003999997</v>
      </c>
      <c r="M3440" t="str">
        <f>VLOOKUP(交易處理資料__3[[#This Row],[人員代號]],團隊分組!$B$1:$C$52,2,FALSE)</f>
        <v>快速保養團隊B</v>
      </c>
      <c r="N3440">
        <f>IF(交易處理資料__3[[#This Row],[上班時間]]=0,0,交易處理資料__3[[#This Row],[售出工時]]/交易處理資料__3[[#This Row],[上班時間]])</f>
        <v>1.8716018406524466</v>
      </c>
      <c r="O3440" s="31" t="str">
        <f>IF(交易處理資料__3[[#This Row],[上班時間]]=0,"否","是")</f>
        <v>是</v>
      </c>
    </row>
    <row r="3441" spans="1:15" hidden="1">
      <c r="A3441" t="s">
        <v>75</v>
      </c>
      <c r="B3441" t="s">
        <v>51</v>
      </c>
      <c r="C3441">
        <v>0</v>
      </c>
      <c r="D3441">
        <v>0</v>
      </c>
      <c r="E3441" s="27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 s="9">
        <v>45380</v>
      </c>
      <c r="L3441">
        <f xml:space="preserve"> (交易處理資料__3[[#This Row],[售出工時]] * 60) / 5</f>
        <v>0</v>
      </c>
      <c r="M3441" t="str">
        <f>VLOOKUP(交易處理資料__3[[#This Row],[人員代號]],團隊分組!$B$1:$C$52,2,FALSE)</f>
        <v>無效數據</v>
      </c>
      <c r="N3441">
        <f>IF(交易處理資料__3[[#This Row],[上班時間]]=0,0,交易處理資料__3[[#This Row],[售出工時]]/交易處理資料__3[[#This Row],[上班時間]])</f>
        <v>0</v>
      </c>
      <c r="O3441" s="31" t="str">
        <f>IF(交易處理資料__3[[#This Row],[上班時間]]=0,"否","是")</f>
        <v>否</v>
      </c>
    </row>
    <row r="3442" spans="1:15" hidden="1">
      <c r="A3442" s="10" t="s">
        <v>73</v>
      </c>
      <c r="B3442" t="s">
        <v>1</v>
      </c>
      <c r="C3442">
        <v>0</v>
      </c>
      <c r="D3442">
        <v>0</v>
      </c>
      <c r="E3442" s="27">
        <v>0</v>
      </c>
      <c r="F3442">
        <v>6.87</v>
      </c>
      <c r="G3442">
        <v>1.27</v>
      </c>
      <c r="H3442">
        <v>8.14</v>
      </c>
      <c r="I3442">
        <v>84.4</v>
      </c>
      <c r="J3442">
        <v>0</v>
      </c>
      <c r="K3442" s="9">
        <v>45381</v>
      </c>
      <c r="L3442">
        <f xml:space="preserve"> (交易處理資料__3[[#This Row],[售出工時]] * 60) / 5</f>
        <v>0</v>
      </c>
      <c r="M3442" t="str">
        <f>VLOOKUP(交易處理資料__3[[#This Row],[人員代號]],團隊分組!$B$1:$C$52,2,FALSE)</f>
        <v>噴漆維修組</v>
      </c>
      <c r="N3442">
        <f>IF(交易處理資料__3[[#This Row],[上班時間]]=0,0,交易處理資料__3[[#This Row],[售出工時]]/交易處理資料__3[[#This Row],[上班時間]])</f>
        <v>0</v>
      </c>
      <c r="O3442" s="31" t="str">
        <f>IF(交易處理資料__3[[#This Row],[上班時間]]=0,"否","是")</f>
        <v>是</v>
      </c>
    </row>
    <row r="3443" spans="1:15" hidden="1">
      <c r="A3443" s="10" t="s">
        <v>73</v>
      </c>
      <c r="B3443" t="s">
        <v>2</v>
      </c>
      <c r="C3443">
        <v>0</v>
      </c>
      <c r="D3443">
        <v>0</v>
      </c>
      <c r="E3443" s="27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 s="9">
        <v>45381</v>
      </c>
      <c r="L3443">
        <f xml:space="preserve"> (交易處理資料__3[[#This Row],[售出工時]] * 60) / 5</f>
        <v>0</v>
      </c>
      <c r="M3443" t="str">
        <f>VLOOKUP(交易處理資料__3[[#This Row],[人員代號]],團隊分組!$B$1:$C$52,2,FALSE)</f>
        <v>噴漆維修組</v>
      </c>
      <c r="N3443">
        <f>IF(交易處理資料__3[[#This Row],[上班時間]]=0,0,交易處理資料__3[[#This Row],[售出工時]]/交易處理資料__3[[#This Row],[上班時間]])</f>
        <v>0</v>
      </c>
      <c r="O3443" s="31" t="str">
        <f>IF(交易處理資料__3[[#This Row],[上班時間]]=0,"否","是")</f>
        <v>否</v>
      </c>
    </row>
    <row r="3444" spans="1:15" hidden="1">
      <c r="A3444" s="10" t="s">
        <v>73</v>
      </c>
      <c r="B3444" t="s">
        <v>3</v>
      </c>
      <c r="C3444">
        <v>0</v>
      </c>
      <c r="D3444">
        <v>0</v>
      </c>
      <c r="E3444" s="27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 s="9">
        <v>45381</v>
      </c>
      <c r="L3444">
        <f xml:space="preserve"> (交易處理資料__3[[#This Row],[售出工時]] * 60) / 5</f>
        <v>0</v>
      </c>
      <c r="M3444" t="str">
        <f>VLOOKUP(交易處理資料__3[[#This Row],[人員代號]],團隊分組!$B$1:$C$52,2,FALSE)</f>
        <v>噴漆維修組</v>
      </c>
      <c r="N3444">
        <f>IF(交易處理資料__3[[#This Row],[上班時間]]=0,0,交易處理資料__3[[#This Row],[售出工時]]/交易處理資料__3[[#This Row],[上班時間]])</f>
        <v>0</v>
      </c>
      <c r="O3444" s="31" t="str">
        <f>IF(交易處理資料__3[[#This Row],[上班時間]]=0,"否","是")</f>
        <v>否</v>
      </c>
    </row>
    <row r="3445" spans="1:15" hidden="1">
      <c r="A3445" s="10" t="s">
        <v>73</v>
      </c>
      <c r="B3445" t="s">
        <v>4</v>
      </c>
      <c r="C3445">
        <v>0</v>
      </c>
      <c r="D3445">
        <v>0</v>
      </c>
      <c r="E3445" s="27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 s="9">
        <v>45381</v>
      </c>
      <c r="L3445">
        <f xml:space="preserve"> (交易處理資料__3[[#This Row],[售出工時]] * 60) / 5</f>
        <v>0</v>
      </c>
      <c r="M3445" t="str">
        <f>VLOOKUP(交易處理資料__3[[#This Row],[人員代號]],團隊分組!$B$1:$C$52,2,FALSE)</f>
        <v>噴漆維修組</v>
      </c>
      <c r="N3445">
        <f>IF(交易處理資料__3[[#This Row],[上班時間]]=0,0,交易處理資料__3[[#This Row],[售出工時]]/交易處理資料__3[[#This Row],[上班時間]])</f>
        <v>0</v>
      </c>
      <c r="O3445" s="31" t="str">
        <f>IF(交易處理資料__3[[#This Row],[上班時間]]=0,"否","是")</f>
        <v>否</v>
      </c>
    </row>
    <row r="3446" spans="1:15" hidden="1">
      <c r="A3446" s="10" t="s">
        <v>73</v>
      </c>
      <c r="B3446" t="s">
        <v>5</v>
      </c>
      <c r="C3446">
        <v>0</v>
      </c>
      <c r="D3446">
        <v>0</v>
      </c>
      <c r="E3446" s="27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 s="9">
        <v>45381</v>
      </c>
      <c r="L3446">
        <f xml:space="preserve"> (交易處理資料__3[[#This Row],[售出工時]] * 60) / 5</f>
        <v>0</v>
      </c>
      <c r="M3446" t="str">
        <f>VLOOKUP(交易處理資料__3[[#This Row],[人員代號]],團隊分組!$B$1:$C$52,2,FALSE)</f>
        <v>噴漆維修組</v>
      </c>
      <c r="N3446">
        <f>IF(交易處理資料__3[[#This Row],[上班時間]]=0,0,交易處理資料__3[[#This Row],[售出工時]]/交易處理資料__3[[#This Row],[上班時間]])</f>
        <v>0</v>
      </c>
      <c r="O3446" s="31" t="str">
        <f>IF(交易處理資料__3[[#This Row],[上班時間]]=0,"否","是")</f>
        <v>否</v>
      </c>
    </row>
    <row r="3447" spans="1:15" hidden="1">
      <c r="A3447" s="10" t="s">
        <v>73</v>
      </c>
      <c r="B3447" t="s">
        <v>6</v>
      </c>
      <c r="C3447">
        <v>0</v>
      </c>
      <c r="D3447">
        <v>0</v>
      </c>
      <c r="E3447" s="2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 s="9">
        <v>45381</v>
      </c>
      <c r="L3447">
        <f xml:space="preserve"> (交易處理資料__3[[#This Row],[售出工時]] * 60) / 5</f>
        <v>0</v>
      </c>
      <c r="M3447" t="str">
        <f>VLOOKUP(交易處理資料__3[[#This Row],[人員代號]],團隊分組!$B$1:$C$52,2,FALSE)</f>
        <v>噴漆維修組</v>
      </c>
      <c r="N3447">
        <f>IF(交易處理資料__3[[#This Row],[上班時間]]=0,0,交易處理資料__3[[#This Row],[售出工時]]/交易處理資料__3[[#This Row],[上班時間]])</f>
        <v>0</v>
      </c>
      <c r="O3447" s="31" t="str">
        <f>IF(交易處理資料__3[[#This Row],[上班時間]]=0,"否","是")</f>
        <v>否</v>
      </c>
    </row>
    <row r="3448" spans="1:15" hidden="1">
      <c r="A3448" s="10" t="s">
        <v>73</v>
      </c>
      <c r="B3448" t="s">
        <v>7</v>
      </c>
      <c r="C3448">
        <v>0</v>
      </c>
      <c r="D3448">
        <v>0</v>
      </c>
      <c r="E3448" s="27">
        <v>0</v>
      </c>
      <c r="F3448">
        <v>6.37</v>
      </c>
      <c r="G3448">
        <v>1.77</v>
      </c>
      <c r="H3448">
        <v>8.14</v>
      </c>
      <c r="I3448">
        <v>78.260000000000005</v>
      </c>
      <c r="J3448">
        <v>0</v>
      </c>
      <c r="K3448" s="9">
        <v>45381</v>
      </c>
      <c r="L3448">
        <f xml:space="preserve"> (交易處理資料__3[[#This Row],[售出工時]] * 60) / 5</f>
        <v>0</v>
      </c>
      <c r="M3448" t="str">
        <f>VLOOKUP(交易處理資料__3[[#This Row],[人員代號]],團隊分組!$B$1:$C$52,2,FALSE)</f>
        <v>噴漆維修組</v>
      </c>
      <c r="N3448">
        <f>IF(交易處理資料__3[[#This Row],[上班時間]]=0,0,交易處理資料__3[[#This Row],[售出工時]]/交易處理資料__3[[#This Row],[上班時間]])</f>
        <v>0</v>
      </c>
      <c r="O3448" s="31" t="str">
        <f>IF(交易處理資料__3[[#This Row],[上班時間]]=0,"否","是")</f>
        <v>是</v>
      </c>
    </row>
    <row r="3449" spans="1:15" hidden="1">
      <c r="A3449" s="10" t="s">
        <v>73</v>
      </c>
      <c r="B3449" t="s">
        <v>8</v>
      </c>
      <c r="C3449">
        <v>0</v>
      </c>
      <c r="D3449">
        <v>0</v>
      </c>
      <c r="E3449" s="27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 s="9">
        <v>45381</v>
      </c>
      <c r="L3449">
        <f xml:space="preserve"> (交易處理資料__3[[#This Row],[售出工時]] * 60) / 5</f>
        <v>0</v>
      </c>
      <c r="M3449" t="str">
        <f>VLOOKUP(交易處理資料__3[[#This Row],[人員代號]],團隊分組!$B$1:$C$52,2,FALSE)</f>
        <v>噴漆維修組</v>
      </c>
      <c r="N3449">
        <f>IF(交易處理資料__3[[#This Row],[上班時間]]=0,0,交易處理資料__3[[#This Row],[售出工時]]/交易處理資料__3[[#This Row],[上班時間]])</f>
        <v>0</v>
      </c>
      <c r="O3449" s="31" t="str">
        <f>IF(交易處理資料__3[[#This Row],[上班時間]]=0,"否","是")</f>
        <v>否</v>
      </c>
    </row>
    <row r="3450" spans="1:15" hidden="1">
      <c r="A3450" s="10" t="s">
        <v>73</v>
      </c>
      <c r="B3450" t="s">
        <v>9</v>
      </c>
      <c r="C3450">
        <v>0</v>
      </c>
      <c r="D3450">
        <v>0</v>
      </c>
      <c r="E3450" s="27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 s="9">
        <v>45381</v>
      </c>
      <c r="L3450">
        <f xml:space="preserve"> (交易處理資料__3[[#This Row],[售出工時]] * 60) / 5</f>
        <v>0</v>
      </c>
      <c r="M3450" t="str">
        <f>VLOOKUP(交易處理資料__3[[#This Row],[人員代號]],團隊分組!$B$1:$C$52,2,FALSE)</f>
        <v>噴漆維修組</v>
      </c>
      <c r="N3450">
        <f>IF(交易處理資料__3[[#This Row],[上班時間]]=0,0,交易處理資料__3[[#This Row],[售出工時]]/交易處理資料__3[[#This Row],[上班時間]])</f>
        <v>0</v>
      </c>
      <c r="O3450" s="31" t="str">
        <f>IF(交易處理資料__3[[#This Row],[上班時間]]=0,"否","是")</f>
        <v>否</v>
      </c>
    </row>
    <row r="3451" spans="1:15" hidden="1">
      <c r="A3451" t="s">
        <v>74</v>
      </c>
      <c r="B3451" t="s">
        <v>11</v>
      </c>
      <c r="C3451">
        <v>0</v>
      </c>
      <c r="D3451">
        <v>0</v>
      </c>
      <c r="E3451" s="27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 s="9">
        <v>45381</v>
      </c>
      <c r="L3451">
        <f xml:space="preserve"> (交易處理資料__3[[#This Row],[售出工時]] * 60) / 5</f>
        <v>0</v>
      </c>
      <c r="M3451" t="str">
        <f>VLOOKUP(交易處理資料__3[[#This Row],[人員代號]],團隊分組!$B$1:$C$52,2,FALSE)</f>
        <v>鈑金維修組</v>
      </c>
      <c r="N3451">
        <f>IF(交易處理資料__3[[#This Row],[上班時間]]=0,0,交易處理資料__3[[#This Row],[售出工時]]/交易處理資料__3[[#This Row],[上班時間]])</f>
        <v>0</v>
      </c>
      <c r="O3451" s="31" t="str">
        <f>IF(交易處理資料__3[[#This Row],[上班時間]]=0,"否","是")</f>
        <v>否</v>
      </c>
    </row>
    <row r="3452" spans="1:15" hidden="1">
      <c r="A3452" t="s">
        <v>74</v>
      </c>
      <c r="B3452" t="s">
        <v>12</v>
      </c>
      <c r="C3452">
        <v>0</v>
      </c>
      <c r="D3452">
        <v>0</v>
      </c>
      <c r="E3452" s="27">
        <v>0</v>
      </c>
      <c r="F3452">
        <v>6.96</v>
      </c>
      <c r="G3452">
        <v>1.2</v>
      </c>
      <c r="H3452">
        <v>8.16</v>
      </c>
      <c r="I3452">
        <v>85.29</v>
      </c>
      <c r="J3452">
        <v>0</v>
      </c>
      <c r="K3452" s="9">
        <v>45381</v>
      </c>
      <c r="L3452">
        <f xml:space="preserve"> (交易處理資料__3[[#This Row],[售出工時]] * 60) / 5</f>
        <v>0</v>
      </c>
      <c r="M3452" t="str">
        <f>VLOOKUP(交易處理資料__3[[#This Row],[人員代號]],團隊分組!$B$1:$C$52,2,FALSE)</f>
        <v>鈑金維修組</v>
      </c>
      <c r="N3452">
        <f>IF(交易處理資料__3[[#This Row],[上班時間]]=0,0,交易處理資料__3[[#This Row],[售出工時]]/交易處理資料__3[[#This Row],[上班時間]])</f>
        <v>0</v>
      </c>
      <c r="O3452" s="31" t="str">
        <f>IF(交易處理資料__3[[#This Row],[上班時間]]=0,"否","是")</f>
        <v>是</v>
      </c>
    </row>
    <row r="3453" spans="1:15" hidden="1">
      <c r="A3453" t="s">
        <v>74</v>
      </c>
      <c r="B3453" t="s">
        <v>13</v>
      </c>
      <c r="C3453">
        <v>0</v>
      </c>
      <c r="D3453">
        <v>0</v>
      </c>
      <c r="E3453" s="27">
        <v>0</v>
      </c>
      <c r="F3453">
        <v>4.4800000000000004</v>
      </c>
      <c r="G3453">
        <v>3.69</v>
      </c>
      <c r="H3453">
        <v>8.17</v>
      </c>
      <c r="I3453">
        <v>54.83</v>
      </c>
      <c r="J3453">
        <v>0</v>
      </c>
      <c r="K3453" s="9">
        <v>45381</v>
      </c>
      <c r="L3453">
        <f xml:space="preserve"> (交易處理資料__3[[#This Row],[售出工時]] * 60) / 5</f>
        <v>0</v>
      </c>
      <c r="M3453" t="str">
        <f>VLOOKUP(交易處理資料__3[[#This Row],[人員代號]],團隊分組!$B$1:$C$52,2,FALSE)</f>
        <v>鈑金維修組</v>
      </c>
      <c r="N3453">
        <f>IF(交易處理資料__3[[#This Row],[上班時間]]=0,0,交易處理資料__3[[#This Row],[售出工時]]/交易處理資料__3[[#This Row],[上班時間]])</f>
        <v>0</v>
      </c>
      <c r="O3453" s="31" t="str">
        <f>IF(交易處理資料__3[[#This Row],[上班時間]]=0,"否","是")</f>
        <v>是</v>
      </c>
    </row>
    <row r="3454" spans="1:15" hidden="1">
      <c r="A3454" t="s">
        <v>74</v>
      </c>
      <c r="B3454" t="s">
        <v>14</v>
      </c>
      <c r="C3454">
        <v>0</v>
      </c>
      <c r="D3454">
        <v>0</v>
      </c>
      <c r="E3454" s="27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 s="9">
        <v>45381</v>
      </c>
      <c r="L3454">
        <f xml:space="preserve"> (交易處理資料__3[[#This Row],[售出工時]] * 60) / 5</f>
        <v>0</v>
      </c>
      <c r="M3454" t="str">
        <f>VLOOKUP(交易處理資料__3[[#This Row],[人員代號]],團隊分組!$B$1:$C$52,2,FALSE)</f>
        <v>鈑金維修組</v>
      </c>
      <c r="N3454">
        <f>IF(交易處理資料__3[[#This Row],[上班時間]]=0,0,交易處理資料__3[[#This Row],[售出工時]]/交易處理資料__3[[#This Row],[上班時間]])</f>
        <v>0</v>
      </c>
      <c r="O3454" s="31" t="str">
        <f>IF(交易處理資料__3[[#This Row],[上班時間]]=0,"否","是")</f>
        <v>否</v>
      </c>
    </row>
    <row r="3455" spans="1:15" hidden="1">
      <c r="A3455" t="s">
        <v>74</v>
      </c>
      <c r="B3455" t="s">
        <v>15</v>
      </c>
      <c r="C3455">
        <v>0</v>
      </c>
      <c r="D3455">
        <v>0</v>
      </c>
      <c r="E3455" s="27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 s="9">
        <v>45381</v>
      </c>
      <c r="L3455">
        <f xml:space="preserve"> (交易處理資料__3[[#This Row],[售出工時]] * 60) / 5</f>
        <v>0</v>
      </c>
      <c r="M3455" t="str">
        <f>VLOOKUP(交易處理資料__3[[#This Row],[人員代號]],團隊分組!$B$1:$C$52,2,FALSE)</f>
        <v>鈑金維修組</v>
      </c>
      <c r="N3455">
        <f>IF(交易處理資料__3[[#This Row],[上班時間]]=0,0,交易處理資料__3[[#This Row],[售出工時]]/交易處理資料__3[[#This Row],[上班時間]])</f>
        <v>0</v>
      </c>
      <c r="O3455" s="31" t="str">
        <f>IF(交易處理資料__3[[#This Row],[上班時間]]=0,"否","是")</f>
        <v>否</v>
      </c>
    </row>
    <row r="3456" spans="1:15" hidden="1">
      <c r="A3456" t="s">
        <v>75</v>
      </c>
      <c r="B3456" t="s">
        <v>19</v>
      </c>
      <c r="C3456">
        <v>0</v>
      </c>
      <c r="D3456">
        <v>0</v>
      </c>
      <c r="E3456" s="27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 s="9">
        <v>45381</v>
      </c>
      <c r="L3456">
        <f xml:space="preserve"> (交易處理資料__3[[#This Row],[售出工時]] * 60) / 5</f>
        <v>0</v>
      </c>
      <c r="M3456" t="str">
        <f>VLOOKUP(交易處理資料__3[[#This Row],[人員代號]],團隊分組!$B$1:$C$52,2,FALSE)</f>
        <v>查修團隊A</v>
      </c>
      <c r="N3456">
        <f>IF(交易處理資料__3[[#This Row],[上班時間]]=0,0,交易處理資料__3[[#This Row],[售出工時]]/交易處理資料__3[[#This Row],[上班時間]])</f>
        <v>0</v>
      </c>
      <c r="O3456" s="31" t="str">
        <f>IF(交易處理資料__3[[#This Row],[上班時間]]=0,"否","是")</f>
        <v>否</v>
      </c>
    </row>
    <row r="3457" spans="1:15" hidden="1">
      <c r="A3457" t="s">
        <v>75</v>
      </c>
      <c r="B3457" t="s">
        <v>20</v>
      </c>
      <c r="C3457">
        <v>0</v>
      </c>
      <c r="D3457">
        <v>0</v>
      </c>
      <c r="E3457" s="2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 s="9">
        <v>45381</v>
      </c>
      <c r="L3457">
        <f xml:space="preserve"> (交易處理資料__3[[#This Row],[售出工時]] * 60) / 5</f>
        <v>0</v>
      </c>
      <c r="M3457" t="str">
        <f>VLOOKUP(交易處理資料__3[[#This Row],[人員代號]],團隊分組!$B$1:$C$52,2,FALSE)</f>
        <v>查修團隊B</v>
      </c>
      <c r="N3457">
        <f>IF(交易處理資料__3[[#This Row],[上班時間]]=0,0,交易處理資料__3[[#This Row],[售出工時]]/交易處理資料__3[[#This Row],[上班時間]])</f>
        <v>0</v>
      </c>
      <c r="O3457" s="31" t="str">
        <f>IF(交易處理資料__3[[#This Row],[上班時間]]=0,"否","是")</f>
        <v>否</v>
      </c>
    </row>
    <row r="3458" spans="1:15" hidden="1">
      <c r="A3458" t="s">
        <v>75</v>
      </c>
      <c r="B3458" t="s">
        <v>21</v>
      </c>
      <c r="C3458">
        <v>7.58</v>
      </c>
      <c r="D3458">
        <v>5.34</v>
      </c>
      <c r="E3458" s="27">
        <v>141.9475655</v>
      </c>
      <c r="F3458">
        <v>5.34</v>
      </c>
      <c r="G3458">
        <v>2.77</v>
      </c>
      <c r="H3458">
        <v>8.11</v>
      </c>
      <c r="I3458">
        <v>65.84</v>
      </c>
      <c r="J3458">
        <v>93.46</v>
      </c>
      <c r="K3458" s="9">
        <v>45381</v>
      </c>
      <c r="L3458">
        <f xml:space="preserve"> (交易處理資料__3[[#This Row],[售出工時]] * 60) / 5</f>
        <v>90.960000000000008</v>
      </c>
      <c r="M3458" t="str">
        <f>VLOOKUP(交易處理資料__3[[#This Row],[人員代號]],團隊分組!$B$1:$C$52,2,FALSE)</f>
        <v>查修團隊B</v>
      </c>
      <c r="N3458">
        <f>IF(交易處理資料__3[[#This Row],[上班時間]]=0,0,交易處理資料__3[[#This Row],[售出工時]]/交易處理資料__3[[#This Row],[上班時間]])</f>
        <v>0.93464858199753398</v>
      </c>
      <c r="O3458" s="31" t="str">
        <f>IF(交易處理資料__3[[#This Row],[上班時間]]=0,"否","是")</f>
        <v>是</v>
      </c>
    </row>
    <row r="3459" spans="1:15" hidden="1">
      <c r="A3459" t="s">
        <v>75</v>
      </c>
      <c r="B3459" t="s">
        <v>22</v>
      </c>
      <c r="C3459">
        <v>3.9166666669999999</v>
      </c>
      <c r="D3459">
        <v>2.4300000000000002</v>
      </c>
      <c r="E3459" s="27">
        <v>161.17969819999999</v>
      </c>
      <c r="F3459">
        <v>5.58</v>
      </c>
      <c r="G3459">
        <v>2.4300000000000002</v>
      </c>
      <c r="H3459">
        <v>8.01</v>
      </c>
      <c r="I3459">
        <v>69.66</v>
      </c>
      <c r="J3459">
        <v>48.9</v>
      </c>
      <c r="K3459" s="9">
        <v>45381</v>
      </c>
      <c r="L3459">
        <f xml:space="preserve"> (交易處理資料__3[[#This Row],[售出工時]] * 60) / 5</f>
        <v>47.000000004</v>
      </c>
      <c r="M3459" t="str">
        <f>VLOOKUP(交易處理資料__3[[#This Row],[人員代號]],團隊分組!$B$1:$C$52,2,FALSE)</f>
        <v>快速保養團隊A</v>
      </c>
      <c r="N3459">
        <f>IF(交易處理資料__3[[#This Row],[上班時間]]=0,0,交易處理資料__3[[#This Row],[售出工時]]/交易處理資料__3[[#This Row],[上班時間]])</f>
        <v>0.48897211822721598</v>
      </c>
      <c r="O3459" s="31" t="str">
        <f>IF(交易處理資料__3[[#This Row],[上班時間]]=0,"否","是")</f>
        <v>是</v>
      </c>
    </row>
    <row r="3460" spans="1:15" hidden="1">
      <c r="A3460" t="s">
        <v>75</v>
      </c>
      <c r="B3460" t="s">
        <v>23</v>
      </c>
      <c r="C3460">
        <v>6.94</v>
      </c>
      <c r="D3460">
        <v>5.16</v>
      </c>
      <c r="E3460" s="27">
        <v>134.49612400000001</v>
      </c>
      <c r="F3460">
        <v>4.8099999999999996</v>
      </c>
      <c r="G3460">
        <v>3.23</v>
      </c>
      <c r="H3460">
        <v>8.0399999999999991</v>
      </c>
      <c r="I3460">
        <v>59.83</v>
      </c>
      <c r="J3460">
        <v>86.32</v>
      </c>
      <c r="K3460" s="9">
        <v>45381</v>
      </c>
      <c r="L3460">
        <f xml:space="preserve"> (交易處理資料__3[[#This Row],[售出工時]] * 60) / 5</f>
        <v>83.28</v>
      </c>
      <c r="M3460" t="str">
        <f>VLOOKUP(交易處理資料__3[[#This Row],[人員代號]],團隊分組!$B$1:$C$52,2,FALSE)</f>
        <v>快速保養團隊B</v>
      </c>
      <c r="N3460">
        <f>IF(交易處理資料__3[[#This Row],[上班時間]]=0,0,交易處理資料__3[[#This Row],[售出工時]]/交易處理資料__3[[#This Row],[上班時間]])</f>
        <v>0.86318407960199017</v>
      </c>
      <c r="O3460" s="31" t="str">
        <f>IF(交易處理資料__3[[#This Row],[上班時間]]=0,"否","是")</f>
        <v>是</v>
      </c>
    </row>
    <row r="3461" spans="1:15" hidden="1">
      <c r="A3461" t="s">
        <v>75</v>
      </c>
      <c r="B3461" t="s">
        <v>25</v>
      </c>
      <c r="C3461">
        <v>7.2033333329999998</v>
      </c>
      <c r="D3461">
        <v>3.51</v>
      </c>
      <c r="E3461" s="27">
        <v>205.22317190000001</v>
      </c>
      <c r="F3461">
        <v>3.98</v>
      </c>
      <c r="G3461">
        <v>4.05</v>
      </c>
      <c r="H3461">
        <v>8.0299999999999994</v>
      </c>
      <c r="I3461">
        <v>49.56</v>
      </c>
      <c r="J3461">
        <v>89.71</v>
      </c>
      <c r="K3461" s="9">
        <v>45381</v>
      </c>
      <c r="L3461">
        <f xml:space="preserve"> (交易處理資料__3[[#This Row],[售出工時]] * 60) / 5</f>
        <v>86.439999995999997</v>
      </c>
      <c r="M3461" t="str">
        <f>VLOOKUP(交易處理資料__3[[#This Row],[人員代號]],團隊分組!$B$1:$C$52,2,FALSE)</f>
        <v>查修團隊A</v>
      </c>
      <c r="N3461">
        <f>IF(交易處理資料__3[[#This Row],[上班時間]]=0,0,交易處理資料__3[[#This Row],[售出工時]]/交易處理資料__3[[#This Row],[上班時間]])</f>
        <v>0.89705271892901628</v>
      </c>
      <c r="O3461" s="31" t="str">
        <f>IF(交易處理資料__3[[#This Row],[上班時間]]=0,"否","是")</f>
        <v>是</v>
      </c>
    </row>
    <row r="3462" spans="1:15" hidden="1">
      <c r="A3462" t="s">
        <v>75</v>
      </c>
      <c r="B3462" t="s">
        <v>26</v>
      </c>
      <c r="C3462">
        <v>0.4</v>
      </c>
      <c r="D3462">
        <v>1.08</v>
      </c>
      <c r="E3462" s="27">
        <v>37.037037040000001</v>
      </c>
      <c r="F3462">
        <v>3.26</v>
      </c>
      <c r="G3462">
        <v>4.78</v>
      </c>
      <c r="H3462">
        <v>8.0399999999999991</v>
      </c>
      <c r="I3462">
        <v>40.549999999999997</v>
      </c>
      <c r="J3462">
        <v>4.9800000000000004</v>
      </c>
      <c r="K3462" s="9">
        <v>45381</v>
      </c>
      <c r="L3462">
        <f xml:space="preserve"> (交易處理資料__3[[#This Row],[售出工時]] * 60) / 5</f>
        <v>4.8</v>
      </c>
      <c r="M3462" t="str">
        <f>VLOOKUP(交易處理資料__3[[#This Row],[人員代號]],團隊分組!$B$1:$C$52,2,FALSE)</f>
        <v>查修團隊B</v>
      </c>
      <c r="N3462">
        <f>IF(交易處理資料__3[[#This Row],[上班時間]]=0,0,交易處理資料__3[[#This Row],[售出工時]]/交易處理資料__3[[#This Row],[上班時間]])</f>
        <v>4.9751243781094537E-2</v>
      </c>
      <c r="O3462" s="31" t="str">
        <f>IF(交易處理資料__3[[#This Row],[上班時間]]=0,"否","是")</f>
        <v>是</v>
      </c>
    </row>
    <row r="3463" spans="1:15" hidden="1">
      <c r="A3463" t="s">
        <v>75</v>
      </c>
      <c r="B3463" t="s">
        <v>27</v>
      </c>
      <c r="C3463">
        <v>3.98</v>
      </c>
      <c r="D3463">
        <v>3.91</v>
      </c>
      <c r="E3463" s="27">
        <v>101.7902813</v>
      </c>
      <c r="F3463">
        <v>7.71</v>
      </c>
      <c r="G3463">
        <v>0.3</v>
      </c>
      <c r="H3463">
        <v>8.01</v>
      </c>
      <c r="I3463">
        <v>96.25</v>
      </c>
      <c r="J3463">
        <v>49.69</v>
      </c>
      <c r="K3463" s="9">
        <v>45381</v>
      </c>
      <c r="L3463">
        <f xml:space="preserve"> (交易處理資料__3[[#This Row],[售出工時]] * 60) / 5</f>
        <v>47.760000000000005</v>
      </c>
      <c r="M3463" t="str">
        <f>VLOOKUP(交易處理資料__3[[#This Row],[人員代號]],團隊分組!$B$1:$C$52,2,FALSE)</f>
        <v>快速保養團隊B</v>
      </c>
      <c r="N3463">
        <f>IF(交易處理資料__3[[#This Row],[上班時間]]=0,0,交易處理資料__3[[#This Row],[售出工時]]/交易處理資料__3[[#This Row],[上班時間]])</f>
        <v>0.49687890137328339</v>
      </c>
      <c r="O3463" s="31" t="str">
        <f>IF(交易處理資料__3[[#This Row],[上班時間]]=0,"否","是")</f>
        <v>是</v>
      </c>
    </row>
    <row r="3464" spans="1:15" hidden="1">
      <c r="A3464" t="s">
        <v>75</v>
      </c>
      <c r="B3464" t="s">
        <v>28</v>
      </c>
      <c r="C3464">
        <v>3.8033333329999999</v>
      </c>
      <c r="D3464">
        <v>3.67</v>
      </c>
      <c r="E3464" s="27">
        <v>103.6330609</v>
      </c>
      <c r="F3464">
        <v>3.67</v>
      </c>
      <c r="G3464">
        <v>4.3499999999999996</v>
      </c>
      <c r="H3464">
        <v>8.02</v>
      </c>
      <c r="I3464">
        <v>45.76</v>
      </c>
      <c r="J3464">
        <v>47.42</v>
      </c>
      <c r="K3464" s="9">
        <v>45381</v>
      </c>
      <c r="L3464">
        <f xml:space="preserve"> (交易處理資料__3[[#This Row],[售出工時]] * 60) / 5</f>
        <v>45.639999996</v>
      </c>
      <c r="M3464" t="str">
        <f>VLOOKUP(交易處理資料__3[[#This Row],[人員代號]],團隊分組!$B$1:$C$52,2,FALSE)</f>
        <v>快速保養團隊A</v>
      </c>
      <c r="N3464">
        <f>IF(交易處理資料__3[[#This Row],[上班時間]]=0,0,交易處理資料__3[[#This Row],[售出工時]]/交易處理資料__3[[#This Row],[上班時間]])</f>
        <v>0.47423108890274313</v>
      </c>
      <c r="O3464" s="31" t="str">
        <f>IF(交易處理資料__3[[#This Row],[上班時間]]=0,"否","是")</f>
        <v>是</v>
      </c>
    </row>
    <row r="3465" spans="1:15" hidden="1">
      <c r="A3465" t="s">
        <v>75</v>
      </c>
      <c r="B3465" t="s">
        <v>29</v>
      </c>
      <c r="C3465">
        <v>2.4300000000000002</v>
      </c>
      <c r="D3465">
        <v>2.71</v>
      </c>
      <c r="E3465" s="27">
        <v>89.667896679999998</v>
      </c>
      <c r="F3465">
        <v>4.13</v>
      </c>
      <c r="G3465">
        <v>3.9</v>
      </c>
      <c r="H3465">
        <v>8.0299999999999994</v>
      </c>
      <c r="I3465">
        <v>51.43</v>
      </c>
      <c r="J3465">
        <v>30.26</v>
      </c>
      <c r="K3465" s="9">
        <v>45381</v>
      </c>
      <c r="L3465">
        <f xml:space="preserve"> (交易處理資料__3[[#This Row],[售出工時]] * 60) / 5</f>
        <v>29.160000000000004</v>
      </c>
      <c r="M3465" t="str">
        <f>VLOOKUP(交易處理資料__3[[#This Row],[人員代號]],團隊分組!$B$1:$C$52,2,FALSE)</f>
        <v>查修團隊B</v>
      </c>
      <c r="N3465">
        <f>IF(交易處理資料__3[[#This Row],[上班時間]]=0,0,交易處理資料__3[[#This Row],[售出工時]]/交易處理資料__3[[#This Row],[上班時間]])</f>
        <v>0.30261519302615197</v>
      </c>
      <c r="O3465" s="31" t="str">
        <f>IF(交易處理資料__3[[#This Row],[上班時間]]=0,"否","是")</f>
        <v>是</v>
      </c>
    </row>
    <row r="3466" spans="1:15" hidden="1">
      <c r="A3466" t="s">
        <v>75</v>
      </c>
      <c r="B3466" t="s">
        <v>30</v>
      </c>
      <c r="C3466">
        <v>5.24</v>
      </c>
      <c r="D3466">
        <v>3.79</v>
      </c>
      <c r="E3466" s="27">
        <v>138.2585752</v>
      </c>
      <c r="F3466">
        <v>7.74</v>
      </c>
      <c r="G3466">
        <v>0.32</v>
      </c>
      <c r="H3466">
        <v>8.06</v>
      </c>
      <c r="I3466">
        <v>96.03</v>
      </c>
      <c r="J3466">
        <v>65.010000000000005</v>
      </c>
      <c r="K3466" s="9">
        <v>45381</v>
      </c>
      <c r="L3466">
        <f xml:space="preserve"> (交易處理資料__3[[#This Row],[售出工時]] * 60) / 5</f>
        <v>62.88000000000001</v>
      </c>
      <c r="M3466" t="str">
        <f>VLOOKUP(交易處理資料__3[[#This Row],[人員代號]],團隊分組!$B$1:$C$52,2,FALSE)</f>
        <v>快速保養團隊B</v>
      </c>
      <c r="N3466">
        <f>IF(交易處理資料__3[[#This Row],[上班時間]]=0,0,交易處理資料__3[[#This Row],[售出工時]]/交易處理資料__3[[#This Row],[上班時間]])</f>
        <v>0.65012406947890822</v>
      </c>
      <c r="O3466" s="31" t="str">
        <f>IF(交易處理資料__3[[#This Row],[上班時間]]=0,"否","是")</f>
        <v>是</v>
      </c>
    </row>
    <row r="3467" spans="1:15" hidden="1">
      <c r="A3467" t="s">
        <v>75</v>
      </c>
      <c r="B3467" t="s">
        <v>32</v>
      </c>
      <c r="C3467">
        <v>1.71</v>
      </c>
      <c r="D3467">
        <v>2.4</v>
      </c>
      <c r="E3467" s="27">
        <v>71.25</v>
      </c>
      <c r="F3467">
        <v>4.13</v>
      </c>
      <c r="G3467">
        <v>3.89</v>
      </c>
      <c r="H3467">
        <v>8.02</v>
      </c>
      <c r="I3467">
        <v>51.5</v>
      </c>
      <c r="J3467">
        <v>21.32</v>
      </c>
      <c r="K3467" s="9">
        <v>45381</v>
      </c>
      <c r="L3467">
        <f xml:space="preserve"> (交易處理資料__3[[#This Row],[售出工時]] * 60) / 5</f>
        <v>20.52</v>
      </c>
      <c r="M3467" t="str">
        <f>VLOOKUP(交易處理資料__3[[#This Row],[人員代號]],團隊分組!$B$1:$C$52,2,FALSE)</f>
        <v>快速保養團隊B</v>
      </c>
      <c r="N3467">
        <f>IF(交易處理資料__3[[#This Row],[上班時間]]=0,0,交易處理資料__3[[#This Row],[售出工時]]/交易處理資料__3[[#This Row],[上班時間]])</f>
        <v>0.21321695760598505</v>
      </c>
      <c r="O3467" s="31" t="str">
        <f>IF(交易處理資料__3[[#This Row],[上班時間]]=0,"否","是")</f>
        <v>是</v>
      </c>
    </row>
    <row r="3468" spans="1:15">
      <c r="A3468" t="s">
        <v>75</v>
      </c>
      <c r="B3468" t="s">
        <v>33</v>
      </c>
      <c r="C3468">
        <v>10.18</v>
      </c>
      <c r="D3468">
        <v>5.41</v>
      </c>
      <c r="E3468" s="27">
        <v>188.17005549999999</v>
      </c>
      <c r="F3468">
        <v>3.62</v>
      </c>
      <c r="G3468">
        <v>4.41</v>
      </c>
      <c r="H3468">
        <v>8.0299999999999994</v>
      </c>
      <c r="I3468">
        <v>45.08</v>
      </c>
      <c r="J3468">
        <v>126.77</v>
      </c>
      <c r="K3468" s="9">
        <v>45381</v>
      </c>
      <c r="L3468">
        <f xml:space="preserve"> (交易處理資料__3[[#This Row],[售出工時]] * 60) / 5</f>
        <v>122.16</v>
      </c>
      <c r="M3468" t="str">
        <f>VLOOKUP(交易處理資料__3[[#This Row],[人員代號]],團隊分組!$B$1:$C$52,2,FALSE)</f>
        <v>快速保養團隊B</v>
      </c>
      <c r="N3468">
        <f>IF(交易處理資料__3[[#This Row],[上班時間]]=0,0,交易處理資料__3[[#This Row],[售出工時]]/交易處理資料__3[[#This Row],[上班時間]])</f>
        <v>1.2677459526774595</v>
      </c>
      <c r="O3468" s="31" t="str">
        <f>IF(交易處理資料__3[[#This Row],[上班時間]]=0,"否","是")</f>
        <v>是</v>
      </c>
    </row>
    <row r="3469" spans="1:15" hidden="1">
      <c r="A3469" t="s">
        <v>75</v>
      </c>
      <c r="B3469" t="s">
        <v>34</v>
      </c>
      <c r="C3469">
        <v>0</v>
      </c>
      <c r="D3469">
        <v>0</v>
      </c>
      <c r="E3469" s="27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 s="9">
        <v>45381</v>
      </c>
      <c r="L3469">
        <f xml:space="preserve"> (交易處理資料__3[[#This Row],[售出工時]] * 60) / 5</f>
        <v>0</v>
      </c>
      <c r="M3469" t="str">
        <f>VLOOKUP(交易處理資料__3[[#This Row],[人員代號]],團隊分組!$B$1:$C$52,2,FALSE)</f>
        <v>快速保養團隊A</v>
      </c>
      <c r="N3469">
        <f>IF(交易處理資料__3[[#This Row],[上班時間]]=0,0,交易處理資料__3[[#This Row],[售出工時]]/交易處理資料__3[[#This Row],[上班時間]])</f>
        <v>0</v>
      </c>
      <c r="O3469" s="31" t="str">
        <f>IF(交易處理資料__3[[#This Row],[上班時間]]=0,"否","是")</f>
        <v>否</v>
      </c>
    </row>
    <row r="3470" spans="1:15" hidden="1">
      <c r="A3470" t="s">
        <v>75</v>
      </c>
      <c r="B3470" t="s">
        <v>35</v>
      </c>
      <c r="C3470">
        <v>0</v>
      </c>
      <c r="D3470">
        <v>0</v>
      </c>
      <c r="E3470" s="27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 s="9">
        <v>45381</v>
      </c>
      <c r="L3470">
        <f xml:space="preserve"> (交易處理資料__3[[#This Row],[售出工時]] * 60) / 5</f>
        <v>0</v>
      </c>
      <c r="M3470" t="str">
        <f>VLOOKUP(交易處理資料__3[[#This Row],[人員代號]],團隊分組!$B$1:$C$52,2,FALSE)</f>
        <v>查修團隊B</v>
      </c>
      <c r="N3470">
        <f>IF(交易處理資料__3[[#This Row],[上班時間]]=0,0,交易處理資料__3[[#This Row],[售出工時]]/交易處理資料__3[[#This Row],[上班時間]])</f>
        <v>0</v>
      </c>
      <c r="O3470" s="31" t="str">
        <f>IF(交易處理資料__3[[#This Row],[上班時間]]=0,"否","是")</f>
        <v>否</v>
      </c>
    </row>
    <row r="3471" spans="1:15" hidden="1">
      <c r="A3471" t="s">
        <v>75</v>
      </c>
      <c r="B3471" t="s">
        <v>36</v>
      </c>
      <c r="C3471">
        <v>0</v>
      </c>
      <c r="D3471">
        <v>0</v>
      </c>
      <c r="E3471" s="27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 s="9">
        <v>45381</v>
      </c>
      <c r="L3471">
        <f xml:space="preserve"> (交易處理資料__3[[#This Row],[售出工時]] * 60) / 5</f>
        <v>0</v>
      </c>
      <c r="M3471" t="str">
        <f>VLOOKUP(交易處理資料__3[[#This Row],[人員代號]],團隊分組!$B$1:$C$52,2,FALSE)</f>
        <v>查修團隊B</v>
      </c>
      <c r="N3471">
        <f>IF(交易處理資料__3[[#This Row],[上班時間]]=0,0,交易處理資料__3[[#This Row],[售出工時]]/交易處理資料__3[[#This Row],[上班時間]])</f>
        <v>0</v>
      </c>
      <c r="O3471" s="31" t="str">
        <f>IF(交易處理資料__3[[#This Row],[上班時間]]=0,"否","是")</f>
        <v>否</v>
      </c>
    </row>
    <row r="3472" spans="1:15" hidden="1">
      <c r="A3472" t="s">
        <v>75</v>
      </c>
      <c r="B3472" t="s">
        <v>37</v>
      </c>
      <c r="C3472">
        <v>3.9</v>
      </c>
      <c r="D3472">
        <v>3.59</v>
      </c>
      <c r="E3472" s="27">
        <v>108.6350975</v>
      </c>
      <c r="F3472">
        <v>3.59</v>
      </c>
      <c r="G3472">
        <v>4.43</v>
      </c>
      <c r="H3472">
        <v>8.02</v>
      </c>
      <c r="I3472">
        <v>44.76</v>
      </c>
      <c r="J3472">
        <v>48.63</v>
      </c>
      <c r="K3472" s="9">
        <v>45381</v>
      </c>
      <c r="L3472">
        <f xml:space="preserve"> (交易處理資料__3[[#This Row],[售出工時]] * 60) / 5</f>
        <v>46.8</v>
      </c>
      <c r="M3472" t="str">
        <f>VLOOKUP(交易處理資料__3[[#This Row],[人員代號]],團隊分組!$B$1:$C$52,2,FALSE)</f>
        <v>查修團隊A</v>
      </c>
      <c r="N3472">
        <f>IF(交易處理資料__3[[#This Row],[上班時間]]=0,0,交易處理資料__3[[#This Row],[售出工時]]/交易處理資料__3[[#This Row],[上班時間]])</f>
        <v>0.486284289276808</v>
      </c>
      <c r="O3472" s="31" t="str">
        <f>IF(交易處理資料__3[[#This Row],[上班時間]]=0,"否","是")</f>
        <v>是</v>
      </c>
    </row>
    <row r="3473" spans="1:15" hidden="1">
      <c r="A3473" t="s">
        <v>75</v>
      </c>
      <c r="B3473" t="s">
        <v>39</v>
      </c>
      <c r="C3473">
        <v>0</v>
      </c>
      <c r="D3473">
        <v>0</v>
      </c>
      <c r="E3473" s="27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 s="9">
        <v>45381</v>
      </c>
      <c r="L3473">
        <f xml:space="preserve"> (交易處理資料__3[[#This Row],[售出工時]] * 60) / 5</f>
        <v>0</v>
      </c>
      <c r="M3473" t="str">
        <f>VLOOKUP(交易處理資料__3[[#This Row],[人員代號]],團隊分組!$B$1:$C$52,2,FALSE)</f>
        <v>查修團隊A</v>
      </c>
      <c r="N3473">
        <f>IF(交易處理資料__3[[#This Row],[上班時間]]=0,0,交易處理資料__3[[#This Row],[售出工時]]/交易處理資料__3[[#This Row],[上班時間]])</f>
        <v>0</v>
      </c>
      <c r="O3473" s="31" t="str">
        <f>IF(交易處理資料__3[[#This Row],[上班時間]]=0,"否","是")</f>
        <v>否</v>
      </c>
    </row>
    <row r="3474" spans="1:15" hidden="1">
      <c r="A3474" t="s">
        <v>75</v>
      </c>
      <c r="B3474" t="s">
        <v>40</v>
      </c>
      <c r="C3474">
        <v>0</v>
      </c>
      <c r="D3474">
        <v>0</v>
      </c>
      <c r="E3474" s="27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 s="9">
        <v>45381</v>
      </c>
      <c r="L3474">
        <f xml:space="preserve"> (交易處理資料__3[[#This Row],[售出工時]] * 60) / 5</f>
        <v>0</v>
      </c>
      <c r="M3474" t="str">
        <f>VLOOKUP(交易處理資料__3[[#This Row],[人員代號]],團隊分組!$B$1:$C$52,2,FALSE)</f>
        <v>查修團隊A</v>
      </c>
      <c r="N3474">
        <f>IF(交易處理資料__3[[#This Row],[上班時間]]=0,0,交易處理資料__3[[#This Row],[售出工時]]/交易處理資料__3[[#This Row],[上班時間]])</f>
        <v>0</v>
      </c>
      <c r="O3474" s="31" t="str">
        <f>IF(交易處理資料__3[[#This Row],[上班時間]]=0,"否","是")</f>
        <v>否</v>
      </c>
    </row>
    <row r="3475" spans="1:15" hidden="1">
      <c r="A3475" t="s">
        <v>75</v>
      </c>
      <c r="B3475" t="s">
        <v>42</v>
      </c>
      <c r="C3475">
        <v>4.9366666669999999</v>
      </c>
      <c r="D3475">
        <v>4.5</v>
      </c>
      <c r="E3475" s="27">
        <v>109.70370370000001</v>
      </c>
      <c r="F3475">
        <v>4.5</v>
      </c>
      <c r="G3475">
        <v>3.55</v>
      </c>
      <c r="H3475">
        <v>8.0500000000000007</v>
      </c>
      <c r="I3475">
        <v>55.9</v>
      </c>
      <c r="J3475">
        <v>61.33</v>
      </c>
      <c r="K3475" s="9">
        <v>45381</v>
      </c>
      <c r="L3475">
        <f xml:space="preserve"> (交易處理資料__3[[#This Row],[售出工時]] * 60) / 5</f>
        <v>59.240000004000002</v>
      </c>
      <c r="M3475" t="str">
        <f>VLOOKUP(交易處理資料__3[[#This Row],[人員代號]],團隊分組!$B$1:$C$52,2,FALSE)</f>
        <v>快速保養團隊A</v>
      </c>
      <c r="N3475">
        <f>IF(交易處理資料__3[[#This Row],[上班時間]]=0,0,交易處理資料__3[[#This Row],[售出工時]]/交易處理資料__3[[#This Row],[上班時間]])</f>
        <v>0.61325051763975147</v>
      </c>
      <c r="O3475" s="31" t="str">
        <f>IF(交易處理資料__3[[#This Row],[上班時間]]=0,"否","是")</f>
        <v>是</v>
      </c>
    </row>
    <row r="3476" spans="1:15" hidden="1">
      <c r="A3476" t="s">
        <v>75</v>
      </c>
      <c r="B3476" t="s">
        <v>43</v>
      </c>
      <c r="C3476">
        <v>0</v>
      </c>
      <c r="D3476">
        <v>0</v>
      </c>
      <c r="E3476" s="27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 s="9">
        <v>45381</v>
      </c>
      <c r="L3476">
        <f xml:space="preserve"> (交易處理資料__3[[#This Row],[售出工時]] * 60) / 5</f>
        <v>0</v>
      </c>
      <c r="M3476" t="str">
        <f>VLOOKUP(交易處理資料__3[[#This Row],[人員代號]],團隊分組!$B$1:$C$52,2,FALSE)</f>
        <v>查修團隊B</v>
      </c>
      <c r="N3476">
        <f>IF(交易處理資料__3[[#This Row],[上班時間]]=0,0,交易處理資料__3[[#This Row],[售出工時]]/交易處理資料__3[[#This Row],[上班時間]])</f>
        <v>0</v>
      </c>
      <c r="O3476" s="31" t="str">
        <f>IF(交易處理資料__3[[#This Row],[上班時間]]=0,"否","是")</f>
        <v>否</v>
      </c>
    </row>
    <row r="3477" spans="1:15" hidden="1">
      <c r="A3477" t="s">
        <v>75</v>
      </c>
      <c r="B3477" t="s">
        <v>44</v>
      </c>
      <c r="C3477">
        <v>0</v>
      </c>
      <c r="D3477">
        <v>0</v>
      </c>
      <c r="E3477" s="2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 s="9">
        <v>45381</v>
      </c>
      <c r="L3477">
        <f xml:space="preserve"> (交易處理資料__3[[#This Row],[售出工時]] * 60) / 5</f>
        <v>0</v>
      </c>
      <c r="M3477" t="str">
        <f>VLOOKUP(交易處理資料__3[[#This Row],[人員代號]],團隊分組!$B$1:$C$52,2,FALSE)</f>
        <v>快速保養團隊B</v>
      </c>
      <c r="N3477">
        <f>IF(交易處理資料__3[[#This Row],[上班時間]]=0,0,交易處理資料__3[[#This Row],[售出工時]]/交易處理資料__3[[#This Row],[上班時間]])</f>
        <v>0</v>
      </c>
      <c r="O3477" s="31" t="str">
        <f>IF(交易處理資料__3[[#This Row],[上班時間]]=0,"否","是")</f>
        <v>否</v>
      </c>
    </row>
    <row r="3478" spans="1:15" hidden="1">
      <c r="A3478" t="s">
        <v>75</v>
      </c>
      <c r="B3478" t="s">
        <v>45</v>
      </c>
      <c r="C3478">
        <v>4.6666666670000003</v>
      </c>
      <c r="D3478">
        <v>2.48</v>
      </c>
      <c r="E3478" s="27">
        <v>188.172043</v>
      </c>
      <c r="F3478">
        <v>4.0599999999999996</v>
      </c>
      <c r="G3478">
        <v>3.96</v>
      </c>
      <c r="H3478">
        <v>8.02</v>
      </c>
      <c r="I3478">
        <v>50.62</v>
      </c>
      <c r="J3478">
        <v>58.19</v>
      </c>
      <c r="K3478" s="9">
        <v>45381</v>
      </c>
      <c r="L3478">
        <f xml:space="preserve"> (交易處理資料__3[[#This Row],[售出工時]] * 60) / 5</f>
        <v>56.000000004</v>
      </c>
      <c r="M3478" t="str">
        <f>VLOOKUP(交易處理資料__3[[#This Row],[人員代號]],團隊分組!$B$1:$C$52,2,FALSE)</f>
        <v>快速保養團隊A</v>
      </c>
      <c r="N3478">
        <f>IF(交易處理資料__3[[#This Row],[上班時間]]=0,0,交易處理資料__3[[#This Row],[售出工時]]/交易處理資料__3[[#This Row],[上班時間]])</f>
        <v>0.58187863678304241</v>
      </c>
      <c r="O3478" s="31" t="str">
        <f>IF(交易處理資料__3[[#This Row],[上班時間]]=0,"否","是")</f>
        <v>是</v>
      </c>
    </row>
    <row r="3479" spans="1:15" hidden="1">
      <c r="A3479" t="s">
        <v>75</v>
      </c>
      <c r="B3479" t="s">
        <v>46</v>
      </c>
      <c r="C3479">
        <v>7.9166666670000003</v>
      </c>
      <c r="D3479">
        <v>4.17</v>
      </c>
      <c r="E3479" s="27">
        <v>189.84812149999999</v>
      </c>
      <c r="F3479">
        <v>4.17</v>
      </c>
      <c r="G3479">
        <v>3.86</v>
      </c>
      <c r="H3479">
        <v>8.0299999999999994</v>
      </c>
      <c r="I3479">
        <v>51.93</v>
      </c>
      <c r="J3479">
        <v>98.59</v>
      </c>
      <c r="K3479" s="9">
        <v>45381</v>
      </c>
      <c r="L3479">
        <f xml:space="preserve"> (交易處理資料__3[[#This Row],[售出工時]] * 60) / 5</f>
        <v>95.000000004</v>
      </c>
      <c r="M3479" t="str">
        <f>VLOOKUP(交易處理資料__3[[#This Row],[人員代號]],團隊分組!$B$1:$C$52,2,FALSE)</f>
        <v>查修團隊B</v>
      </c>
      <c r="N3479">
        <f>IF(交易處理資料__3[[#This Row],[上班時間]]=0,0,交易處理資料__3[[#This Row],[售出工時]]/交易處理資料__3[[#This Row],[上班時間]])</f>
        <v>0.98588625990037371</v>
      </c>
      <c r="O3479" s="31" t="str">
        <f>IF(交易處理資料__3[[#This Row],[上班時間]]=0,"否","是")</f>
        <v>是</v>
      </c>
    </row>
    <row r="3480" spans="1:15" hidden="1">
      <c r="A3480" t="s">
        <v>75</v>
      </c>
      <c r="B3480" t="s">
        <v>47</v>
      </c>
      <c r="C3480">
        <v>0</v>
      </c>
      <c r="D3480">
        <v>0</v>
      </c>
      <c r="E3480" s="27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 s="9">
        <v>45381</v>
      </c>
      <c r="L3480">
        <f xml:space="preserve"> (交易處理資料__3[[#This Row],[售出工時]] * 60) / 5</f>
        <v>0</v>
      </c>
      <c r="M3480" t="str">
        <f>VLOOKUP(交易處理資料__3[[#This Row],[人員代號]],團隊分組!$B$1:$C$52,2,FALSE)</f>
        <v>查修團隊B</v>
      </c>
      <c r="N3480">
        <f>IF(交易處理資料__3[[#This Row],[上班時間]]=0,0,交易處理資料__3[[#This Row],[售出工時]]/交易處理資料__3[[#This Row],[上班時間]])</f>
        <v>0</v>
      </c>
      <c r="O3480" s="31" t="str">
        <f>IF(交易處理資料__3[[#This Row],[上班時間]]=0,"否","是")</f>
        <v>否</v>
      </c>
    </row>
    <row r="3481" spans="1:15" hidden="1">
      <c r="A3481" t="s">
        <v>75</v>
      </c>
      <c r="B3481" t="s">
        <v>49</v>
      </c>
      <c r="C3481">
        <v>0</v>
      </c>
      <c r="D3481">
        <v>0</v>
      </c>
      <c r="E3481" s="27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 s="9">
        <v>45381</v>
      </c>
      <c r="L3481">
        <f xml:space="preserve"> (交易處理資料__3[[#This Row],[售出工時]] * 60) / 5</f>
        <v>0</v>
      </c>
      <c r="M3481" t="str">
        <f>VLOOKUP(交易處理資料__3[[#This Row],[人員代號]],團隊分組!$B$1:$C$52,2,FALSE)</f>
        <v>查修團隊A</v>
      </c>
      <c r="N3481">
        <f>IF(交易處理資料__3[[#This Row],[上班時間]]=0,0,交易處理資料__3[[#This Row],[售出工時]]/交易處理資料__3[[#This Row],[上班時間]])</f>
        <v>0</v>
      </c>
      <c r="O3481" s="31" t="str">
        <f>IF(交易處理資料__3[[#This Row],[上班時間]]=0,"否","是")</f>
        <v>否</v>
      </c>
    </row>
    <row r="3482" spans="1:15" hidden="1">
      <c r="A3482" t="s">
        <v>75</v>
      </c>
      <c r="B3482" t="s">
        <v>50</v>
      </c>
      <c r="C3482">
        <v>5.75</v>
      </c>
      <c r="D3482">
        <v>3.07</v>
      </c>
      <c r="E3482" s="27">
        <v>187.2964169</v>
      </c>
      <c r="F3482">
        <v>5.68</v>
      </c>
      <c r="G3482">
        <v>2.35</v>
      </c>
      <c r="H3482">
        <v>8.0299999999999994</v>
      </c>
      <c r="I3482">
        <v>70.73</v>
      </c>
      <c r="J3482">
        <v>71.61</v>
      </c>
      <c r="K3482" s="9">
        <v>45381</v>
      </c>
      <c r="L3482">
        <f xml:space="preserve"> (交易處理資料__3[[#This Row],[售出工時]] * 60) / 5</f>
        <v>69</v>
      </c>
      <c r="M3482" t="str">
        <f>VLOOKUP(交易處理資料__3[[#This Row],[人員代號]],團隊分組!$B$1:$C$52,2,FALSE)</f>
        <v>快速保養團隊B</v>
      </c>
      <c r="N3482">
        <f>IF(交易處理資料__3[[#This Row],[上班時間]]=0,0,交易處理資料__3[[#This Row],[售出工時]]/交易處理資料__3[[#This Row],[上班時間]])</f>
        <v>0.71606475716064766</v>
      </c>
      <c r="O3482" s="31" t="str">
        <f>IF(交易處理資料__3[[#This Row],[上班時間]]=0,"否","是")</f>
        <v>是</v>
      </c>
    </row>
    <row r="3483" spans="1:15" hidden="1">
      <c r="A3483" t="s">
        <v>75</v>
      </c>
      <c r="B3483" t="s">
        <v>51</v>
      </c>
      <c r="C3483">
        <v>0</v>
      </c>
      <c r="D3483">
        <v>0</v>
      </c>
      <c r="E3483" s="27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 s="9">
        <v>45381</v>
      </c>
      <c r="L3483">
        <f xml:space="preserve"> (交易處理資料__3[[#This Row],[售出工時]] * 60) / 5</f>
        <v>0</v>
      </c>
      <c r="M3483" t="str">
        <f>VLOOKUP(交易處理資料__3[[#This Row],[人員代號]],團隊分組!$B$1:$C$52,2,FALSE)</f>
        <v>無效數據</v>
      </c>
      <c r="N3483">
        <f>IF(交易處理資料__3[[#This Row],[上班時間]]=0,0,交易處理資料__3[[#This Row],[售出工時]]/交易處理資料__3[[#This Row],[上班時間]])</f>
        <v>0</v>
      </c>
      <c r="O3483" s="31" t="str">
        <f>IF(交易處理資料__3[[#This Row],[上班時間]]=0,"否","是")</f>
        <v>否</v>
      </c>
    </row>
    <row r="3484" spans="1:15" hidden="1">
      <c r="A3484" t="s">
        <v>75</v>
      </c>
      <c r="B3484" t="s">
        <v>52</v>
      </c>
      <c r="C3484">
        <v>7.5733333329999999</v>
      </c>
      <c r="D3484">
        <v>4.87</v>
      </c>
      <c r="E3484" s="27">
        <v>155.5099247</v>
      </c>
      <c r="F3484">
        <v>4.87</v>
      </c>
      <c r="G3484">
        <v>3.15</v>
      </c>
      <c r="H3484">
        <v>8.02</v>
      </c>
      <c r="I3484">
        <v>60.72</v>
      </c>
      <c r="J3484">
        <v>94.43</v>
      </c>
      <c r="K3484" s="9">
        <v>45381</v>
      </c>
      <c r="L3484">
        <f xml:space="preserve"> (交易處理資料__3[[#This Row],[售出工時]] * 60) / 5</f>
        <v>90.879999996000009</v>
      </c>
      <c r="M3484" t="str">
        <f>VLOOKUP(交易處理資料__3[[#This Row],[人員代號]],團隊分組!$B$1:$C$52,2,FALSE)</f>
        <v>查修團隊B</v>
      </c>
      <c r="N3484">
        <f>IF(交易處理資料__3[[#This Row],[上班時間]]=0,0,交易處理資料__3[[#This Row],[售出工時]]/交易處理資料__3[[#This Row],[上班時間]])</f>
        <v>0.94430590187032426</v>
      </c>
      <c r="O3484" s="31" t="str">
        <f>IF(交易處理資料__3[[#This Row],[上班時間]]=0,"否","是")</f>
        <v>是</v>
      </c>
    </row>
    <row r="3485" spans="1:15" hidden="1">
      <c r="A3485" t="s">
        <v>75</v>
      </c>
      <c r="B3485" t="s">
        <v>53</v>
      </c>
      <c r="C3485">
        <v>0</v>
      </c>
      <c r="D3485">
        <v>0</v>
      </c>
      <c r="E3485" s="27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 s="9">
        <v>45381</v>
      </c>
      <c r="L3485">
        <f xml:space="preserve"> (交易處理資料__3[[#This Row],[售出工時]] * 60) / 5</f>
        <v>0</v>
      </c>
      <c r="M3485" t="str">
        <f>VLOOKUP(交易處理資料__3[[#This Row],[人員代號]],團隊分組!$B$1:$C$52,2,FALSE)</f>
        <v>查修團隊A</v>
      </c>
      <c r="N3485">
        <f>IF(交易處理資料__3[[#This Row],[上班時間]]=0,0,交易處理資料__3[[#This Row],[售出工時]]/交易處理資料__3[[#This Row],[上班時間]])</f>
        <v>0</v>
      </c>
      <c r="O3485" s="31" t="str">
        <f>IF(交易處理資料__3[[#This Row],[上班時間]]=0,"否","是")</f>
        <v>否</v>
      </c>
    </row>
    <row r="3486" spans="1:15" hidden="1">
      <c r="A3486" s="10" t="s">
        <v>73</v>
      </c>
      <c r="B3486" t="s">
        <v>1</v>
      </c>
      <c r="C3486">
        <v>0</v>
      </c>
      <c r="D3486">
        <v>0</v>
      </c>
      <c r="E3486" s="27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 s="9">
        <v>45382</v>
      </c>
      <c r="L3486">
        <f xml:space="preserve"> (交易處理資料__3[[#This Row],[售出工時]] * 60) / 5</f>
        <v>0</v>
      </c>
      <c r="M3486" t="str">
        <f>VLOOKUP(交易處理資料__3[[#This Row],[人員代號]],團隊分組!$B$1:$C$52,2,FALSE)</f>
        <v>噴漆維修組</v>
      </c>
      <c r="N3486">
        <f>IF(交易處理資料__3[[#This Row],[上班時間]]=0,0,交易處理資料__3[[#This Row],[售出工時]]/交易處理資料__3[[#This Row],[上班時間]])</f>
        <v>0</v>
      </c>
      <c r="O3486" s="31" t="str">
        <f>IF(交易處理資料__3[[#This Row],[上班時間]]=0,"否","是")</f>
        <v>否</v>
      </c>
    </row>
    <row r="3487" spans="1:15" hidden="1">
      <c r="A3487" s="10" t="s">
        <v>73</v>
      </c>
      <c r="B3487" t="s">
        <v>2</v>
      </c>
      <c r="C3487">
        <v>0</v>
      </c>
      <c r="D3487">
        <v>0</v>
      </c>
      <c r="E3487" s="2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 s="9">
        <v>45382</v>
      </c>
      <c r="L3487">
        <f xml:space="preserve"> (交易處理資料__3[[#This Row],[售出工時]] * 60) / 5</f>
        <v>0</v>
      </c>
      <c r="M3487" t="str">
        <f>VLOOKUP(交易處理資料__3[[#This Row],[人員代號]],團隊分組!$B$1:$C$52,2,FALSE)</f>
        <v>噴漆維修組</v>
      </c>
      <c r="N3487">
        <f>IF(交易處理資料__3[[#This Row],[上班時間]]=0,0,交易處理資料__3[[#This Row],[售出工時]]/交易處理資料__3[[#This Row],[上班時間]])</f>
        <v>0</v>
      </c>
      <c r="O3487" s="31" t="str">
        <f>IF(交易處理資料__3[[#This Row],[上班時間]]=0,"否","是")</f>
        <v>否</v>
      </c>
    </row>
    <row r="3488" spans="1:15" hidden="1">
      <c r="A3488" s="10" t="s">
        <v>73</v>
      </c>
      <c r="B3488" t="s">
        <v>3</v>
      </c>
      <c r="C3488">
        <v>0</v>
      </c>
      <c r="D3488">
        <v>0</v>
      </c>
      <c r="E3488" s="27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 s="9">
        <v>45382</v>
      </c>
      <c r="L3488">
        <f xml:space="preserve"> (交易處理資料__3[[#This Row],[售出工時]] * 60) / 5</f>
        <v>0</v>
      </c>
      <c r="M3488" t="str">
        <f>VLOOKUP(交易處理資料__3[[#This Row],[人員代號]],團隊分組!$B$1:$C$52,2,FALSE)</f>
        <v>噴漆維修組</v>
      </c>
      <c r="N3488">
        <f>IF(交易處理資料__3[[#This Row],[上班時間]]=0,0,交易處理資料__3[[#This Row],[售出工時]]/交易處理資料__3[[#This Row],[上班時間]])</f>
        <v>0</v>
      </c>
      <c r="O3488" s="31" t="str">
        <f>IF(交易處理資料__3[[#This Row],[上班時間]]=0,"否","是")</f>
        <v>否</v>
      </c>
    </row>
    <row r="3489" spans="1:15" hidden="1">
      <c r="A3489" s="10" t="s">
        <v>73</v>
      </c>
      <c r="B3489" t="s">
        <v>4</v>
      </c>
      <c r="C3489">
        <v>0</v>
      </c>
      <c r="D3489">
        <v>0</v>
      </c>
      <c r="E3489" s="27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 s="9">
        <v>45382</v>
      </c>
      <c r="L3489">
        <f xml:space="preserve"> (交易處理資料__3[[#This Row],[售出工時]] * 60) / 5</f>
        <v>0</v>
      </c>
      <c r="M3489" t="str">
        <f>VLOOKUP(交易處理資料__3[[#This Row],[人員代號]],團隊分組!$B$1:$C$52,2,FALSE)</f>
        <v>噴漆維修組</v>
      </c>
      <c r="N3489">
        <f>IF(交易處理資料__3[[#This Row],[上班時間]]=0,0,交易處理資料__3[[#This Row],[售出工時]]/交易處理資料__3[[#This Row],[上班時間]])</f>
        <v>0</v>
      </c>
      <c r="O3489" s="31" t="str">
        <f>IF(交易處理資料__3[[#This Row],[上班時間]]=0,"否","是")</f>
        <v>否</v>
      </c>
    </row>
    <row r="3490" spans="1:15" hidden="1">
      <c r="A3490" s="10" t="s">
        <v>73</v>
      </c>
      <c r="B3490" t="s">
        <v>5</v>
      </c>
      <c r="C3490">
        <v>0</v>
      </c>
      <c r="D3490">
        <v>0</v>
      </c>
      <c r="E3490" s="27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 s="9">
        <v>45382</v>
      </c>
      <c r="L3490">
        <f xml:space="preserve"> (交易處理資料__3[[#This Row],[售出工時]] * 60) / 5</f>
        <v>0</v>
      </c>
      <c r="M3490" t="str">
        <f>VLOOKUP(交易處理資料__3[[#This Row],[人員代號]],團隊分組!$B$1:$C$52,2,FALSE)</f>
        <v>噴漆維修組</v>
      </c>
      <c r="N3490">
        <f>IF(交易處理資料__3[[#This Row],[上班時間]]=0,0,交易處理資料__3[[#This Row],[售出工時]]/交易處理資料__3[[#This Row],[上班時間]])</f>
        <v>0</v>
      </c>
      <c r="O3490" s="31" t="str">
        <f>IF(交易處理資料__3[[#This Row],[上班時間]]=0,"否","是")</f>
        <v>否</v>
      </c>
    </row>
    <row r="3491" spans="1:15" hidden="1">
      <c r="A3491" s="10" t="s">
        <v>73</v>
      </c>
      <c r="B3491" t="s">
        <v>6</v>
      </c>
      <c r="C3491">
        <v>0</v>
      </c>
      <c r="D3491">
        <v>0</v>
      </c>
      <c r="E3491" s="27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 s="9">
        <v>45382</v>
      </c>
      <c r="L3491">
        <f xml:space="preserve"> (交易處理資料__3[[#This Row],[售出工時]] * 60) / 5</f>
        <v>0</v>
      </c>
      <c r="M3491" t="str">
        <f>VLOOKUP(交易處理資料__3[[#This Row],[人員代號]],團隊分組!$B$1:$C$52,2,FALSE)</f>
        <v>噴漆維修組</v>
      </c>
      <c r="N3491">
        <f>IF(交易處理資料__3[[#This Row],[上班時間]]=0,0,交易處理資料__3[[#This Row],[售出工時]]/交易處理資料__3[[#This Row],[上班時間]])</f>
        <v>0</v>
      </c>
      <c r="O3491" s="31" t="str">
        <f>IF(交易處理資料__3[[#This Row],[上班時間]]=0,"否","是")</f>
        <v>否</v>
      </c>
    </row>
    <row r="3492" spans="1:15" hidden="1">
      <c r="A3492" s="10" t="s">
        <v>73</v>
      </c>
      <c r="B3492" t="s">
        <v>7</v>
      </c>
      <c r="C3492">
        <v>0</v>
      </c>
      <c r="D3492">
        <v>0</v>
      </c>
      <c r="E3492" s="27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 s="9">
        <v>45382</v>
      </c>
      <c r="L3492">
        <f xml:space="preserve"> (交易處理資料__3[[#This Row],[售出工時]] * 60) / 5</f>
        <v>0</v>
      </c>
      <c r="M3492" t="str">
        <f>VLOOKUP(交易處理資料__3[[#This Row],[人員代號]],團隊分組!$B$1:$C$52,2,FALSE)</f>
        <v>噴漆維修組</v>
      </c>
      <c r="N3492">
        <f>IF(交易處理資料__3[[#This Row],[上班時間]]=0,0,交易處理資料__3[[#This Row],[售出工時]]/交易處理資料__3[[#This Row],[上班時間]])</f>
        <v>0</v>
      </c>
      <c r="O3492" s="31" t="str">
        <f>IF(交易處理資料__3[[#This Row],[上班時間]]=0,"否","是")</f>
        <v>否</v>
      </c>
    </row>
    <row r="3493" spans="1:15" hidden="1">
      <c r="A3493" s="10" t="s">
        <v>73</v>
      </c>
      <c r="B3493" t="s">
        <v>8</v>
      </c>
      <c r="C3493">
        <v>0</v>
      </c>
      <c r="D3493">
        <v>0</v>
      </c>
      <c r="E3493" s="27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 s="9">
        <v>45382</v>
      </c>
      <c r="L3493">
        <f xml:space="preserve"> (交易處理資料__3[[#This Row],[售出工時]] * 60) / 5</f>
        <v>0</v>
      </c>
      <c r="M3493" t="str">
        <f>VLOOKUP(交易處理資料__3[[#This Row],[人員代號]],團隊分組!$B$1:$C$52,2,FALSE)</f>
        <v>噴漆維修組</v>
      </c>
      <c r="N3493">
        <f>IF(交易處理資料__3[[#This Row],[上班時間]]=0,0,交易處理資料__3[[#This Row],[售出工時]]/交易處理資料__3[[#This Row],[上班時間]])</f>
        <v>0</v>
      </c>
      <c r="O3493" s="31" t="str">
        <f>IF(交易處理資料__3[[#This Row],[上班時間]]=0,"否","是")</f>
        <v>否</v>
      </c>
    </row>
    <row r="3494" spans="1:15" hidden="1">
      <c r="A3494" s="10" t="s">
        <v>73</v>
      </c>
      <c r="B3494" t="s">
        <v>9</v>
      </c>
      <c r="C3494">
        <v>0</v>
      </c>
      <c r="D3494">
        <v>0</v>
      </c>
      <c r="E3494" s="27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 s="9">
        <v>45382</v>
      </c>
      <c r="L3494">
        <f xml:space="preserve"> (交易處理資料__3[[#This Row],[售出工時]] * 60) / 5</f>
        <v>0</v>
      </c>
      <c r="M3494" t="str">
        <f>VLOOKUP(交易處理資料__3[[#This Row],[人員代號]],團隊分組!$B$1:$C$52,2,FALSE)</f>
        <v>噴漆維修組</v>
      </c>
      <c r="N3494">
        <f>IF(交易處理資料__3[[#This Row],[上班時間]]=0,0,交易處理資料__3[[#This Row],[售出工時]]/交易處理資料__3[[#This Row],[上班時間]])</f>
        <v>0</v>
      </c>
      <c r="O3494" s="31" t="str">
        <f>IF(交易處理資料__3[[#This Row],[上班時間]]=0,"否","是")</f>
        <v>否</v>
      </c>
    </row>
    <row r="3495" spans="1:15" hidden="1">
      <c r="A3495" t="s">
        <v>74</v>
      </c>
      <c r="B3495" t="s">
        <v>11</v>
      </c>
      <c r="C3495">
        <v>0</v>
      </c>
      <c r="D3495">
        <v>0</v>
      </c>
      <c r="E3495" s="27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 s="9">
        <v>45382</v>
      </c>
      <c r="L3495">
        <f xml:space="preserve"> (交易處理資料__3[[#This Row],[售出工時]] * 60) / 5</f>
        <v>0</v>
      </c>
      <c r="M3495" t="str">
        <f>VLOOKUP(交易處理資料__3[[#This Row],[人員代號]],團隊分組!$B$1:$C$52,2,FALSE)</f>
        <v>鈑金維修組</v>
      </c>
      <c r="N3495">
        <f>IF(交易處理資料__3[[#This Row],[上班時間]]=0,0,交易處理資料__3[[#This Row],[售出工時]]/交易處理資料__3[[#This Row],[上班時間]])</f>
        <v>0</v>
      </c>
      <c r="O3495" s="31" t="str">
        <f>IF(交易處理資料__3[[#This Row],[上班時間]]=0,"否","是")</f>
        <v>否</v>
      </c>
    </row>
    <row r="3496" spans="1:15" hidden="1">
      <c r="A3496" t="s">
        <v>74</v>
      </c>
      <c r="B3496" t="s">
        <v>12</v>
      </c>
      <c r="C3496">
        <v>0</v>
      </c>
      <c r="D3496">
        <v>0</v>
      </c>
      <c r="E3496" s="27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 s="9">
        <v>45382</v>
      </c>
      <c r="L3496">
        <f xml:space="preserve"> (交易處理資料__3[[#This Row],[售出工時]] * 60) / 5</f>
        <v>0</v>
      </c>
      <c r="M3496" t="str">
        <f>VLOOKUP(交易處理資料__3[[#This Row],[人員代號]],團隊分組!$B$1:$C$52,2,FALSE)</f>
        <v>鈑金維修組</v>
      </c>
      <c r="N3496">
        <f>IF(交易處理資料__3[[#This Row],[上班時間]]=0,0,交易處理資料__3[[#This Row],[售出工時]]/交易處理資料__3[[#This Row],[上班時間]])</f>
        <v>0</v>
      </c>
      <c r="O3496" s="31" t="str">
        <f>IF(交易處理資料__3[[#This Row],[上班時間]]=0,"否","是")</f>
        <v>否</v>
      </c>
    </row>
    <row r="3497" spans="1:15" hidden="1">
      <c r="A3497" t="s">
        <v>74</v>
      </c>
      <c r="B3497" t="s">
        <v>13</v>
      </c>
      <c r="C3497">
        <v>0</v>
      </c>
      <c r="D3497">
        <v>0</v>
      </c>
      <c r="E3497" s="2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 s="9">
        <v>45382</v>
      </c>
      <c r="L3497">
        <f xml:space="preserve"> (交易處理資料__3[[#This Row],[售出工時]] * 60) / 5</f>
        <v>0</v>
      </c>
      <c r="M3497" t="str">
        <f>VLOOKUP(交易處理資料__3[[#This Row],[人員代號]],團隊分組!$B$1:$C$52,2,FALSE)</f>
        <v>鈑金維修組</v>
      </c>
      <c r="N3497">
        <f>IF(交易處理資料__3[[#This Row],[上班時間]]=0,0,交易處理資料__3[[#This Row],[售出工時]]/交易處理資料__3[[#This Row],[上班時間]])</f>
        <v>0</v>
      </c>
      <c r="O3497" s="31" t="str">
        <f>IF(交易處理資料__3[[#This Row],[上班時間]]=0,"否","是")</f>
        <v>否</v>
      </c>
    </row>
    <row r="3498" spans="1:15" hidden="1">
      <c r="A3498" t="s">
        <v>74</v>
      </c>
      <c r="B3498" t="s">
        <v>14</v>
      </c>
      <c r="C3498">
        <v>0</v>
      </c>
      <c r="D3498">
        <v>0</v>
      </c>
      <c r="E3498" s="27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 s="9">
        <v>45382</v>
      </c>
      <c r="L3498">
        <f xml:space="preserve"> (交易處理資料__3[[#This Row],[售出工時]] * 60) / 5</f>
        <v>0</v>
      </c>
      <c r="M3498" t="str">
        <f>VLOOKUP(交易處理資料__3[[#This Row],[人員代號]],團隊分組!$B$1:$C$52,2,FALSE)</f>
        <v>鈑金維修組</v>
      </c>
      <c r="N3498">
        <f>IF(交易處理資料__3[[#This Row],[上班時間]]=0,0,交易處理資料__3[[#This Row],[售出工時]]/交易處理資料__3[[#This Row],[上班時間]])</f>
        <v>0</v>
      </c>
      <c r="O3498" s="31" t="str">
        <f>IF(交易處理資料__3[[#This Row],[上班時間]]=0,"否","是")</f>
        <v>否</v>
      </c>
    </row>
    <row r="3499" spans="1:15" hidden="1">
      <c r="A3499" t="s">
        <v>74</v>
      </c>
      <c r="B3499" t="s">
        <v>15</v>
      </c>
      <c r="C3499">
        <v>0</v>
      </c>
      <c r="D3499">
        <v>0</v>
      </c>
      <c r="E3499" s="27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 s="9">
        <v>45382</v>
      </c>
      <c r="L3499">
        <f xml:space="preserve"> (交易處理資料__3[[#This Row],[售出工時]] * 60) / 5</f>
        <v>0</v>
      </c>
      <c r="M3499" t="str">
        <f>VLOOKUP(交易處理資料__3[[#This Row],[人員代號]],團隊分組!$B$1:$C$52,2,FALSE)</f>
        <v>鈑金維修組</v>
      </c>
      <c r="N3499">
        <f>IF(交易處理資料__3[[#This Row],[上班時間]]=0,0,交易處理資料__3[[#This Row],[售出工時]]/交易處理資料__3[[#This Row],[上班時間]])</f>
        <v>0</v>
      </c>
      <c r="O3499" s="31" t="str">
        <f>IF(交易處理資料__3[[#This Row],[上班時間]]=0,"否","是")</f>
        <v>否</v>
      </c>
    </row>
    <row r="3500" spans="1:15" hidden="1">
      <c r="A3500" t="s">
        <v>75</v>
      </c>
      <c r="B3500" t="s">
        <v>17</v>
      </c>
      <c r="C3500">
        <v>0</v>
      </c>
      <c r="D3500">
        <v>0</v>
      </c>
      <c r="E3500" s="27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 s="9">
        <v>45382</v>
      </c>
      <c r="L3500">
        <f xml:space="preserve"> (交易處理資料__3[[#This Row],[售出工時]] * 60) / 5</f>
        <v>0</v>
      </c>
      <c r="M3500" t="str">
        <f>VLOOKUP(交易處理資料__3[[#This Row],[人員代號]],團隊分組!$B$1:$C$52,2,FALSE)</f>
        <v>快速保養團隊A</v>
      </c>
      <c r="N3500">
        <f>IF(交易處理資料__3[[#This Row],[上班時間]]=0,0,交易處理資料__3[[#This Row],[售出工時]]/交易處理資料__3[[#This Row],[上班時間]])</f>
        <v>0</v>
      </c>
      <c r="O3500" s="31" t="str">
        <f>IF(交易處理資料__3[[#This Row],[上班時間]]=0,"否","是")</f>
        <v>否</v>
      </c>
    </row>
    <row r="3501" spans="1:15" hidden="1">
      <c r="A3501" t="s">
        <v>75</v>
      </c>
      <c r="B3501" t="s">
        <v>18</v>
      </c>
      <c r="C3501">
        <v>0</v>
      </c>
      <c r="D3501">
        <v>0</v>
      </c>
      <c r="E3501" s="27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 s="9">
        <v>45382</v>
      </c>
      <c r="L3501">
        <f xml:space="preserve"> (交易處理資料__3[[#This Row],[售出工時]] * 60) / 5</f>
        <v>0</v>
      </c>
      <c r="M3501" t="str">
        <f>VLOOKUP(交易處理資料__3[[#This Row],[人員代號]],團隊分組!$B$1:$C$52,2,FALSE)</f>
        <v>查修團隊B</v>
      </c>
      <c r="N3501">
        <f>IF(交易處理資料__3[[#This Row],[上班時間]]=0,0,交易處理資料__3[[#This Row],[售出工時]]/交易處理資料__3[[#This Row],[上班時間]])</f>
        <v>0</v>
      </c>
      <c r="O3501" s="31" t="str">
        <f>IF(交易處理資料__3[[#This Row],[上班時間]]=0,"否","是")</f>
        <v>否</v>
      </c>
    </row>
    <row r="3502" spans="1:15" hidden="1">
      <c r="A3502" t="s">
        <v>75</v>
      </c>
      <c r="B3502" t="s">
        <v>19</v>
      </c>
      <c r="C3502">
        <v>0</v>
      </c>
      <c r="D3502">
        <v>0</v>
      </c>
      <c r="E3502" s="27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 s="9">
        <v>45382</v>
      </c>
      <c r="L3502">
        <f xml:space="preserve"> (交易處理資料__3[[#This Row],[售出工時]] * 60) / 5</f>
        <v>0</v>
      </c>
      <c r="M3502" t="str">
        <f>VLOOKUP(交易處理資料__3[[#This Row],[人員代號]],團隊分組!$B$1:$C$52,2,FALSE)</f>
        <v>查修團隊A</v>
      </c>
      <c r="N3502">
        <f>IF(交易處理資料__3[[#This Row],[上班時間]]=0,0,交易處理資料__3[[#This Row],[售出工時]]/交易處理資料__3[[#This Row],[上班時間]])</f>
        <v>0</v>
      </c>
      <c r="O3502" s="31" t="str">
        <f>IF(交易處理資料__3[[#This Row],[上班時間]]=0,"否","是")</f>
        <v>否</v>
      </c>
    </row>
    <row r="3503" spans="1:15" hidden="1">
      <c r="A3503" t="s">
        <v>75</v>
      </c>
      <c r="B3503" t="s">
        <v>20</v>
      </c>
      <c r="C3503">
        <v>0</v>
      </c>
      <c r="D3503">
        <v>0</v>
      </c>
      <c r="E3503" s="27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 s="9">
        <v>45382</v>
      </c>
      <c r="L3503">
        <f xml:space="preserve"> (交易處理資料__3[[#This Row],[售出工時]] * 60) / 5</f>
        <v>0</v>
      </c>
      <c r="M3503" t="str">
        <f>VLOOKUP(交易處理資料__3[[#This Row],[人員代號]],團隊分組!$B$1:$C$52,2,FALSE)</f>
        <v>查修團隊B</v>
      </c>
      <c r="N3503">
        <f>IF(交易處理資料__3[[#This Row],[上班時間]]=0,0,交易處理資料__3[[#This Row],[售出工時]]/交易處理資料__3[[#This Row],[上班時間]])</f>
        <v>0</v>
      </c>
      <c r="O3503" s="31" t="str">
        <f>IF(交易處理資料__3[[#This Row],[上班時間]]=0,"否","是")</f>
        <v>否</v>
      </c>
    </row>
    <row r="3504" spans="1:15" hidden="1">
      <c r="A3504" t="s">
        <v>75</v>
      </c>
      <c r="B3504" t="s">
        <v>21</v>
      </c>
      <c r="C3504">
        <v>0</v>
      </c>
      <c r="D3504">
        <v>0</v>
      </c>
      <c r="E3504" s="27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 s="9">
        <v>45382</v>
      </c>
      <c r="L3504">
        <f xml:space="preserve"> (交易處理資料__3[[#This Row],[售出工時]] * 60) / 5</f>
        <v>0</v>
      </c>
      <c r="M3504" t="str">
        <f>VLOOKUP(交易處理資料__3[[#This Row],[人員代號]],團隊分組!$B$1:$C$52,2,FALSE)</f>
        <v>查修團隊B</v>
      </c>
      <c r="N3504">
        <f>IF(交易處理資料__3[[#This Row],[上班時間]]=0,0,交易處理資料__3[[#This Row],[售出工時]]/交易處理資料__3[[#This Row],[上班時間]])</f>
        <v>0</v>
      </c>
      <c r="O3504" s="31" t="str">
        <f>IF(交易處理資料__3[[#This Row],[上班時間]]=0,"否","是")</f>
        <v>否</v>
      </c>
    </row>
    <row r="3505" spans="1:15" hidden="1">
      <c r="A3505" t="s">
        <v>75</v>
      </c>
      <c r="B3505" t="s">
        <v>22</v>
      </c>
      <c r="C3505">
        <v>0</v>
      </c>
      <c r="D3505">
        <v>0</v>
      </c>
      <c r="E3505" s="27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 s="9">
        <v>45382</v>
      </c>
      <c r="L3505">
        <f xml:space="preserve"> (交易處理資料__3[[#This Row],[售出工時]] * 60) / 5</f>
        <v>0</v>
      </c>
      <c r="M3505" t="str">
        <f>VLOOKUP(交易處理資料__3[[#This Row],[人員代號]],團隊分組!$B$1:$C$52,2,FALSE)</f>
        <v>快速保養團隊A</v>
      </c>
      <c r="N3505">
        <f>IF(交易處理資料__3[[#This Row],[上班時間]]=0,0,交易處理資料__3[[#This Row],[售出工時]]/交易處理資料__3[[#This Row],[上班時間]])</f>
        <v>0</v>
      </c>
      <c r="O3505" s="31" t="str">
        <f>IF(交易處理資料__3[[#This Row],[上班時間]]=0,"否","是")</f>
        <v>否</v>
      </c>
    </row>
    <row r="3506" spans="1:15" hidden="1">
      <c r="A3506" t="s">
        <v>75</v>
      </c>
      <c r="B3506" t="s">
        <v>23</v>
      </c>
      <c r="C3506">
        <v>0</v>
      </c>
      <c r="D3506">
        <v>0</v>
      </c>
      <c r="E3506" s="27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 s="9">
        <v>45382</v>
      </c>
      <c r="L3506">
        <f xml:space="preserve"> (交易處理資料__3[[#This Row],[售出工時]] * 60) / 5</f>
        <v>0</v>
      </c>
      <c r="M3506" t="str">
        <f>VLOOKUP(交易處理資料__3[[#This Row],[人員代號]],團隊分組!$B$1:$C$52,2,FALSE)</f>
        <v>快速保養團隊B</v>
      </c>
      <c r="N3506">
        <f>IF(交易處理資料__3[[#This Row],[上班時間]]=0,0,交易處理資料__3[[#This Row],[售出工時]]/交易處理資料__3[[#This Row],[上班時間]])</f>
        <v>0</v>
      </c>
      <c r="O3506" s="31" t="str">
        <f>IF(交易處理資料__3[[#This Row],[上班時間]]=0,"否","是")</f>
        <v>否</v>
      </c>
    </row>
    <row r="3507" spans="1:15" hidden="1">
      <c r="A3507" t="s">
        <v>75</v>
      </c>
      <c r="B3507" t="s">
        <v>24</v>
      </c>
      <c r="C3507">
        <v>0</v>
      </c>
      <c r="D3507">
        <v>0</v>
      </c>
      <c r="E3507" s="2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 s="9">
        <v>45382</v>
      </c>
      <c r="L3507">
        <f xml:space="preserve"> (交易處理資料__3[[#This Row],[售出工時]] * 60) / 5</f>
        <v>0</v>
      </c>
      <c r="M3507" t="str">
        <f>VLOOKUP(交易處理資料__3[[#This Row],[人員代號]],團隊分組!$B$1:$C$52,2,FALSE)</f>
        <v>快速保養團隊A</v>
      </c>
      <c r="N3507">
        <f>IF(交易處理資料__3[[#This Row],[上班時間]]=0,0,交易處理資料__3[[#This Row],[售出工時]]/交易處理資料__3[[#This Row],[上班時間]])</f>
        <v>0</v>
      </c>
      <c r="O3507" s="31" t="str">
        <f>IF(交易處理資料__3[[#This Row],[上班時間]]=0,"否","是")</f>
        <v>否</v>
      </c>
    </row>
    <row r="3508" spans="1:15" hidden="1">
      <c r="A3508" t="s">
        <v>75</v>
      </c>
      <c r="B3508" t="s">
        <v>25</v>
      </c>
      <c r="C3508">
        <v>0</v>
      </c>
      <c r="D3508">
        <v>0</v>
      </c>
      <c r="E3508" s="27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 s="9">
        <v>45382</v>
      </c>
      <c r="L3508">
        <f xml:space="preserve"> (交易處理資料__3[[#This Row],[售出工時]] * 60) / 5</f>
        <v>0</v>
      </c>
      <c r="M3508" t="str">
        <f>VLOOKUP(交易處理資料__3[[#This Row],[人員代號]],團隊分組!$B$1:$C$52,2,FALSE)</f>
        <v>查修團隊A</v>
      </c>
      <c r="N3508">
        <f>IF(交易處理資料__3[[#This Row],[上班時間]]=0,0,交易處理資料__3[[#This Row],[售出工時]]/交易處理資料__3[[#This Row],[上班時間]])</f>
        <v>0</v>
      </c>
      <c r="O3508" s="31" t="str">
        <f>IF(交易處理資料__3[[#This Row],[上班時間]]=0,"否","是")</f>
        <v>否</v>
      </c>
    </row>
    <row r="3509" spans="1:15" hidden="1">
      <c r="A3509" t="s">
        <v>75</v>
      </c>
      <c r="B3509" t="s">
        <v>26</v>
      </c>
      <c r="C3509">
        <v>0</v>
      </c>
      <c r="D3509">
        <v>0</v>
      </c>
      <c r="E3509" s="27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 s="9">
        <v>45382</v>
      </c>
      <c r="L3509">
        <f xml:space="preserve"> (交易處理資料__3[[#This Row],[售出工時]] * 60) / 5</f>
        <v>0</v>
      </c>
      <c r="M3509" t="str">
        <f>VLOOKUP(交易處理資料__3[[#This Row],[人員代號]],團隊分組!$B$1:$C$52,2,FALSE)</f>
        <v>查修團隊B</v>
      </c>
      <c r="N3509">
        <f>IF(交易處理資料__3[[#This Row],[上班時間]]=0,0,交易處理資料__3[[#This Row],[售出工時]]/交易處理資料__3[[#This Row],[上班時間]])</f>
        <v>0</v>
      </c>
      <c r="O3509" s="31" t="str">
        <f>IF(交易處理資料__3[[#This Row],[上班時間]]=0,"否","是")</f>
        <v>否</v>
      </c>
    </row>
    <row r="3510" spans="1:15" hidden="1">
      <c r="A3510" t="s">
        <v>75</v>
      </c>
      <c r="B3510" t="s">
        <v>27</v>
      </c>
      <c r="C3510">
        <v>0</v>
      </c>
      <c r="D3510">
        <v>0</v>
      </c>
      <c r="E3510" s="27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 s="9">
        <v>45382</v>
      </c>
      <c r="L3510">
        <f xml:space="preserve"> (交易處理資料__3[[#This Row],[售出工時]] * 60) / 5</f>
        <v>0</v>
      </c>
      <c r="M3510" t="str">
        <f>VLOOKUP(交易處理資料__3[[#This Row],[人員代號]],團隊分組!$B$1:$C$52,2,FALSE)</f>
        <v>快速保養團隊B</v>
      </c>
      <c r="N3510">
        <f>IF(交易處理資料__3[[#This Row],[上班時間]]=0,0,交易處理資料__3[[#This Row],[售出工時]]/交易處理資料__3[[#This Row],[上班時間]])</f>
        <v>0</v>
      </c>
      <c r="O3510" s="31" t="str">
        <f>IF(交易處理資料__3[[#This Row],[上班時間]]=0,"否","是")</f>
        <v>否</v>
      </c>
    </row>
    <row r="3511" spans="1:15" hidden="1">
      <c r="A3511" t="s">
        <v>75</v>
      </c>
      <c r="B3511" t="s">
        <v>28</v>
      </c>
      <c r="C3511">
        <v>0</v>
      </c>
      <c r="D3511">
        <v>0</v>
      </c>
      <c r="E3511" s="27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 s="9">
        <v>45382</v>
      </c>
      <c r="L3511">
        <f xml:space="preserve"> (交易處理資料__3[[#This Row],[售出工時]] * 60) / 5</f>
        <v>0</v>
      </c>
      <c r="M3511" t="str">
        <f>VLOOKUP(交易處理資料__3[[#This Row],[人員代號]],團隊分組!$B$1:$C$52,2,FALSE)</f>
        <v>快速保養團隊A</v>
      </c>
      <c r="N3511">
        <f>IF(交易處理資料__3[[#This Row],[上班時間]]=0,0,交易處理資料__3[[#This Row],[售出工時]]/交易處理資料__3[[#This Row],[上班時間]])</f>
        <v>0</v>
      </c>
      <c r="O3511" s="31" t="str">
        <f>IF(交易處理資料__3[[#This Row],[上班時間]]=0,"否","是")</f>
        <v>否</v>
      </c>
    </row>
    <row r="3512" spans="1:15" hidden="1">
      <c r="A3512" t="s">
        <v>75</v>
      </c>
      <c r="B3512" t="s">
        <v>29</v>
      </c>
      <c r="C3512">
        <v>0</v>
      </c>
      <c r="D3512">
        <v>0</v>
      </c>
      <c r="E3512" s="27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 s="9">
        <v>45382</v>
      </c>
      <c r="L3512">
        <f xml:space="preserve"> (交易處理資料__3[[#This Row],[售出工時]] * 60) / 5</f>
        <v>0</v>
      </c>
      <c r="M3512" t="str">
        <f>VLOOKUP(交易處理資料__3[[#This Row],[人員代號]],團隊分組!$B$1:$C$52,2,FALSE)</f>
        <v>查修團隊B</v>
      </c>
      <c r="N3512">
        <f>IF(交易處理資料__3[[#This Row],[上班時間]]=0,0,交易處理資料__3[[#This Row],[售出工時]]/交易處理資料__3[[#This Row],[上班時間]])</f>
        <v>0</v>
      </c>
      <c r="O3512" s="31" t="str">
        <f>IF(交易處理資料__3[[#This Row],[上班時間]]=0,"否","是")</f>
        <v>否</v>
      </c>
    </row>
    <row r="3513" spans="1:15" hidden="1">
      <c r="A3513" t="s">
        <v>75</v>
      </c>
      <c r="B3513" t="s">
        <v>30</v>
      </c>
      <c r="C3513">
        <v>0</v>
      </c>
      <c r="D3513">
        <v>0</v>
      </c>
      <c r="E3513" s="27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 s="9">
        <v>45382</v>
      </c>
      <c r="L3513">
        <f xml:space="preserve"> (交易處理資料__3[[#This Row],[售出工時]] * 60) / 5</f>
        <v>0</v>
      </c>
      <c r="M3513" t="str">
        <f>VLOOKUP(交易處理資料__3[[#This Row],[人員代號]],團隊分組!$B$1:$C$52,2,FALSE)</f>
        <v>快速保養團隊B</v>
      </c>
      <c r="N3513">
        <f>IF(交易處理資料__3[[#This Row],[上班時間]]=0,0,交易處理資料__3[[#This Row],[售出工時]]/交易處理資料__3[[#This Row],[上班時間]])</f>
        <v>0</v>
      </c>
      <c r="O3513" s="31" t="str">
        <f>IF(交易處理資料__3[[#This Row],[上班時間]]=0,"否","是")</f>
        <v>否</v>
      </c>
    </row>
    <row r="3514" spans="1:15" hidden="1">
      <c r="A3514" t="s">
        <v>75</v>
      </c>
      <c r="B3514" t="s">
        <v>32</v>
      </c>
      <c r="C3514">
        <v>0</v>
      </c>
      <c r="D3514">
        <v>0</v>
      </c>
      <c r="E3514" s="27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 s="9">
        <v>45382</v>
      </c>
      <c r="L3514">
        <f xml:space="preserve"> (交易處理資料__3[[#This Row],[售出工時]] * 60) / 5</f>
        <v>0</v>
      </c>
      <c r="M3514" t="str">
        <f>VLOOKUP(交易處理資料__3[[#This Row],[人員代號]],團隊分組!$B$1:$C$52,2,FALSE)</f>
        <v>快速保養團隊B</v>
      </c>
      <c r="N3514">
        <f>IF(交易處理資料__3[[#This Row],[上班時間]]=0,0,交易處理資料__3[[#This Row],[售出工時]]/交易處理資料__3[[#This Row],[上班時間]])</f>
        <v>0</v>
      </c>
      <c r="O3514" s="31" t="str">
        <f>IF(交易處理資料__3[[#This Row],[上班時間]]=0,"否","是")</f>
        <v>否</v>
      </c>
    </row>
    <row r="3515" spans="1:15">
      <c r="A3515" t="s">
        <v>75</v>
      </c>
      <c r="B3515" t="s">
        <v>33</v>
      </c>
      <c r="C3515">
        <v>0</v>
      </c>
      <c r="D3515">
        <v>0</v>
      </c>
      <c r="E3515" s="27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 s="9">
        <v>45382</v>
      </c>
      <c r="L3515">
        <f xml:space="preserve"> (交易處理資料__3[[#This Row],[售出工時]] * 60) / 5</f>
        <v>0</v>
      </c>
      <c r="M3515" t="str">
        <f>VLOOKUP(交易處理資料__3[[#This Row],[人員代號]],團隊分組!$B$1:$C$52,2,FALSE)</f>
        <v>快速保養團隊B</v>
      </c>
      <c r="N3515">
        <f>IF(交易處理資料__3[[#This Row],[上班時間]]=0,0,交易處理資料__3[[#This Row],[售出工時]]/交易處理資料__3[[#This Row],[上班時間]])</f>
        <v>0</v>
      </c>
      <c r="O3515" s="31" t="str">
        <f>IF(交易處理資料__3[[#This Row],[上班時間]]=0,"否","是")</f>
        <v>否</v>
      </c>
    </row>
    <row r="3516" spans="1:15" hidden="1">
      <c r="A3516" t="s">
        <v>75</v>
      </c>
      <c r="B3516" t="s">
        <v>34</v>
      </c>
      <c r="C3516">
        <v>0</v>
      </c>
      <c r="D3516">
        <v>0</v>
      </c>
      <c r="E3516" s="27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 s="9">
        <v>45382</v>
      </c>
      <c r="L3516">
        <f xml:space="preserve"> (交易處理資料__3[[#This Row],[售出工時]] * 60) / 5</f>
        <v>0</v>
      </c>
      <c r="M3516" t="str">
        <f>VLOOKUP(交易處理資料__3[[#This Row],[人員代號]],團隊分組!$B$1:$C$52,2,FALSE)</f>
        <v>快速保養團隊A</v>
      </c>
      <c r="N3516">
        <f>IF(交易處理資料__3[[#This Row],[上班時間]]=0,0,交易處理資料__3[[#This Row],[售出工時]]/交易處理資料__3[[#This Row],[上班時間]])</f>
        <v>0</v>
      </c>
      <c r="O3516" s="31" t="str">
        <f>IF(交易處理資料__3[[#This Row],[上班時間]]=0,"否","是")</f>
        <v>否</v>
      </c>
    </row>
    <row r="3517" spans="1:15" hidden="1">
      <c r="A3517" t="s">
        <v>75</v>
      </c>
      <c r="B3517" t="s">
        <v>35</v>
      </c>
      <c r="C3517">
        <v>0</v>
      </c>
      <c r="D3517">
        <v>0</v>
      </c>
      <c r="E3517" s="2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 s="9">
        <v>45382</v>
      </c>
      <c r="L3517">
        <f xml:space="preserve"> (交易處理資料__3[[#This Row],[售出工時]] * 60) / 5</f>
        <v>0</v>
      </c>
      <c r="M3517" t="str">
        <f>VLOOKUP(交易處理資料__3[[#This Row],[人員代號]],團隊分組!$B$1:$C$52,2,FALSE)</f>
        <v>查修團隊B</v>
      </c>
      <c r="N3517">
        <f>IF(交易處理資料__3[[#This Row],[上班時間]]=0,0,交易處理資料__3[[#This Row],[售出工時]]/交易處理資料__3[[#This Row],[上班時間]])</f>
        <v>0</v>
      </c>
      <c r="O3517" s="31" t="str">
        <f>IF(交易處理資料__3[[#This Row],[上班時間]]=0,"否","是")</f>
        <v>否</v>
      </c>
    </row>
    <row r="3518" spans="1:15" hidden="1">
      <c r="A3518" t="s">
        <v>75</v>
      </c>
      <c r="B3518" t="s">
        <v>36</v>
      </c>
      <c r="C3518">
        <v>0</v>
      </c>
      <c r="D3518">
        <v>0</v>
      </c>
      <c r="E3518" s="27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 s="9">
        <v>45382</v>
      </c>
      <c r="L3518">
        <f xml:space="preserve"> (交易處理資料__3[[#This Row],[售出工時]] * 60) / 5</f>
        <v>0</v>
      </c>
      <c r="M3518" t="str">
        <f>VLOOKUP(交易處理資料__3[[#This Row],[人員代號]],團隊分組!$B$1:$C$52,2,FALSE)</f>
        <v>查修團隊B</v>
      </c>
      <c r="N3518">
        <f>IF(交易處理資料__3[[#This Row],[上班時間]]=0,0,交易處理資料__3[[#This Row],[售出工時]]/交易處理資料__3[[#This Row],[上班時間]])</f>
        <v>0</v>
      </c>
      <c r="O3518" s="31" t="str">
        <f>IF(交易處理資料__3[[#This Row],[上班時間]]=0,"否","是")</f>
        <v>否</v>
      </c>
    </row>
    <row r="3519" spans="1:15" hidden="1">
      <c r="A3519" t="s">
        <v>75</v>
      </c>
      <c r="B3519" t="s">
        <v>37</v>
      </c>
      <c r="C3519">
        <v>0</v>
      </c>
      <c r="D3519">
        <v>0</v>
      </c>
      <c r="E3519" s="27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 s="9">
        <v>45382</v>
      </c>
      <c r="L3519">
        <f xml:space="preserve"> (交易處理資料__3[[#This Row],[售出工時]] * 60) / 5</f>
        <v>0</v>
      </c>
      <c r="M3519" t="str">
        <f>VLOOKUP(交易處理資料__3[[#This Row],[人員代號]],團隊分組!$B$1:$C$52,2,FALSE)</f>
        <v>查修團隊A</v>
      </c>
      <c r="N3519">
        <f>IF(交易處理資料__3[[#This Row],[上班時間]]=0,0,交易處理資料__3[[#This Row],[售出工時]]/交易處理資料__3[[#This Row],[上班時間]])</f>
        <v>0</v>
      </c>
      <c r="O3519" s="31" t="str">
        <f>IF(交易處理資料__3[[#This Row],[上班時間]]=0,"否","是")</f>
        <v>否</v>
      </c>
    </row>
    <row r="3520" spans="1:15" hidden="1">
      <c r="A3520" t="s">
        <v>75</v>
      </c>
      <c r="B3520" t="s">
        <v>38</v>
      </c>
      <c r="C3520">
        <v>0</v>
      </c>
      <c r="D3520">
        <v>0</v>
      </c>
      <c r="E3520" s="27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 s="9">
        <v>45382</v>
      </c>
      <c r="L3520">
        <f xml:space="preserve"> (交易處理資料__3[[#This Row],[售出工時]] * 60) / 5</f>
        <v>0</v>
      </c>
      <c r="M3520" t="str">
        <f>VLOOKUP(交易處理資料__3[[#This Row],[人員代號]],團隊分組!$B$1:$C$52,2,FALSE)</f>
        <v>快速保養團隊A</v>
      </c>
      <c r="N3520">
        <f>IF(交易處理資料__3[[#This Row],[上班時間]]=0,0,交易處理資料__3[[#This Row],[售出工時]]/交易處理資料__3[[#This Row],[上班時間]])</f>
        <v>0</v>
      </c>
      <c r="O3520" s="31" t="str">
        <f>IF(交易處理資料__3[[#This Row],[上班時間]]=0,"否","是")</f>
        <v>否</v>
      </c>
    </row>
    <row r="3521" spans="1:15" hidden="1">
      <c r="A3521" t="s">
        <v>75</v>
      </c>
      <c r="B3521" t="s">
        <v>39</v>
      </c>
      <c r="C3521">
        <v>0</v>
      </c>
      <c r="D3521">
        <v>0</v>
      </c>
      <c r="E3521" s="27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 s="9">
        <v>45382</v>
      </c>
      <c r="L3521">
        <f xml:space="preserve"> (交易處理資料__3[[#This Row],[售出工時]] * 60) / 5</f>
        <v>0</v>
      </c>
      <c r="M3521" t="str">
        <f>VLOOKUP(交易處理資料__3[[#This Row],[人員代號]],團隊分組!$B$1:$C$52,2,FALSE)</f>
        <v>查修團隊A</v>
      </c>
      <c r="N3521">
        <f>IF(交易處理資料__3[[#This Row],[上班時間]]=0,0,交易處理資料__3[[#This Row],[售出工時]]/交易處理資料__3[[#This Row],[上班時間]])</f>
        <v>0</v>
      </c>
      <c r="O3521" s="31" t="str">
        <f>IF(交易處理資料__3[[#This Row],[上班時間]]=0,"否","是")</f>
        <v>否</v>
      </c>
    </row>
    <row r="3522" spans="1:15" hidden="1">
      <c r="A3522" t="s">
        <v>75</v>
      </c>
      <c r="B3522" t="s">
        <v>40</v>
      </c>
      <c r="C3522">
        <v>0</v>
      </c>
      <c r="D3522">
        <v>0</v>
      </c>
      <c r="E3522" s="27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 s="9">
        <v>45382</v>
      </c>
      <c r="L3522">
        <f xml:space="preserve"> (交易處理資料__3[[#This Row],[售出工時]] * 60) / 5</f>
        <v>0</v>
      </c>
      <c r="M3522" t="str">
        <f>VLOOKUP(交易處理資料__3[[#This Row],[人員代號]],團隊分組!$B$1:$C$52,2,FALSE)</f>
        <v>查修團隊A</v>
      </c>
      <c r="N3522">
        <f>IF(交易處理資料__3[[#This Row],[上班時間]]=0,0,交易處理資料__3[[#This Row],[售出工時]]/交易處理資料__3[[#This Row],[上班時間]])</f>
        <v>0</v>
      </c>
      <c r="O3522" s="31" t="str">
        <f>IF(交易處理資料__3[[#This Row],[上班時間]]=0,"否","是")</f>
        <v>否</v>
      </c>
    </row>
    <row r="3523" spans="1:15" hidden="1">
      <c r="A3523" t="s">
        <v>75</v>
      </c>
      <c r="B3523" t="s">
        <v>41</v>
      </c>
      <c r="C3523">
        <v>0</v>
      </c>
      <c r="D3523">
        <v>0</v>
      </c>
      <c r="E3523" s="27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 s="9">
        <v>45382</v>
      </c>
      <c r="L3523">
        <f xml:space="preserve"> (交易處理資料__3[[#This Row],[售出工時]] * 60) / 5</f>
        <v>0</v>
      </c>
      <c r="M3523" t="str">
        <f>VLOOKUP(交易處理資料__3[[#This Row],[人員代號]],團隊分組!$B$1:$C$52,2,FALSE)</f>
        <v>快速保養團隊A</v>
      </c>
      <c r="N3523">
        <f>IF(交易處理資料__3[[#This Row],[上班時間]]=0,0,交易處理資料__3[[#This Row],[售出工時]]/交易處理資料__3[[#This Row],[上班時間]])</f>
        <v>0</v>
      </c>
      <c r="O3523" s="31" t="str">
        <f>IF(交易處理資料__3[[#This Row],[上班時間]]=0,"否","是")</f>
        <v>否</v>
      </c>
    </row>
    <row r="3524" spans="1:15" hidden="1">
      <c r="A3524" t="s">
        <v>75</v>
      </c>
      <c r="B3524" t="s">
        <v>42</v>
      </c>
      <c r="C3524">
        <v>0</v>
      </c>
      <c r="D3524">
        <v>0</v>
      </c>
      <c r="E3524" s="27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 s="9">
        <v>45382</v>
      </c>
      <c r="L3524">
        <f xml:space="preserve"> (交易處理資料__3[[#This Row],[售出工時]] * 60) / 5</f>
        <v>0</v>
      </c>
      <c r="M3524" t="str">
        <f>VLOOKUP(交易處理資料__3[[#This Row],[人員代號]],團隊分組!$B$1:$C$52,2,FALSE)</f>
        <v>快速保養團隊A</v>
      </c>
      <c r="N3524">
        <f>IF(交易處理資料__3[[#This Row],[上班時間]]=0,0,交易處理資料__3[[#This Row],[售出工時]]/交易處理資料__3[[#This Row],[上班時間]])</f>
        <v>0</v>
      </c>
      <c r="O3524" s="31" t="str">
        <f>IF(交易處理資料__3[[#This Row],[上班時間]]=0,"否","是")</f>
        <v>否</v>
      </c>
    </row>
    <row r="3525" spans="1:15" hidden="1">
      <c r="A3525" t="s">
        <v>75</v>
      </c>
      <c r="B3525" t="s">
        <v>43</v>
      </c>
      <c r="C3525">
        <v>0</v>
      </c>
      <c r="D3525">
        <v>0</v>
      </c>
      <c r="E3525" s="27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 s="9">
        <v>45382</v>
      </c>
      <c r="L3525">
        <f xml:space="preserve"> (交易處理資料__3[[#This Row],[售出工時]] * 60) / 5</f>
        <v>0</v>
      </c>
      <c r="M3525" t="str">
        <f>VLOOKUP(交易處理資料__3[[#This Row],[人員代號]],團隊分組!$B$1:$C$52,2,FALSE)</f>
        <v>查修團隊B</v>
      </c>
      <c r="N3525">
        <f>IF(交易處理資料__3[[#This Row],[上班時間]]=0,0,交易處理資料__3[[#This Row],[售出工時]]/交易處理資料__3[[#This Row],[上班時間]])</f>
        <v>0</v>
      </c>
      <c r="O3525" s="31" t="str">
        <f>IF(交易處理資料__3[[#This Row],[上班時間]]=0,"否","是")</f>
        <v>否</v>
      </c>
    </row>
    <row r="3526" spans="1:15" hidden="1">
      <c r="A3526" t="s">
        <v>75</v>
      </c>
      <c r="B3526" t="s">
        <v>44</v>
      </c>
      <c r="C3526">
        <v>0</v>
      </c>
      <c r="D3526">
        <v>0</v>
      </c>
      <c r="E3526" s="27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 s="9">
        <v>45382</v>
      </c>
      <c r="L3526">
        <f xml:space="preserve"> (交易處理資料__3[[#This Row],[售出工時]] * 60) / 5</f>
        <v>0</v>
      </c>
      <c r="M3526" t="str">
        <f>VLOOKUP(交易處理資料__3[[#This Row],[人員代號]],團隊分組!$B$1:$C$52,2,FALSE)</f>
        <v>快速保養團隊B</v>
      </c>
      <c r="N3526">
        <f>IF(交易處理資料__3[[#This Row],[上班時間]]=0,0,交易處理資料__3[[#This Row],[售出工時]]/交易處理資料__3[[#This Row],[上班時間]])</f>
        <v>0</v>
      </c>
      <c r="O3526" s="31" t="str">
        <f>IF(交易處理資料__3[[#This Row],[上班時間]]=0,"否","是")</f>
        <v>否</v>
      </c>
    </row>
    <row r="3527" spans="1:15" hidden="1">
      <c r="A3527" t="s">
        <v>75</v>
      </c>
      <c r="B3527" t="s">
        <v>45</v>
      </c>
      <c r="C3527">
        <v>0</v>
      </c>
      <c r="D3527">
        <v>0</v>
      </c>
      <c r="E3527" s="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 s="9">
        <v>45382</v>
      </c>
      <c r="L3527">
        <f xml:space="preserve"> (交易處理資料__3[[#This Row],[售出工時]] * 60) / 5</f>
        <v>0</v>
      </c>
      <c r="M3527" t="str">
        <f>VLOOKUP(交易處理資料__3[[#This Row],[人員代號]],團隊分組!$B$1:$C$52,2,FALSE)</f>
        <v>快速保養團隊A</v>
      </c>
      <c r="N3527">
        <f>IF(交易處理資料__3[[#This Row],[上班時間]]=0,0,交易處理資料__3[[#This Row],[售出工時]]/交易處理資料__3[[#This Row],[上班時間]])</f>
        <v>0</v>
      </c>
      <c r="O3527" s="31" t="str">
        <f>IF(交易處理資料__3[[#This Row],[上班時間]]=0,"否","是")</f>
        <v>否</v>
      </c>
    </row>
    <row r="3528" spans="1:15" hidden="1">
      <c r="A3528" t="s">
        <v>75</v>
      </c>
      <c r="B3528" t="s">
        <v>46</v>
      </c>
      <c r="C3528">
        <v>0</v>
      </c>
      <c r="D3528">
        <v>0</v>
      </c>
      <c r="E3528" s="27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 s="9">
        <v>45382</v>
      </c>
      <c r="L3528">
        <f xml:space="preserve"> (交易處理資料__3[[#This Row],[售出工時]] * 60) / 5</f>
        <v>0</v>
      </c>
      <c r="M3528" t="str">
        <f>VLOOKUP(交易處理資料__3[[#This Row],[人員代號]],團隊分組!$B$1:$C$52,2,FALSE)</f>
        <v>查修團隊B</v>
      </c>
      <c r="N3528">
        <f>IF(交易處理資料__3[[#This Row],[上班時間]]=0,0,交易處理資料__3[[#This Row],[售出工時]]/交易處理資料__3[[#This Row],[上班時間]])</f>
        <v>0</v>
      </c>
      <c r="O3528" s="31" t="str">
        <f>IF(交易處理資料__3[[#This Row],[上班時間]]=0,"否","是")</f>
        <v>否</v>
      </c>
    </row>
    <row r="3529" spans="1:15" hidden="1">
      <c r="A3529" t="s">
        <v>75</v>
      </c>
      <c r="B3529" t="s">
        <v>47</v>
      </c>
      <c r="C3529">
        <v>0</v>
      </c>
      <c r="D3529">
        <v>0</v>
      </c>
      <c r="E3529" s="27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 s="9">
        <v>45382</v>
      </c>
      <c r="L3529">
        <f xml:space="preserve"> (交易處理資料__3[[#This Row],[售出工時]] * 60) / 5</f>
        <v>0</v>
      </c>
      <c r="M3529" t="str">
        <f>VLOOKUP(交易處理資料__3[[#This Row],[人員代號]],團隊分組!$B$1:$C$52,2,FALSE)</f>
        <v>查修團隊B</v>
      </c>
      <c r="N3529">
        <f>IF(交易處理資料__3[[#This Row],[上班時間]]=0,0,交易處理資料__3[[#This Row],[售出工時]]/交易處理資料__3[[#This Row],[上班時間]])</f>
        <v>0</v>
      </c>
      <c r="O3529" s="31" t="str">
        <f>IF(交易處理資料__3[[#This Row],[上班時間]]=0,"否","是")</f>
        <v>否</v>
      </c>
    </row>
    <row r="3530" spans="1:15" hidden="1">
      <c r="A3530" t="s">
        <v>75</v>
      </c>
      <c r="B3530" t="s">
        <v>48</v>
      </c>
      <c r="C3530">
        <v>0</v>
      </c>
      <c r="D3530">
        <v>0</v>
      </c>
      <c r="E3530" s="27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 s="9">
        <v>45382</v>
      </c>
      <c r="L3530">
        <f xml:space="preserve"> (交易處理資料__3[[#This Row],[售出工時]] * 60) / 5</f>
        <v>0</v>
      </c>
      <c r="M3530" t="str">
        <f>VLOOKUP(交易處理資料__3[[#This Row],[人員代號]],團隊分組!$B$1:$C$52,2,FALSE)</f>
        <v>查修團隊A</v>
      </c>
      <c r="N3530">
        <f>IF(交易處理資料__3[[#This Row],[上班時間]]=0,0,交易處理資料__3[[#This Row],[售出工時]]/交易處理資料__3[[#This Row],[上班時間]])</f>
        <v>0</v>
      </c>
      <c r="O3530" s="31" t="str">
        <f>IF(交易處理資料__3[[#This Row],[上班時間]]=0,"否","是")</f>
        <v>否</v>
      </c>
    </row>
    <row r="3531" spans="1:15" hidden="1">
      <c r="A3531" t="s">
        <v>75</v>
      </c>
      <c r="B3531" t="s">
        <v>49</v>
      </c>
      <c r="C3531">
        <v>0</v>
      </c>
      <c r="D3531">
        <v>0</v>
      </c>
      <c r="E3531" s="27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 s="9">
        <v>45382</v>
      </c>
      <c r="L3531">
        <f xml:space="preserve"> (交易處理資料__3[[#This Row],[售出工時]] * 60) / 5</f>
        <v>0</v>
      </c>
      <c r="M3531" t="str">
        <f>VLOOKUP(交易處理資料__3[[#This Row],[人員代號]],團隊分組!$B$1:$C$52,2,FALSE)</f>
        <v>查修團隊A</v>
      </c>
      <c r="N3531">
        <f>IF(交易處理資料__3[[#This Row],[上班時間]]=0,0,交易處理資料__3[[#This Row],[售出工時]]/交易處理資料__3[[#This Row],[上班時間]])</f>
        <v>0</v>
      </c>
      <c r="O3531" s="31" t="str">
        <f>IF(交易處理資料__3[[#This Row],[上班時間]]=0,"否","是")</f>
        <v>否</v>
      </c>
    </row>
    <row r="3532" spans="1:15" hidden="1">
      <c r="A3532" t="s">
        <v>75</v>
      </c>
      <c r="B3532" t="s">
        <v>50</v>
      </c>
      <c r="C3532">
        <v>0</v>
      </c>
      <c r="D3532">
        <v>0</v>
      </c>
      <c r="E3532" s="27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 s="9">
        <v>45382</v>
      </c>
      <c r="L3532">
        <f xml:space="preserve"> (交易處理資料__3[[#This Row],[售出工時]] * 60) / 5</f>
        <v>0</v>
      </c>
      <c r="M3532" t="str">
        <f>VLOOKUP(交易處理資料__3[[#This Row],[人員代號]],團隊分組!$B$1:$C$52,2,FALSE)</f>
        <v>快速保養團隊B</v>
      </c>
      <c r="N3532">
        <f>IF(交易處理資料__3[[#This Row],[上班時間]]=0,0,交易處理資料__3[[#This Row],[售出工時]]/交易處理資料__3[[#This Row],[上班時間]])</f>
        <v>0</v>
      </c>
      <c r="O3532" s="31" t="str">
        <f>IF(交易處理資料__3[[#This Row],[上班時間]]=0,"否","是")</f>
        <v>否</v>
      </c>
    </row>
    <row r="3533" spans="1:15" hidden="1">
      <c r="A3533" t="s">
        <v>75</v>
      </c>
      <c r="B3533" t="s">
        <v>51</v>
      </c>
      <c r="C3533">
        <v>0</v>
      </c>
      <c r="D3533">
        <v>0</v>
      </c>
      <c r="E3533" s="27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 s="9">
        <v>45382</v>
      </c>
      <c r="L3533">
        <f xml:space="preserve"> (交易處理資料__3[[#This Row],[售出工時]] * 60) / 5</f>
        <v>0</v>
      </c>
      <c r="M3533" t="str">
        <f>VLOOKUP(交易處理資料__3[[#This Row],[人員代號]],團隊分組!$B$1:$C$52,2,FALSE)</f>
        <v>無效數據</v>
      </c>
      <c r="N3533">
        <f>IF(交易處理資料__3[[#This Row],[上班時間]]=0,0,交易處理資料__3[[#This Row],[售出工時]]/交易處理資料__3[[#This Row],[上班時間]])</f>
        <v>0</v>
      </c>
      <c r="O3533" s="31" t="str">
        <f>IF(交易處理資料__3[[#This Row],[上班時間]]=0,"否","是")</f>
        <v>否</v>
      </c>
    </row>
    <row r="3534" spans="1:15" hidden="1">
      <c r="A3534" t="s">
        <v>75</v>
      </c>
      <c r="B3534" t="s">
        <v>52</v>
      </c>
      <c r="C3534">
        <v>0</v>
      </c>
      <c r="D3534">
        <v>0</v>
      </c>
      <c r="E3534" s="27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 s="9">
        <v>45382</v>
      </c>
      <c r="L3534">
        <f xml:space="preserve"> (交易處理資料__3[[#This Row],[售出工時]] * 60) / 5</f>
        <v>0</v>
      </c>
      <c r="M3534" t="str">
        <f>VLOOKUP(交易處理資料__3[[#This Row],[人員代號]],團隊分組!$B$1:$C$52,2,FALSE)</f>
        <v>查修團隊B</v>
      </c>
      <c r="N3534">
        <f>IF(交易處理資料__3[[#This Row],[上班時間]]=0,0,交易處理資料__3[[#This Row],[售出工時]]/交易處理資料__3[[#This Row],[上班時間]])</f>
        <v>0</v>
      </c>
      <c r="O3534" s="31" t="str">
        <f>IF(交易處理資料__3[[#This Row],[上班時間]]=0,"否","是")</f>
        <v>否</v>
      </c>
    </row>
    <row r="3535" spans="1:15" hidden="1">
      <c r="A3535" t="s">
        <v>75</v>
      </c>
      <c r="B3535" t="s">
        <v>53</v>
      </c>
      <c r="C3535">
        <v>0</v>
      </c>
      <c r="D3535">
        <v>0</v>
      </c>
      <c r="E3535" s="27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 s="9">
        <v>45382</v>
      </c>
      <c r="L3535">
        <f xml:space="preserve"> (交易處理資料__3[[#This Row],[售出工時]] * 60) / 5</f>
        <v>0</v>
      </c>
      <c r="M3535" t="str">
        <f>VLOOKUP(交易處理資料__3[[#This Row],[人員代號]],團隊分組!$B$1:$C$52,2,FALSE)</f>
        <v>查修團隊A</v>
      </c>
      <c r="N3535">
        <f>IF(交易處理資料__3[[#This Row],[上班時間]]=0,0,交易處理資料__3[[#This Row],[售出工時]]/交易處理資料__3[[#This Row],[上班時間]])</f>
        <v>0</v>
      </c>
      <c r="O3535" s="31" t="str">
        <f>IF(交易處理資料__3[[#This Row],[上班時間]]=0,"否","是")</f>
        <v>否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506A-FE61-4074-8C85-26125A662611}">
  <dimension ref="A1:R34"/>
  <sheetViews>
    <sheetView topLeftCell="D1" workbookViewId="0">
      <selection activeCell="F1" sqref="F1"/>
    </sheetView>
  </sheetViews>
  <sheetFormatPr defaultRowHeight="16.2"/>
  <cols>
    <col min="1" max="1" width="17.109375" bestFit="1" customWidth="1"/>
    <col min="2" max="3" width="18.44140625" bestFit="1" customWidth="1"/>
    <col min="4" max="5" width="15.88671875" bestFit="1" customWidth="1"/>
    <col min="6" max="6" width="10.77734375" bestFit="1" customWidth="1"/>
    <col min="7" max="7" width="15.88671875" bestFit="1" customWidth="1"/>
    <col min="8" max="9" width="18.44140625" bestFit="1" customWidth="1"/>
    <col min="10" max="10" width="14.109375" bestFit="1" customWidth="1"/>
    <col min="11" max="11" width="17.109375" bestFit="1" customWidth="1"/>
    <col min="12" max="12" width="18.44140625" bestFit="1" customWidth="1"/>
    <col min="13" max="13" width="6.33203125" bestFit="1" customWidth="1"/>
    <col min="14" max="14" width="13.88671875" bestFit="1" customWidth="1"/>
    <col min="15" max="15" width="18.44140625" bestFit="1" customWidth="1"/>
    <col min="16" max="16" width="6.33203125" bestFit="1" customWidth="1"/>
    <col min="17" max="17" width="10.77734375" bestFit="1" customWidth="1"/>
    <col min="18" max="18" width="15.88671875" bestFit="1" customWidth="1"/>
    <col min="19" max="716" width="7.44140625" bestFit="1" customWidth="1"/>
    <col min="717" max="1553" width="8.5546875" bestFit="1" customWidth="1"/>
    <col min="1554" max="1560" width="9.6640625" bestFit="1" customWidth="1"/>
    <col min="1561" max="1561" width="6.21875" bestFit="1" customWidth="1"/>
  </cols>
  <sheetData>
    <row r="1" spans="1:18">
      <c r="A1" s="29" t="s">
        <v>87</v>
      </c>
      <c r="B1" t="s">
        <v>96</v>
      </c>
      <c r="C1" t="s">
        <v>95</v>
      </c>
      <c r="D1" t="s">
        <v>94</v>
      </c>
      <c r="F1" s="29" t="s">
        <v>87</v>
      </c>
      <c r="G1" t="s">
        <v>94</v>
      </c>
      <c r="K1" s="29" t="s">
        <v>87</v>
      </c>
      <c r="L1" t="s">
        <v>97</v>
      </c>
      <c r="N1" s="29" t="s">
        <v>87</v>
      </c>
      <c r="O1" t="s">
        <v>130</v>
      </c>
      <c r="Q1" s="29" t="s">
        <v>87</v>
      </c>
      <c r="R1" t="s">
        <v>91</v>
      </c>
    </row>
    <row r="2" spans="1:18">
      <c r="A2" s="30" t="s">
        <v>89</v>
      </c>
      <c r="B2" s="31">
        <v>41.737532467532475</v>
      </c>
      <c r="C2" s="31">
        <v>47.943311688311717</v>
      </c>
      <c r="D2" s="31">
        <v>70.780482563766228</v>
      </c>
      <c r="F2" s="30" t="s">
        <v>33</v>
      </c>
      <c r="G2" s="33">
        <v>0</v>
      </c>
      <c r="K2" s="30" t="s">
        <v>89</v>
      </c>
      <c r="L2" s="31">
        <v>84.560000000000016</v>
      </c>
      <c r="N2" s="30" t="s">
        <v>98</v>
      </c>
      <c r="O2" s="31">
        <v>2987.7366666809999</v>
      </c>
      <c r="Q2" s="30" t="s">
        <v>81</v>
      </c>
      <c r="R2" s="31">
        <v>5130.1899999999987</v>
      </c>
    </row>
    <row r="3" spans="1:18">
      <c r="A3" s="30" t="s">
        <v>88</v>
      </c>
      <c r="B3" s="31">
        <v>55.631802575107272</v>
      </c>
      <c r="C3" s="31">
        <v>43.720815450643798</v>
      </c>
      <c r="D3" s="31">
        <v>82.652017526781137</v>
      </c>
      <c r="F3" s="30" t="s">
        <v>22</v>
      </c>
      <c r="G3" s="31">
        <v>0</v>
      </c>
      <c r="K3" s="30" t="s">
        <v>88</v>
      </c>
      <c r="L3" s="31">
        <v>171.51</v>
      </c>
      <c r="N3" s="32" t="s">
        <v>99</v>
      </c>
      <c r="O3" s="31">
        <v>9.5500000000000007</v>
      </c>
      <c r="Q3" s="30" t="s">
        <v>80</v>
      </c>
      <c r="R3" s="31">
        <v>8551.1300000000028</v>
      </c>
    </row>
    <row r="4" spans="1:18">
      <c r="A4" s="30" t="s">
        <v>90</v>
      </c>
      <c r="B4" s="31">
        <v>50.102816537467646</v>
      </c>
      <c r="C4" s="31">
        <v>45.401085271317854</v>
      </c>
      <c r="D4" s="31">
        <v>77.927944182325589</v>
      </c>
      <c r="F4" s="30" t="s">
        <v>31</v>
      </c>
      <c r="G4" s="31">
        <v>0</v>
      </c>
      <c r="K4" s="30" t="s">
        <v>90</v>
      </c>
      <c r="L4" s="31">
        <v>256.07</v>
      </c>
      <c r="N4" s="32" t="s">
        <v>100</v>
      </c>
      <c r="O4" s="31">
        <v>131.55999999999997</v>
      </c>
      <c r="Q4" s="30" t="s">
        <v>79</v>
      </c>
      <c r="R4" s="31">
        <v>87066.230000000069</v>
      </c>
    </row>
    <row r="5" spans="1:18">
      <c r="F5" s="30" t="s">
        <v>27</v>
      </c>
      <c r="G5" s="31">
        <v>60.731470494499987</v>
      </c>
      <c r="N5" s="32" t="s">
        <v>101</v>
      </c>
      <c r="O5" s="31">
        <v>164.13</v>
      </c>
      <c r="Q5" s="30" t="s">
        <v>90</v>
      </c>
      <c r="R5" s="31">
        <v>100747.55000000008</v>
      </c>
    </row>
    <row r="6" spans="1:18">
      <c r="F6" s="30" t="s">
        <v>45</v>
      </c>
      <c r="G6" s="31">
        <v>74.036827622222219</v>
      </c>
      <c r="N6" s="32" t="s">
        <v>102</v>
      </c>
      <c r="O6" s="31">
        <v>144.31000000000003</v>
      </c>
    </row>
    <row r="7" spans="1:18">
      <c r="F7" s="30" t="s">
        <v>44</v>
      </c>
      <c r="G7" s="31">
        <v>77.478841510000009</v>
      </c>
      <c r="N7" s="32" t="s">
        <v>103</v>
      </c>
      <c r="O7" s="31">
        <v>132.43</v>
      </c>
    </row>
    <row r="8" spans="1:18">
      <c r="F8" s="30" t="s">
        <v>42</v>
      </c>
      <c r="G8" s="31">
        <v>82.253835336923075</v>
      </c>
      <c r="N8" s="32" t="s">
        <v>104</v>
      </c>
      <c r="O8" s="31">
        <v>66.569999999999993</v>
      </c>
    </row>
    <row r="9" spans="1:18">
      <c r="F9" s="30" t="s">
        <v>50</v>
      </c>
      <c r="G9" s="31">
        <v>87.151903052631596</v>
      </c>
      <c r="N9" s="32" t="s">
        <v>105</v>
      </c>
      <c r="O9" s="31">
        <v>0</v>
      </c>
    </row>
    <row r="10" spans="1:18">
      <c r="F10" s="30" t="s">
        <v>30</v>
      </c>
      <c r="G10" s="31">
        <v>88.268144984210537</v>
      </c>
      <c r="N10" s="32" t="s">
        <v>106</v>
      </c>
      <c r="O10" s="31">
        <v>140.60999999999999</v>
      </c>
    </row>
    <row r="11" spans="1:18">
      <c r="F11" s="30" t="s">
        <v>34</v>
      </c>
      <c r="G11" s="31">
        <v>88.65777901666668</v>
      </c>
      <c r="N11" s="32" t="s">
        <v>107</v>
      </c>
      <c r="O11" s="31">
        <v>112.76999999999998</v>
      </c>
    </row>
    <row r="12" spans="1:18">
      <c r="F12" s="30" t="s">
        <v>28</v>
      </c>
      <c r="G12" s="31">
        <v>95.493733658333312</v>
      </c>
      <c r="N12" s="32" t="s">
        <v>108</v>
      </c>
      <c r="O12" s="31">
        <v>113.82000000000001</v>
      </c>
    </row>
    <row r="13" spans="1:18">
      <c r="F13" s="30" t="s">
        <v>32</v>
      </c>
      <c r="G13" s="31">
        <v>102.5990043681818</v>
      </c>
      <c r="N13" s="32" t="s">
        <v>109</v>
      </c>
      <c r="O13" s="31">
        <v>133.66</v>
      </c>
    </row>
    <row r="14" spans="1:18">
      <c r="F14" s="30" t="s">
        <v>23</v>
      </c>
      <c r="G14" s="31">
        <v>112.19773747363637</v>
      </c>
      <c r="N14" s="32" t="s">
        <v>110</v>
      </c>
      <c r="O14" s="31">
        <v>93.11999999999999</v>
      </c>
    </row>
    <row r="15" spans="1:18">
      <c r="F15" s="30" t="s">
        <v>17</v>
      </c>
      <c r="G15" s="31">
        <v>113.21134464400001</v>
      </c>
      <c r="N15" s="32" t="s">
        <v>111</v>
      </c>
      <c r="O15" s="31">
        <v>24.75</v>
      </c>
    </row>
    <row r="16" spans="1:18">
      <c r="F16" s="30" t="s">
        <v>38</v>
      </c>
      <c r="G16" s="31">
        <v>125.040565184</v>
      </c>
      <c r="N16" s="32" t="s">
        <v>112</v>
      </c>
      <c r="O16" s="31">
        <v>0</v>
      </c>
    </row>
    <row r="17" spans="6:15">
      <c r="F17" s="30" t="s">
        <v>24</v>
      </c>
      <c r="G17" s="31">
        <v>129.02939151363637</v>
      </c>
      <c r="N17" s="32" t="s">
        <v>113</v>
      </c>
      <c r="O17" s="31">
        <v>110.74999999999999</v>
      </c>
    </row>
    <row r="18" spans="6:15">
      <c r="F18" s="30" t="s">
        <v>41</v>
      </c>
      <c r="G18" s="31">
        <v>159.86398152500001</v>
      </c>
      <c r="N18" s="32" t="s">
        <v>114</v>
      </c>
      <c r="O18" s="31">
        <v>117.33999999999997</v>
      </c>
    </row>
    <row r="19" spans="6:15">
      <c r="F19" s="30" t="s">
        <v>90</v>
      </c>
      <c r="G19" s="31">
        <v>77.927944182325561</v>
      </c>
      <c r="N19" s="32" t="s">
        <v>115</v>
      </c>
      <c r="O19" s="31">
        <v>151.78</v>
      </c>
    </row>
    <row r="20" spans="6:15">
      <c r="N20" s="32" t="s">
        <v>116</v>
      </c>
      <c r="O20" s="31">
        <v>125.29999999999997</v>
      </c>
    </row>
    <row r="21" spans="6:15">
      <c r="N21" s="32" t="s">
        <v>117</v>
      </c>
      <c r="O21" s="31">
        <v>110.42999999999998</v>
      </c>
    </row>
    <row r="22" spans="6:15">
      <c r="N22" s="32" t="s">
        <v>118</v>
      </c>
      <c r="O22" s="31">
        <v>0</v>
      </c>
    </row>
    <row r="23" spans="6:15">
      <c r="N23" s="32" t="s">
        <v>119</v>
      </c>
      <c r="O23" s="31">
        <v>0</v>
      </c>
    </row>
    <row r="24" spans="6:15">
      <c r="N24" s="32" t="s">
        <v>120</v>
      </c>
      <c r="O24" s="31">
        <v>113.94999999999999</v>
      </c>
    </row>
    <row r="25" spans="6:15">
      <c r="N25" s="32" t="s">
        <v>121</v>
      </c>
      <c r="O25" s="31">
        <v>146.92000000000004</v>
      </c>
    </row>
    <row r="26" spans="6:15">
      <c r="N26" s="32" t="s">
        <v>122</v>
      </c>
      <c r="O26" s="31">
        <v>146.350000005</v>
      </c>
    </row>
    <row r="27" spans="6:15">
      <c r="N27" s="32" t="s">
        <v>123</v>
      </c>
      <c r="O27" s="31">
        <v>114.92666666999999</v>
      </c>
    </row>
    <row r="28" spans="6:15">
      <c r="N28" s="32" t="s">
        <v>124</v>
      </c>
      <c r="O28" s="31">
        <v>127.45333333400001</v>
      </c>
    </row>
    <row r="29" spans="6:15">
      <c r="N29" s="32" t="s">
        <v>125</v>
      </c>
      <c r="O29" s="31">
        <v>82.139999997000004</v>
      </c>
    </row>
    <row r="30" spans="6:15">
      <c r="N30" s="32" t="s">
        <v>126</v>
      </c>
      <c r="O30" s="31">
        <v>0</v>
      </c>
    </row>
    <row r="31" spans="6:15">
      <c r="N31" s="32" t="s">
        <v>127</v>
      </c>
      <c r="O31" s="31">
        <v>132.106666668</v>
      </c>
    </row>
    <row r="32" spans="6:15">
      <c r="N32" s="32" t="s">
        <v>128</v>
      </c>
      <c r="O32" s="31">
        <v>146.30666666400001</v>
      </c>
    </row>
    <row r="33" spans="14:15">
      <c r="N33" s="32" t="s">
        <v>129</v>
      </c>
      <c r="O33" s="31">
        <v>94.703333342999997</v>
      </c>
    </row>
    <row r="34" spans="14:15">
      <c r="N34" s="30" t="s">
        <v>90</v>
      </c>
      <c r="O34" s="31">
        <v>2987.7366666809999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3BBC-A22E-4FEA-B2AF-912D123819E2}">
  <dimension ref="A1:W2"/>
  <sheetViews>
    <sheetView tabSelected="1" workbookViewId="0">
      <selection sqref="A1:W2"/>
    </sheetView>
  </sheetViews>
  <sheetFormatPr defaultRowHeight="16.2"/>
  <cols>
    <col min="1" max="1" width="9.88671875" customWidth="1"/>
    <col min="2" max="2" width="10.21875" customWidth="1"/>
  </cols>
  <sheetData>
    <row r="1" spans="1:23">
      <c r="A1" s="34" t="s">
        <v>131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</sheetData>
  <mergeCells count="1">
    <mergeCell ref="A1:W2"/>
  </mergeCells>
  <phoneticPr fontId="18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6A3ED7-1495-4B26-A745-6A4AAB414D1C}">
          <x14:formula1>
            <xm:f>工作表1!$F$1:$F$2</xm:f>
          </x14:formula1>
          <xm:sqref>B3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F1D9F8-F200-416C-B551-2685402453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10</vt:i4>
      </vt:variant>
    </vt:vector>
  </HeadingPairs>
  <TitlesOfParts>
    <vt:vector size="14" baseType="lpstr">
      <vt:lpstr>團隊分組</vt:lpstr>
      <vt:lpstr>交易處理資料 </vt:lpstr>
      <vt:lpstr>工作表1</vt:lpstr>
      <vt:lpstr>儀表板</vt:lpstr>
      <vt:lpstr>人員</vt:lpstr>
      <vt:lpstr>快速保養團隊A</vt:lpstr>
      <vt:lpstr>快速保養團隊B</vt:lpstr>
      <vt:lpstr>查修團隊A</vt:lpstr>
      <vt:lpstr>查修團隊B</vt:lpstr>
      <vt:lpstr>部門</vt:lpstr>
      <vt:lpstr>無效數據</vt:lpstr>
      <vt:lpstr>鈑金維修組</vt:lpstr>
      <vt:lpstr>團隊</vt:lpstr>
      <vt:lpstr>噴漆維修組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陳群翔</cp:lastModifiedBy>
  <dcterms:created xsi:type="dcterms:W3CDTF">2024-04-18T07:58:25Z</dcterms:created>
  <dcterms:modified xsi:type="dcterms:W3CDTF">2024-06-17T19:27:08Z</dcterms:modified>
</cp:coreProperties>
</file>